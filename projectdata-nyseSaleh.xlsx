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hidePivotFieldList="1"/>
  <mc:AlternateContent xmlns:mc="http://schemas.openxmlformats.org/markup-compatibility/2006">
    <mc:Choice Requires="x15">
      <x15ac:absPath xmlns:x15ac="http://schemas.microsoft.com/office/spreadsheetml/2010/11/ac" url="D:\ud\"/>
    </mc:Choice>
  </mc:AlternateContent>
  <xr:revisionPtr revIDLastSave="0" documentId="13_ncr:1_{10CC55E5-6D2F-45C6-86CE-2D7FBC9F49E9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TheData" sheetId="1" r:id="rId1"/>
    <sheet name="Task 1" sheetId="9" r:id="rId2"/>
    <sheet name="Income StatementI" sheetId="4" r:id="rId3"/>
    <sheet name="Task 2&amp;3" sheetId="8" r:id="rId4"/>
    <sheet name="Ticker Symbol list" sheetId="7" r:id="rId5"/>
    <sheet name="Senario list" sheetId="3" r:id="rId6"/>
  </sheets>
  <externalReferences>
    <externalReference r:id="rId7"/>
  </externalReferences>
  <definedNames>
    <definedName name="_xlnm._FilterDatabase" localSheetId="0" hidden="1">TheData!$B$2:$K$1712</definedName>
    <definedName name="_xlchart.v1.0" hidden="1">'Task 1'!$E$9:$E$31</definedName>
    <definedName name="COGS">TheData!$F$3:$F$1712</definedName>
    <definedName name="Gross_Profit">TheData!$L$3:$L$1712</definedName>
    <definedName name="OOI">TheData!$I$3:$I$1712</definedName>
    <definedName name="Operating_Profit">TheData!$N$3:$N$1712</definedName>
    <definedName name="RandD">TheData!$H$3:$H$1712</definedName>
    <definedName name="Sector">TheData!$J$3:$J$1712</definedName>
    <definedName name="Senario_list">'Senario list'!$A$1:$A$3</definedName>
    <definedName name="SGAA">TheData!$G$3:$G$1712</definedName>
    <definedName name="Ticker_Symbol" localSheetId="1">'[1]projectdata-nyse'!$B$2:$B$1711</definedName>
    <definedName name="Ticker_Symbol">'Ticker Symbol list'!$D$1:$D$430</definedName>
    <definedName name="TickerSymbol" localSheetId="1">[1]LIST!$C$1:$C$430</definedName>
    <definedName name="TickerSymbol">TheData!$B$3:$B$1712</definedName>
    <definedName name="Total_Operating_Expenses">TheData!$M$3:$M$1712</definedName>
    <definedName name="Total_Revenue" localSheetId="1">'[1]projectdata-nyse'!$E$2:$E$1711</definedName>
    <definedName name="Total_Revenue">TheData!$E$3:$E$1712</definedName>
    <definedName name="Years" localSheetId="1">'[1]projectdata-nyse'!$C$2:$C$1711</definedName>
    <definedName name="Years">TheData!$C$3:$C$1712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1" i="9" l="1"/>
  <c r="H13" i="9" s="1"/>
  <c r="H9" i="9"/>
  <c r="H8" i="9"/>
  <c r="H12" i="9"/>
  <c r="H10" i="9"/>
  <c r="D7" i="4" a="1"/>
  <c r="D7" i="4" s="1"/>
  <c r="G12" i="8" l="1" a="1"/>
  <c r="G12" i="8" s="1"/>
  <c r="F12" i="8" a="1"/>
  <c r="F12" i="8" s="1"/>
  <c r="E12" i="8" a="1"/>
  <c r="E12" i="8" s="1"/>
  <c r="D12" i="8" a="1"/>
  <c r="D12" i="8" s="1"/>
  <c r="G11" i="8" a="1"/>
  <c r="G11" i="8" s="1"/>
  <c r="F11" i="8" a="1"/>
  <c r="F11" i="8" s="1"/>
  <c r="E11" i="8" a="1"/>
  <c r="E11" i="8" s="1"/>
  <c r="D11" i="8" a="1"/>
  <c r="D11" i="8" s="1"/>
  <c r="G10" i="8" a="1"/>
  <c r="G10" i="8" s="1"/>
  <c r="F10" i="8" a="1"/>
  <c r="F10" i="8" s="1"/>
  <c r="E10" i="8" a="1"/>
  <c r="E10" i="8" s="1"/>
  <c r="D10" i="8" a="1"/>
  <c r="D10" i="8" s="1"/>
  <c r="G8" i="8" a="1"/>
  <c r="G8" i="8" s="1"/>
  <c r="F8" i="8" a="1"/>
  <c r="F8" i="8" s="1"/>
  <c r="E8" i="8" a="1"/>
  <c r="E8" i="8" s="1"/>
  <c r="D8" i="8" a="1"/>
  <c r="D8" i="8" s="1"/>
  <c r="G7" i="8" a="1"/>
  <c r="G7" i="8" s="1"/>
  <c r="F7" i="8" a="1"/>
  <c r="F7" i="8" s="1"/>
  <c r="E7" i="8" a="1"/>
  <c r="E7" i="8" s="1"/>
  <c r="D7" i="8" a="1"/>
  <c r="D7" i="8" s="1"/>
  <c r="E12" i="4" a="1"/>
  <c r="E12" i="4" s="1"/>
  <c r="F12" i="4" a="1"/>
  <c r="F12" i="4" s="1"/>
  <c r="G12" i="4" a="1"/>
  <c r="G12" i="4" s="1"/>
  <c r="E11" i="4" a="1"/>
  <c r="E11" i="4" s="1"/>
  <c r="F11" i="4" a="1"/>
  <c r="F11" i="4" s="1"/>
  <c r="G11" i="4" a="1"/>
  <c r="G11" i="4" s="1"/>
  <c r="E10" i="4" a="1"/>
  <c r="E10" i="4" s="1"/>
  <c r="F10" i="4" a="1"/>
  <c r="F10" i="4" s="1"/>
  <c r="G10" i="4" a="1"/>
  <c r="G10" i="4" s="1"/>
  <c r="E8" i="4" a="1"/>
  <c r="E8" i="4" s="1"/>
  <c r="F8" i="4" a="1"/>
  <c r="F8" i="4" s="1"/>
  <c r="G8" i="4" a="1"/>
  <c r="G8" i="4" s="1"/>
  <c r="F7" i="4" a="1"/>
  <c r="F7" i="4" s="1"/>
  <c r="G7" i="4" a="1"/>
  <c r="G7" i="4" s="1"/>
  <c r="E7" i="4" a="1"/>
  <c r="E7" i="4" s="1"/>
  <c r="D12" i="4" a="1"/>
  <c r="D12" i="4" s="1"/>
  <c r="D11" i="4" a="1"/>
  <c r="D11" i="4" s="1"/>
  <c r="D10" i="4" a="1"/>
  <c r="D10" i="4" s="1"/>
  <c r="D8" i="4" a="1"/>
  <c r="D8" i="4" s="1"/>
  <c r="M14" i="1"/>
  <c r="O14" i="1" s="1"/>
  <c r="M15" i="1"/>
  <c r="O15" i="1" s="1"/>
  <c r="M16" i="1"/>
  <c r="O16" i="1" s="1"/>
  <c r="M17" i="1"/>
  <c r="O17" i="1" s="1"/>
  <c r="M18" i="1"/>
  <c r="O18" i="1" s="1"/>
  <c r="M19" i="1"/>
  <c r="O19" i="1" s="1"/>
  <c r="M20" i="1"/>
  <c r="O20" i="1" s="1"/>
  <c r="M21" i="1"/>
  <c r="O21" i="1" s="1"/>
  <c r="M22" i="1"/>
  <c r="O22" i="1" s="1"/>
  <c r="M23" i="1"/>
  <c r="O23" i="1" s="1"/>
  <c r="M24" i="1"/>
  <c r="O24" i="1" s="1"/>
  <c r="M25" i="1"/>
  <c r="O25" i="1" s="1"/>
  <c r="M26" i="1"/>
  <c r="O26" i="1" s="1"/>
  <c r="M27" i="1"/>
  <c r="O27" i="1" s="1"/>
  <c r="M28" i="1"/>
  <c r="O28" i="1" s="1"/>
  <c r="M29" i="1"/>
  <c r="O29" i="1" s="1"/>
  <c r="M30" i="1"/>
  <c r="O30" i="1" s="1"/>
  <c r="M31" i="1"/>
  <c r="O31" i="1" s="1"/>
  <c r="M32" i="1"/>
  <c r="O32" i="1" s="1"/>
  <c r="M33" i="1"/>
  <c r="O33" i="1" s="1"/>
  <c r="M34" i="1"/>
  <c r="O34" i="1" s="1"/>
  <c r="M35" i="1"/>
  <c r="O35" i="1" s="1"/>
  <c r="M36" i="1"/>
  <c r="O36" i="1" s="1"/>
  <c r="M37" i="1"/>
  <c r="O37" i="1" s="1"/>
  <c r="M38" i="1"/>
  <c r="O38" i="1" s="1"/>
  <c r="M39" i="1"/>
  <c r="O39" i="1" s="1"/>
  <c r="M40" i="1"/>
  <c r="O40" i="1" s="1"/>
  <c r="M41" i="1"/>
  <c r="O41" i="1" s="1"/>
  <c r="M42" i="1"/>
  <c r="O42" i="1" s="1"/>
  <c r="M43" i="1"/>
  <c r="O43" i="1" s="1"/>
  <c r="M44" i="1"/>
  <c r="O44" i="1" s="1"/>
  <c r="M45" i="1"/>
  <c r="O45" i="1" s="1"/>
  <c r="M46" i="1"/>
  <c r="O46" i="1" s="1"/>
  <c r="M47" i="1"/>
  <c r="O47" i="1" s="1"/>
  <c r="M48" i="1"/>
  <c r="O48" i="1" s="1"/>
  <c r="M49" i="1"/>
  <c r="O49" i="1" s="1"/>
  <c r="M50" i="1"/>
  <c r="O50" i="1" s="1"/>
  <c r="M51" i="1"/>
  <c r="O51" i="1" s="1"/>
  <c r="M52" i="1"/>
  <c r="O52" i="1" s="1"/>
  <c r="M53" i="1"/>
  <c r="O53" i="1" s="1"/>
  <c r="M54" i="1"/>
  <c r="O54" i="1" s="1"/>
  <c r="M55" i="1"/>
  <c r="O55" i="1" s="1"/>
  <c r="M56" i="1"/>
  <c r="O56" i="1" s="1"/>
  <c r="M57" i="1"/>
  <c r="O57" i="1" s="1"/>
  <c r="M58" i="1"/>
  <c r="O58" i="1" s="1"/>
  <c r="M59" i="1"/>
  <c r="O59" i="1" s="1"/>
  <c r="M60" i="1"/>
  <c r="O60" i="1" s="1"/>
  <c r="M61" i="1"/>
  <c r="O61" i="1" s="1"/>
  <c r="M62" i="1"/>
  <c r="O62" i="1" s="1"/>
  <c r="M63" i="1"/>
  <c r="O63" i="1" s="1"/>
  <c r="M64" i="1"/>
  <c r="O64" i="1" s="1"/>
  <c r="M65" i="1"/>
  <c r="O65" i="1" s="1"/>
  <c r="M66" i="1"/>
  <c r="O66" i="1" s="1"/>
  <c r="M67" i="1"/>
  <c r="O67" i="1" s="1"/>
  <c r="M68" i="1"/>
  <c r="O68" i="1" s="1"/>
  <c r="M69" i="1"/>
  <c r="O69" i="1" s="1"/>
  <c r="M70" i="1"/>
  <c r="O70" i="1" s="1"/>
  <c r="M71" i="1"/>
  <c r="O71" i="1" s="1"/>
  <c r="M72" i="1"/>
  <c r="O72" i="1" s="1"/>
  <c r="M73" i="1"/>
  <c r="O73" i="1" s="1"/>
  <c r="M74" i="1"/>
  <c r="O74" i="1" s="1"/>
  <c r="M75" i="1"/>
  <c r="O75" i="1" s="1"/>
  <c r="M76" i="1"/>
  <c r="O76" i="1" s="1"/>
  <c r="M77" i="1"/>
  <c r="O77" i="1" s="1"/>
  <c r="M78" i="1"/>
  <c r="O78" i="1" s="1"/>
  <c r="M79" i="1"/>
  <c r="O79" i="1" s="1"/>
  <c r="M80" i="1"/>
  <c r="O80" i="1" s="1"/>
  <c r="M81" i="1"/>
  <c r="O81" i="1" s="1"/>
  <c r="M82" i="1"/>
  <c r="O82" i="1" s="1"/>
  <c r="M83" i="1"/>
  <c r="O83" i="1" s="1"/>
  <c r="M84" i="1"/>
  <c r="O84" i="1" s="1"/>
  <c r="M85" i="1"/>
  <c r="O85" i="1" s="1"/>
  <c r="M86" i="1"/>
  <c r="O86" i="1" s="1"/>
  <c r="M87" i="1"/>
  <c r="O87" i="1" s="1"/>
  <c r="M88" i="1"/>
  <c r="O88" i="1" s="1"/>
  <c r="M89" i="1"/>
  <c r="O89" i="1" s="1"/>
  <c r="M90" i="1"/>
  <c r="O90" i="1" s="1"/>
  <c r="M91" i="1"/>
  <c r="O91" i="1" s="1"/>
  <c r="M92" i="1"/>
  <c r="O92" i="1" s="1"/>
  <c r="M93" i="1"/>
  <c r="O93" i="1" s="1"/>
  <c r="M94" i="1"/>
  <c r="O94" i="1" s="1"/>
  <c r="M95" i="1"/>
  <c r="O95" i="1" s="1"/>
  <c r="M96" i="1"/>
  <c r="O96" i="1" s="1"/>
  <c r="M97" i="1"/>
  <c r="O97" i="1" s="1"/>
  <c r="M98" i="1"/>
  <c r="O98" i="1" s="1"/>
  <c r="M99" i="1"/>
  <c r="O99" i="1" s="1"/>
  <c r="M100" i="1"/>
  <c r="O100" i="1" s="1"/>
  <c r="M101" i="1"/>
  <c r="O101" i="1" s="1"/>
  <c r="M102" i="1"/>
  <c r="O102" i="1" s="1"/>
  <c r="M103" i="1"/>
  <c r="O103" i="1" s="1"/>
  <c r="M104" i="1"/>
  <c r="O104" i="1" s="1"/>
  <c r="M105" i="1"/>
  <c r="O105" i="1" s="1"/>
  <c r="M106" i="1"/>
  <c r="O106" i="1" s="1"/>
  <c r="M107" i="1"/>
  <c r="O107" i="1" s="1"/>
  <c r="M108" i="1"/>
  <c r="O108" i="1" s="1"/>
  <c r="M109" i="1"/>
  <c r="O109" i="1" s="1"/>
  <c r="M110" i="1"/>
  <c r="O110" i="1" s="1"/>
  <c r="M111" i="1"/>
  <c r="O111" i="1" s="1"/>
  <c r="M112" i="1"/>
  <c r="O112" i="1" s="1"/>
  <c r="M113" i="1"/>
  <c r="O113" i="1" s="1"/>
  <c r="M114" i="1"/>
  <c r="O114" i="1" s="1"/>
  <c r="M115" i="1"/>
  <c r="O115" i="1" s="1"/>
  <c r="M116" i="1"/>
  <c r="O116" i="1" s="1"/>
  <c r="M117" i="1"/>
  <c r="O117" i="1" s="1"/>
  <c r="M118" i="1"/>
  <c r="O118" i="1" s="1"/>
  <c r="M119" i="1"/>
  <c r="O119" i="1" s="1"/>
  <c r="M120" i="1"/>
  <c r="O120" i="1" s="1"/>
  <c r="M121" i="1"/>
  <c r="O121" i="1" s="1"/>
  <c r="M122" i="1"/>
  <c r="O122" i="1" s="1"/>
  <c r="M123" i="1"/>
  <c r="O123" i="1" s="1"/>
  <c r="M124" i="1"/>
  <c r="O124" i="1" s="1"/>
  <c r="M125" i="1"/>
  <c r="O125" i="1" s="1"/>
  <c r="M126" i="1"/>
  <c r="O126" i="1" s="1"/>
  <c r="M127" i="1"/>
  <c r="O127" i="1" s="1"/>
  <c r="M128" i="1"/>
  <c r="O128" i="1" s="1"/>
  <c r="M129" i="1"/>
  <c r="O129" i="1" s="1"/>
  <c r="M130" i="1"/>
  <c r="O130" i="1" s="1"/>
  <c r="M131" i="1"/>
  <c r="O131" i="1" s="1"/>
  <c r="M132" i="1"/>
  <c r="O132" i="1" s="1"/>
  <c r="M133" i="1"/>
  <c r="O133" i="1" s="1"/>
  <c r="M134" i="1"/>
  <c r="O134" i="1" s="1"/>
  <c r="M135" i="1"/>
  <c r="O135" i="1" s="1"/>
  <c r="M136" i="1"/>
  <c r="O136" i="1" s="1"/>
  <c r="M137" i="1"/>
  <c r="O137" i="1" s="1"/>
  <c r="M138" i="1"/>
  <c r="O138" i="1" s="1"/>
  <c r="M139" i="1"/>
  <c r="O139" i="1" s="1"/>
  <c r="M140" i="1"/>
  <c r="O140" i="1" s="1"/>
  <c r="M141" i="1"/>
  <c r="O141" i="1" s="1"/>
  <c r="M142" i="1"/>
  <c r="O142" i="1" s="1"/>
  <c r="M143" i="1"/>
  <c r="O143" i="1" s="1"/>
  <c r="M144" i="1"/>
  <c r="O144" i="1" s="1"/>
  <c r="M145" i="1"/>
  <c r="O145" i="1" s="1"/>
  <c r="M146" i="1"/>
  <c r="O146" i="1" s="1"/>
  <c r="M147" i="1"/>
  <c r="O147" i="1" s="1"/>
  <c r="M148" i="1"/>
  <c r="O148" i="1" s="1"/>
  <c r="M149" i="1"/>
  <c r="O149" i="1" s="1"/>
  <c r="M150" i="1"/>
  <c r="O150" i="1" s="1"/>
  <c r="M151" i="1"/>
  <c r="O151" i="1" s="1"/>
  <c r="M152" i="1"/>
  <c r="O152" i="1" s="1"/>
  <c r="M153" i="1"/>
  <c r="O153" i="1" s="1"/>
  <c r="M154" i="1"/>
  <c r="O154" i="1" s="1"/>
  <c r="M155" i="1"/>
  <c r="O155" i="1" s="1"/>
  <c r="M156" i="1"/>
  <c r="O156" i="1" s="1"/>
  <c r="M157" i="1"/>
  <c r="O157" i="1" s="1"/>
  <c r="M158" i="1"/>
  <c r="O158" i="1" s="1"/>
  <c r="M159" i="1"/>
  <c r="O159" i="1" s="1"/>
  <c r="M160" i="1"/>
  <c r="O160" i="1" s="1"/>
  <c r="M161" i="1"/>
  <c r="O161" i="1" s="1"/>
  <c r="M162" i="1"/>
  <c r="O162" i="1" s="1"/>
  <c r="M163" i="1"/>
  <c r="O163" i="1" s="1"/>
  <c r="M164" i="1"/>
  <c r="O164" i="1" s="1"/>
  <c r="M165" i="1"/>
  <c r="O165" i="1" s="1"/>
  <c r="M166" i="1"/>
  <c r="O166" i="1" s="1"/>
  <c r="M167" i="1"/>
  <c r="O167" i="1" s="1"/>
  <c r="M168" i="1"/>
  <c r="O168" i="1" s="1"/>
  <c r="M169" i="1"/>
  <c r="O169" i="1" s="1"/>
  <c r="M170" i="1"/>
  <c r="O170" i="1" s="1"/>
  <c r="M171" i="1"/>
  <c r="O171" i="1" s="1"/>
  <c r="M172" i="1"/>
  <c r="O172" i="1" s="1"/>
  <c r="M173" i="1"/>
  <c r="O173" i="1" s="1"/>
  <c r="M174" i="1"/>
  <c r="O174" i="1" s="1"/>
  <c r="M175" i="1"/>
  <c r="O175" i="1" s="1"/>
  <c r="M176" i="1"/>
  <c r="O176" i="1" s="1"/>
  <c r="M177" i="1"/>
  <c r="O177" i="1" s="1"/>
  <c r="M178" i="1"/>
  <c r="O178" i="1" s="1"/>
  <c r="M179" i="1"/>
  <c r="O179" i="1" s="1"/>
  <c r="M180" i="1"/>
  <c r="O180" i="1" s="1"/>
  <c r="M181" i="1"/>
  <c r="O181" i="1" s="1"/>
  <c r="M182" i="1"/>
  <c r="O182" i="1" s="1"/>
  <c r="M183" i="1"/>
  <c r="O183" i="1" s="1"/>
  <c r="M184" i="1"/>
  <c r="O184" i="1" s="1"/>
  <c r="M185" i="1"/>
  <c r="O185" i="1" s="1"/>
  <c r="M186" i="1"/>
  <c r="O186" i="1" s="1"/>
  <c r="M187" i="1"/>
  <c r="O187" i="1" s="1"/>
  <c r="M188" i="1"/>
  <c r="O188" i="1" s="1"/>
  <c r="M189" i="1"/>
  <c r="O189" i="1" s="1"/>
  <c r="M190" i="1"/>
  <c r="O190" i="1" s="1"/>
  <c r="M191" i="1"/>
  <c r="O191" i="1" s="1"/>
  <c r="M192" i="1"/>
  <c r="O192" i="1" s="1"/>
  <c r="M193" i="1"/>
  <c r="O193" i="1" s="1"/>
  <c r="M194" i="1"/>
  <c r="O194" i="1" s="1"/>
  <c r="M195" i="1"/>
  <c r="O195" i="1" s="1"/>
  <c r="M196" i="1"/>
  <c r="O196" i="1" s="1"/>
  <c r="M197" i="1"/>
  <c r="O197" i="1" s="1"/>
  <c r="M198" i="1"/>
  <c r="O198" i="1" s="1"/>
  <c r="M199" i="1"/>
  <c r="O199" i="1" s="1"/>
  <c r="M200" i="1"/>
  <c r="O200" i="1" s="1"/>
  <c r="M201" i="1"/>
  <c r="O201" i="1" s="1"/>
  <c r="M202" i="1"/>
  <c r="O202" i="1" s="1"/>
  <c r="M203" i="1"/>
  <c r="O203" i="1" s="1"/>
  <c r="M204" i="1"/>
  <c r="O204" i="1" s="1"/>
  <c r="M205" i="1"/>
  <c r="O205" i="1" s="1"/>
  <c r="M206" i="1"/>
  <c r="O206" i="1" s="1"/>
  <c r="M207" i="1"/>
  <c r="O207" i="1" s="1"/>
  <c r="M208" i="1"/>
  <c r="O208" i="1" s="1"/>
  <c r="M209" i="1"/>
  <c r="O209" i="1" s="1"/>
  <c r="M210" i="1"/>
  <c r="O210" i="1" s="1"/>
  <c r="M211" i="1"/>
  <c r="O211" i="1" s="1"/>
  <c r="M212" i="1"/>
  <c r="O212" i="1" s="1"/>
  <c r="M213" i="1"/>
  <c r="O213" i="1" s="1"/>
  <c r="M214" i="1"/>
  <c r="O214" i="1" s="1"/>
  <c r="M215" i="1"/>
  <c r="O215" i="1" s="1"/>
  <c r="M216" i="1"/>
  <c r="O216" i="1" s="1"/>
  <c r="M217" i="1"/>
  <c r="O217" i="1" s="1"/>
  <c r="M218" i="1"/>
  <c r="O218" i="1" s="1"/>
  <c r="M219" i="1"/>
  <c r="O219" i="1" s="1"/>
  <c r="M220" i="1"/>
  <c r="O220" i="1" s="1"/>
  <c r="M221" i="1"/>
  <c r="O221" i="1" s="1"/>
  <c r="M222" i="1"/>
  <c r="O222" i="1" s="1"/>
  <c r="M223" i="1"/>
  <c r="O223" i="1" s="1"/>
  <c r="M224" i="1"/>
  <c r="O224" i="1" s="1"/>
  <c r="M225" i="1"/>
  <c r="O225" i="1" s="1"/>
  <c r="M226" i="1"/>
  <c r="O226" i="1" s="1"/>
  <c r="M227" i="1"/>
  <c r="O227" i="1" s="1"/>
  <c r="M228" i="1"/>
  <c r="O228" i="1" s="1"/>
  <c r="M229" i="1"/>
  <c r="O229" i="1" s="1"/>
  <c r="M230" i="1"/>
  <c r="O230" i="1" s="1"/>
  <c r="M231" i="1"/>
  <c r="O231" i="1" s="1"/>
  <c r="M232" i="1"/>
  <c r="O232" i="1" s="1"/>
  <c r="M233" i="1"/>
  <c r="O233" i="1" s="1"/>
  <c r="M234" i="1"/>
  <c r="O234" i="1" s="1"/>
  <c r="M235" i="1"/>
  <c r="O235" i="1" s="1"/>
  <c r="M236" i="1"/>
  <c r="O236" i="1" s="1"/>
  <c r="M237" i="1"/>
  <c r="O237" i="1" s="1"/>
  <c r="M238" i="1"/>
  <c r="O238" i="1" s="1"/>
  <c r="M239" i="1"/>
  <c r="O239" i="1" s="1"/>
  <c r="M240" i="1"/>
  <c r="O240" i="1" s="1"/>
  <c r="M241" i="1"/>
  <c r="O241" i="1" s="1"/>
  <c r="M242" i="1"/>
  <c r="O242" i="1" s="1"/>
  <c r="M243" i="1"/>
  <c r="O243" i="1" s="1"/>
  <c r="M244" i="1"/>
  <c r="O244" i="1" s="1"/>
  <c r="M245" i="1"/>
  <c r="O245" i="1" s="1"/>
  <c r="M246" i="1"/>
  <c r="O246" i="1" s="1"/>
  <c r="M247" i="1"/>
  <c r="O247" i="1" s="1"/>
  <c r="M248" i="1"/>
  <c r="O248" i="1" s="1"/>
  <c r="M249" i="1"/>
  <c r="O249" i="1" s="1"/>
  <c r="M250" i="1"/>
  <c r="O250" i="1" s="1"/>
  <c r="M251" i="1"/>
  <c r="O251" i="1" s="1"/>
  <c r="M252" i="1"/>
  <c r="O252" i="1" s="1"/>
  <c r="M253" i="1"/>
  <c r="O253" i="1" s="1"/>
  <c r="M254" i="1"/>
  <c r="O254" i="1" s="1"/>
  <c r="M255" i="1"/>
  <c r="O255" i="1" s="1"/>
  <c r="M256" i="1"/>
  <c r="O256" i="1" s="1"/>
  <c r="M257" i="1"/>
  <c r="O257" i="1" s="1"/>
  <c r="M258" i="1"/>
  <c r="O258" i="1" s="1"/>
  <c r="M259" i="1"/>
  <c r="O259" i="1" s="1"/>
  <c r="M260" i="1"/>
  <c r="O260" i="1" s="1"/>
  <c r="M261" i="1"/>
  <c r="O261" i="1" s="1"/>
  <c r="M262" i="1"/>
  <c r="O262" i="1" s="1"/>
  <c r="M263" i="1"/>
  <c r="O263" i="1" s="1"/>
  <c r="M264" i="1"/>
  <c r="O264" i="1" s="1"/>
  <c r="M265" i="1"/>
  <c r="M266" i="1"/>
  <c r="M267" i="1"/>
  <c r="M268" i="1"/>
  <c r="M269" i="1"/>
  <c r="O269" i="1" s="1"/>
  <c r="M270" i="1"/>
  <c r="O270" i="1" s="1"/>
  <c r="M271" i="1"/>
  <c r="O271" i="1" s="1"/>
  <c r="M272" i="1"/>
  <c r="O272" i="1" s="1"/>
  <c r="M273" i="1"/>
  <c r="O273" i="1" s="1"/>
  <c r="M274" i="1"/>
  <c r="O274" i="1" s="1"/>
  <c r="M275" i="1"/>
  <c r="O275" i="1" s="1"/>
  <c r="M276" i="1"/>
  <c r="O276" i="1" s="1"/>
  <c r="M277" i="1"/>
  <c r="O277" i="1" s="1"/>
  <c r="M278" i="1"/>
  <c r="O278" i="1" s="1"/>
  <c r="M279" i="1"/>
  <c r="O279" i="1" s="1"/>
  <c r="M280" i="1"/>
  <c r="O280" i="1" s="1"/>
  <c r="M281" i="1"/>
  <c r="O281" i="1" s="1"/>
  <c r="M282" i="1"/>
  <c r="O282" i="1" s="1"/>
  <c r="M283" i="1"/>
  <c r="O283" i="1" s="1"/>
  <c r="M284" i="1"/>
  <c r="O284" i="1" s="1"/>
  <c r="M285" i="1"/>
  <c r="O285" i="1" s="1"/>
  <c r="M286" i="1"/>
  <c r="O286" i="1" s="1"/>
  <c r="M287" i="1"/>
  <c r="O287" i="1" s="1"/>
  <c r="M288" i="1"/>
  <c r="O288" i="1" s="1"/>
  <c r="M289" i="1"/>
  <c r="O289" i="1" s="1"/>
  <c r="M290" i="1"/>
  <c r="O290" i="1" s="1"/>
  <c r="M291" i="1"/>
  <c r="O291" i="1" s="1"/>
  <c r="M292" i="1"/>
  <c r="O292" i="1" s="1"/>
  <c r="M293" i="1"/>
  <c r="O293" i="1" s="1"/>
  <c r="M294" i="1"/>
  <c r="O294" i="1" s="1"/>
  <c r="M295" i="1"/>
  <c r="O295" i="1" s="1"/>
  <c r="M296" i="1"/>
  <c r="O296" i="1" s="1"/>
  <c r="M297" i="1"/>
  <c r="O297" i="1" s="1"/>
  <c r="M298" i="1"/>
  <c r="O298" i="1" s="1"/>
  <c r="M299" i="1"/>
  <c r="O299" i="1" s="1"/>
  <c r="M300" i="1"/>
  <c r="O300" i="1" s="1"/>
  <c r="M301" i="1"/>
  <c r="O301" i="1" s="1"/>
  <c r="M302" i="1"/>
  <c r="O302" i="1" s="1"/>
  <c r="M303" i="1"/>
  <c r="O303" i="1" s="1"/>
  <c r="M304" i="1"/>
  <c r="O304" i="1" s="1"/>
  <c r="M305" i="1"/>
  <c r="O305" i="1" s="1"/>
  <c r="M306" i="1"/>
  <c r="O306" i="1" s="1"/>
  <c r="M307" i="1"/>
  <c r="O307" i="1" s="1"/>
  <c r="M308" i="1"/>
  <c r="O308" i="1" s="1"/>
  <c r="M309" i="1"/>
  <c r="O309" i="1" s="1"/>
  <c r="M310" i="1"/>
  <c r="O310" i="1" s="1"/>
  <c r="M311" i="1"/>
  <c r="O311" i="1" s="1"/>
  <c r="M312" i="1"/>
  <c r="O312" i="1" s="1"/>
  <c r="M313" i="1"/>
  <c r="O313" i="1" s="1"/>
  <c r="M314" i="1"/>
  <c r="O314" i="1" s="1"/>
  <c r="M315" i="1"/>
  <c r="O315" i="1" s="1"/>
  <c r="M316" i="1"/>
  <c r="O316" i="1" s="1"/>
  <c r="M317" i="1"/>
  <c r="O317" i="1" s="1"/>
  <c r="M318" i="1"/>
  <c r="O318" i="1" s="1"/>
  <c r="M319" i="1"/>
  <c r="O319" i="1" s="1"/>
  <c r="M320" i="1"/>
  <c r="O320" i="1" s="1"/>
  <c r="M321" i="1"/>
  <c r="O321" i="1" s="1"/>
  <c r="M322" i="1"/>
  <c r="O322" i="1" s="1"/>
  <c r="M323" i="1"/>
  <c r="O323" i="1" s="1"/>
  <c r="M324" i="1"/>
  <c r="O324" i="1" s="1"/>
  <c r="M325" i="1"/>
  <c r="O325" i="1" s="1"/>
  <c r="M326" i="1"/>
  <c r="O326" i="1" s="1"/>
  <c r="M327" i="1"/>
  <c r="O327" i="1" s="1"/>
  <c r="M328" i="1"/>
  <c r="O328" i="1" s="1"/>
  <c r="M329" i="1"/>
  <c r="O329" i="1" s="1"/>
  <c r="M330" i="1"/>
  <c r="O330" i="1" s="1"/>
  <c r="M331" i="1"/>
  <c r="O331" i="1" s="1"/>
  <c r="M332" i="1"/>
  <c r="O332" i="1" s="1"/>
  <c r="M333" i="1"/>
  <c r="O333" i="1" s="1"/>
  <c r="M334" i="1"/>
  <c r="O334" i="1" s="1"/>
  <c r="M335" i="1"/>
  <c r="O335" i="1" s="1"/>
  <c r="M336" i="1"/>
  <c r="O336" i="1" s="1"/>
  <c r="M337" i="1"/>
  <c r="O337" i="1" s="1"/>
  <c r="M338" i="1"/>
  <c r="O338" i="1" s="1"/>
  <c r="M339" i="1"/>
  <c r="O339" i="1" s="1"/>
  <c r="M340" i="1"/>
  <c r="O340" i="1" s="1"/>
  <c r="M341" i="1"/>
  <c r="O341" i="1" s="1"/>
  <c r="M342" i="1"/>
  <c r="O342" i="1" s="1"/>
  <c r="M343" i="1"/>
  <c r="O343" i="1" s="1"/>
  <c r="M344" i="1"/>
  <c r="O344" i="1" s="1"/>
  <c r="M345" i="1"/>
  <c r="O345" i="1" s="1"/>
  <c r="M346" i="1"/>
  <c r="O346" i="1" s="1"/>
  <c r="M347" i="1"/>
  <c r="O347" i="1" s="1"/>
  <c r="M348" i="1"/>
  <c r="O348" i="1" s="1"/>
  <c r="M349" i="1"/>
  <c r="O349" i="1" s="1"/>
  <c r="M350" i="1"/>
  <c r="O350" i="1" s="1"/>
  <c r="M351" i="1"/>
  <c r="O351" i="1" s="1"/>
  <c r="M352" i="1"/>
  <c r="O352" i="1" s="1"/>
  <c r="M353" i="1"/>
  <c r="O353" i="1" s="1"/>
  <c r="M354" i="1"/>
  <c r="O354" i="1" s="1"/>
  <c r="M355" i="1"/>
  <c r="O355" i="1" s="1"/>
  <c r="M356" i="1"/>
  <c r="O356" i="1" s="1"/>
  <c r="M357" i="1"/>
  <c r="O357" i="1" s="1"/>
  <c r="M358" i="1"/>
  <c r="O358" i="1" s="1"/>
  <c r="M359" i="1"/>
  <c r="O359" i="1" s="1"/>
  <c r="M360" i="1"/>
  <c r="O360" i="1" s="1"/>
  <c r="M361" i="1"/>
  <c r="O361" i="1" s="1"/>
  <c r="M362" i="1"/>
  <c r="O362" i="1" s="1"/>
  <c r="M363" i="1"/>
  <c r="O363" i="1" s="1"/>
  <c r="M364" i="1"/>
  <c r="O364" i="1" s="1"/>
  <c r="M365" i="1"/>
  <c r="O365" i="1" s="1"/>
  <c r="M366" i="1"/>
  <c r="O366" i="1" s="1"/>
  <c r="M367" i="1"/>
  <c r="O367" i="1" s="1"/>
  <c r="M368" i="1"/>
  <c r="O368" i="1" s="1"/>
  <c r="M369" i="1"/>
  <c r="O369" i="1" s="1"/>
  <c r="M370" i="1"/>
  <c r="O370" i="1" s="1"/>
  <c r="M371" i="1"/>
  <c r="O371" i="1" s="1"/>
  <c r="M372" i="1"/>
  <c r="O372" i="1" s="1"/>
  <c r="M373" i="1"/>
  <c r="O373" i="1" s="1"/>
  <c r="M374" i="1"/>
  <c r="O374" i="1" s="1"/>
  <c r="M375" i="1"/>
  <c r="O375" i="1" s="1"/>
  <c r="M376" i="1"/>
  <c r="O376" i="1" s="1"/>
  <c r="M377" i="1"/>
  <c r="O377" i="1" s="1"/>
  <c r="M378" i="1"/>
  <c r="O378" i="1" s="1"/>
  <c r="M379" i="1"/>
  <c r="O379" i="1" s="1"/>
  <c r="M380" i="1"/>
  <c r="O380" i="1" s="1"/>
  <c r="M381" i="1"/>
  <c r="O381" i="1" s="1"/>
  <c r="M382" i="1"/>
  <c r="O382" i="1" s="1"/>
  <c r="M383" i="1"/>
  <c r="O383" i="1" s="1"/>
  <c r="M384" i="1"/>
  <c r="O384" i="1" s="1"/>
  <c r="M385" i="1"/>
  <c r="O385" i="1" s="1"/>
  <c r="M386" i="1"/>
  <c r="O386" i="1" s="1"/>
  <c r="M387" i="1"/>
  <c r="O387" i="1" s="1"/>
  <c r="M388" i="1"/>
  <c r="O388" i="1" s="1"/>
  <c r="M389" i="1"/>
  <c r="O389" i="1" s="1"/>
  <c r="M390" i="1"/>
  <c r="O390" i="1" s="1"/>
  <c r="M391" i="1"/>
  <c r="O391" i="1" s="1"/>
  <c r="M392" i="1"/>
  <c r="O392" i="1" s="1"/>
  <c r="M393" i="1"/>
  <c r="O393" i="1" s="1"/>
  <c r="M394" i="1"/>
  <c r="O394" i="1" s="1"/>
  <c r="M395" i="1"/>
  <c r="O395" i="1" s="1"/>
  <c r="M396" i="1"/>
  <c r="O396" i="1" s="1"/>
  <c r="M397" i="1"/>
  <c r="O397" i="1" s="1"/>
  <c r="M398" i="1"/>
  <c r="O398" i="1" s="1"/>
  <c r="M399" i="1"/>
  <c r="O399" i="1" s="1"/>
  <c r="M400" i="1"/>
  <c r="O400" i="1" s="1"/>
  <c r="M401" i="1"/>
  <c r="O401" i="1" s="1"/>
  <c r="M402" i="1"/>
  <c r="O402" i="1" s="1"/>
  <c r="M403" i="1"/>
  <c r="O403" i="1" s="1"/>
  <c r="M404" i="1"/>
  <c r="O404" i="1" s="1"/>
  <c r="M405" i="1"/>
  <c r="O405" i="1" s="1"/>
  <c r="M406" i="1"/>
  <c r="O406" i="1" s="1"/>
  <c r="M407" i="1"/>
  <c r="O407" i="1" s="1"/>
  <c r="M408" i="1"/>
  <c r="O408" i="1" s="1"/>
  <c r="M409" i="1"/>
  <c r="O409" i="1" s="1"/>
  <c r="M410" i="1"/>
  <c r="O410" i="1" s="1"/>
  <c r="M411" i="1"/>
  <c r="O411" i="1" s="1"/>
  <c r="M412" i="1"/>
  <c r="O412" i="1" s="1"/>
  <c r="M413" i="1"/>
  <c r="O413" i="1" s="1"/>
  <c r="M414" i="1"/>
  <c r="O414" i="1" s="1"/>
  <c r="M415" i="1"/>
  <c r="O415" i="1" s="1"/>
  <c r="M416" i="1"/>
  <c r="O416" i="1" s="1"/>
  <c r="M417" i="1"/>
  <c r="O417" i="1" s="1"/>
  <c r="M418" i="1"/>
  <c r="O418" i="1" s="1"/>
  <c r="M419" i="1"/>
  <c r="O419" i="1" s="1"/>
  <c r="M420" i="1"/>
  <c r="O420" i="1" s="1"/>
  <c r="M421" i="1"/>
  <c r="O421" i="1" s="1"/>
  <c r="M422" i="1"/>
  <c r="O422" i="1" s="1"/>
  <c r="M423" i="1"/>
  <c r="O423" i="1" s="1"/>
  <c r="M424" i="1"/>
  <c r="O424" i="1" s="1"/>
  <c r="M425" i="1"/>
  <c r="O425" i="1" s="1"/>
  <c r="M426" i="1"/>
  <c r="O426" i="1" s="1"/>
  <c r="M427" i="1"/>
  <c r="O427" i="1" s="1"/>
  <c r="M428" i="1"/>
  <c r="O428" i="1" s="1"/>
  <c r="M429" i="1"/>
  <c r="O429" i="1" s="1"/>
  <c r="M430" i="1"/>
  <c r="O430" i="1" s="1"/>
  <c r="M431" i="1"/>
  <c r="O431" i="1" s="1"/>
  <c r="M432" i="1"/>
  <c r="O432" i="1" s="1"/>
  <c r="M433" i="1"/>
  <c r="O433" i="1" s="1"/>
  <c r="M434" i="1"/>
  <c r="O434" i="1" s="1"/>
  <c r="M435" i="1"/>
  <c r="O435" i="1" s="1"/>
  <c r="M436" i="1"/>
  <c r="O436" i="1" s="1"/>
  <c r="M437" i="1"/>
  <c r="O437" i="1" s="1"/>
  <c r="M438" i="1"/>
  <c r="O438" i="1" s="1"/>
  <c r="M439" i="1"/>
  <c r="O439" i="1" s="1"/>
  <c r="M440" i="1"/>
  <c r="O440" i="1" s="1"/>
  <c r="M441" i="1"/>
  <c r="O441" i="1" s="1"/>
  <c r="M442" i="1"/>
  <c r="O442" i="1" s="1"/>
  <c r="M443" i="1"/>
  <c r="O443" i="1" s="1"/>
  <c r="M444" i="1"/>
  <c r="O444" i="1" s="1"/>
  <c r="M445" i="1"/>
  <c r="O445" i="1" s="1"/>
  <c r="M446" i="1"/>
  <c r="O446" i="1" s="1"/>
  <c r="M447" i="1"/>
  <c r="O447" i="1" s="1"/>
  <c r="M448" i="1"/>
  <c r="O448" i="1" s="1"/>
  <c r="M449" i="1"/>
  <c r="O449" i="1" s="1"/>
  <c r="M450" i="1"/>
  <c r="O450" i="1" s="1"/>
  <c r="M451" i="1"/>
  <c r="O451" i="1" s="1"/>
  <c r="M452" i="1"/>
  <c r="O452" i="1" s="1"/>
  <c r="M453" i="1"/>
  <c r="O453" i="1" s="1"/>
  <c r="M454" i="1"/>
  <c r="O454" i="1" s="1"/>
  <c r="M455" i="1"/>
  <c r="O455" i="1" s="1"/>
  <c r="M456" i="1"/>
  <c r="O456" i="1" s="1"/>
  <c r="M457" i="1"/>
  <c r="O457" i="1" s="1"/>
  <c r="M458" i="1"/>
  <c r="O458" i="1" s="1"/>
  <c r="M459" i="1"/>
  <c r="O459" i="1" s="1"/>
  <c r="M460" i="1"/>
  <c r="O460" i="1" s="1"/>
  <c r="M461" i="1"/>
  <c r="O461" i="1" s="1"/>
  <c r="M462" i="1"/>
  <c r="O462" i="1" s="1"/>
  <c r="M463" i="1"/>
  <c r="O463" i="1" s="1"/>
  <c r="M464" i="1"/>
  <c r="O464" i="1" s="1"/>
  <c r="M465" i="1"/>
  <c r="O465" i="1" s="1"/>
  <c r="M466" i="1"/>
  <c r="O466" i="1" s="1"/>
  <c r="M467" i="1"/>
  <c r="O467" i="1" s="1"/>
  <c r="M468" i="1"/>
  <c r="O468" i="1" s="1"/>
  <c r="M469" i="1"/>
  <c r="O469" i="1" s="1"/>
  <c r="M470" i="1"/>
  <c r="O470" i="1" s="1"/>
  <c r="M471" i="1"/>
  <c r="O471" i="1" s="1"/>
  <c r="M472" i="1"/>
  <c r="O472" i="1" s="1"/>
  <c r="M473" i="1"/>
  <c r="O473" i="1" s="1"/>
  <c r="M474" i="1"/>
  <c r="O474" i="1" s="1"/>
  <c r="M475" i="1"/>
  <c r="O475" i="1" s="1"/>
  <c r="M476" i="1"/>
  <c r="O476" i="1" s="1"/>
  <c r="M477" i="1"/>
  <c r="O477" i="1" s="1"/>
  <c r="M478" i="1"/>
  <c r="O478" i="1" s="1"/>
  <c r="M479" i="1"/>
  <c r="O479" i="1" s="1"/>
  <c r="M480" i="1"/>
  <c r="O480" i="1" s="1"/>
  <c r="M481" i="1"/>
  <c r="O481" i="1" s="1"/>
  <c r="M482" i="1"/>
  <c r="O482" i="1" s="1"/>
  <c r="M483" i="1"/>
  <c r="O483" i="1" s="1"/>
  <c r="M484" i="1"/>
  <c r="O484" i="1" s="1"/>
  <c r="M485" i="1"/>
  <c r="O485" i="1" s="1"/>
  <c r="M486" i="1"/>
  <c r="O486" i="1" s="1"/>
  <c r="M487" i="1"/>
  <c r="O487" i="1" s="1"/>
  <c r="M488" i="1"/>
  <c r="O488" i="1" s="1"/>
  <c r="M489" i="1"/>
  <c r="O489" i="1" s="1"/>
  <c r="M490" i="1"/>
  <c r="O490" i="1" s="1"/>
  <c r="M491" i="1"/>
  <c r="O491" i="1" s="1"/>
  <c r="M492" i="1"/>
  <c r="O492" i="1" s="1"/>
  <c r="M493" i="1"/>
  <c r="O493" i="1" s="1"/>
  <c r="M494" i="1"/>
  <c r="O494" i="1" s="1"/>
  <c r="M495" i="1"/>
  <c r="O495" i="1" s="1"/>
  <c r="M496" i="1"/>
  <c r="O496" i="1" s="1"/>
  <c r="M497" i="1"/>
  <c r="O497" i="1" s="1"/>
  <c r="M498" i="1"/>
  <c r="O498" i="1" s="1"/>
  <c r="M499" i="1"/>
  <c r="O499" i="1" s="1"/>
  <c r="M500" i="1"/>
  <c r="O500" i="1" s="1"/>
  <c r="M501" i="1"/>
  <c r="O501" i="1" s="1"/>
  <c r="M502" i="1"/>
  <c r="O502" i="1" s="1"/>
  <c r="M503" i="1"/>
  <c r="O503" i="1" s="1"/>
  <c r="M504" i="1"/>
  <c r="O504" i="1" s="1"/>
  <c r="M505" i="1"/>
  <c r="O505" i="1" s="1"/>
  <c r="M506" i="1"/>
  <c r="O506" i="1" s="1"/>
  <c r="M507" i="1"/>
  <c r="O507" i="1" s="1"/>
  <c r="M508" i="1"/>
  <c r="O508" i="1" s="1"/>
  <c r="M509" i="1"/>
  <c r="O509" i="1" s="1"/>
  <c r="M510" i="1"/>
  <c r="O510" i="1" s="1"/>
  <c r="M511" i="1"/>
  <c r="O511" i="1" s="1"/>
  <c r="M512" i="1"/>
  <c r="O512" i="1" s="1"/>
  <c r="M513" i="1"/>
  <c r="O513" i="1" s="1"/>
  <c r="M514" i="1"/>
  <c r="O514" i="1" s="1"/>
  <c r="M515" i="1"/>
  <c r="O515" i="1" s="1"/>
  <c r="M516" i="1"/>
  <c r="O516" i="1" s="1"/>
  <c r="M517" i="1"/>
  <c r="O517" i="1" s="1"/>
  <c r="M518" i="1"/>
  <c r="O518" i="1" s="1"/>
  <c r="M519" i="1"/>
  <c r="O519" i="1" s="1"/>
  <c r="M520" i="1"/>
  <c r="O520" i="1" s="1"/>
  <c r="M521" i="1"/>
  <c r="O521" i="1" s="1"/>
  <c r="M522" i="1"/>
  <c r="O522" i="1" s="1"/>
  <c r="M523" i="1"/>
  <c r="O523" i="1" s="1"/>
  <c r="M524" i="1"/>
  <c r="O524" i="1" s="1"/>
  <c r="M525" i="1"/>
  <c r="O525" i="1" s="1"/>
  <c r="M526" i="1"/>
  <c r="O526" i="1" s="1"/>
  <c r="M527" i="1"/>
  <c r="O527" i="1" s="1"/>
  <c r="M528" i="1"/>
  <c r="O528" i="1" s="1"/>
  <c r="M529" i="1"/>
  <c r="O529" i="1" s="1"/>
  <c r="M530" i="1"/>
  <c r="O530" i="1" s="1"/>
  <c r="M531" i="1"/>
  <c r="O531" i="1" s="1"/>
  <c r="M532" i="1"/>
  <c r="O532" i="1" s="1"/>
  <c r="M533" i="1"/>
  <c r="O533" i="1" s="1"/>
  <c r="M534" i="1"/>
  <c r="O534" i="1" s="1"/>
  <c r="M535" i="1"/>
  <c r="O535" i="1" s="1"/>
  <c r="M536" i="1"/>
  <c r="O536" i="1" s="1"/>
  <c r="M537" i="1"/>
  <c r="O537" i="1" s="1"/>
  <c r="M538" i="1"/>
  <c r="O538" i="1" s="1"/>
  <c r="M539" i="1"/>
  <c r="O539" i="1" s="1"/>
  <c r="M540" i="1"/>
  <c r="O540" i="1" s="1"/>
  <c r="M541" i="1"/>
  <c r="O541" i="1" s="1"/>
  <c r="M542" i="1"/>
  <c r="O542" i="1" s="1"/>
  <c r="M543" i="1"/>
  <c r="O543" i="1" s="1"/>
  <c r="M544" i="1"/>
  <c r="O544" i="1" s="1"/>
  <c r="M545" i="1"/>
  <c r="O545" i="1" s="1"/>
  <c r="M546" i="1"/>
  <c r="O546" i="1" s="1"/>
  <c r="M547" i="1"/>
  <c r="O547" i="1" s="1"/>
  <c r="M548" i="1"/>
  <c r="O548" i="1" s="1"/>
  <c r="M549" i="1"/>
  <c r="O549" i="1" s="1"/>
  <c r="M550" i="1"/>
  <c r="O550" i="1" s="1"/>
  <c r="M551" i="1"/>
  <c r="O551" i="1" s="1"/>
  <c r="M552" i="1"/>
  <c r="O552" i="1" s="1"/>
  <c r="M553" i="1"/>
  <c r="O553" i="1" s="1"/>
  <c r="M554" i="1"/>
  <c r="O554" i="1" s="1"/>
  <c r="M555" i="1"/>
  <c r="O555" i="1" s="1"/>
  <c r="M556" i="1"/>
  <c r="O556" i="1" s="1"/>
  <c r="M557" i="1"/>
  <c r="O557" i="1" s="1"/>
  <c r="M558" i="1"/>
  <c r="O558" i="1" s="1"/>
  <c r="M559" i="1"/>
  <c r="O559" i="1" s="1"/>
  <c r="M560" i="1"/>
  <c r="O560" i="1" s="1"/>
  <c r="M561" i="1"/>
  <c r="O561" i="1" s="1"/>
  <c r="M562" i="1"/>
  <c r="O562" i="1" s="1"/>
  <c r="M563" i="1"/>
  <c r="O563" i="1" s="1"/>
  <c r="M564" i="1"/>
  <c r="O564" i="1" s="1"/>
  <c r="M565" i="1"/>
  <c r="O565" i="1" s="1"/>
  <c r="M566" i="1"/>
  <c r="O566" i="1" s="1"/>
  <c r="M567" i="1"/>
  <c r="O567" i="1" s="1"/>
  <c r="M568" i="1"/>
  <c r="O568" i="1" s="1"/>
  <c r="M569" i="1"/>
  <c r="O569" i="1" s="1"/>
  <c r="M570" i="1"/>
  <c r="O570" i="1" s="1"/>
  <c r="M571" i="1"/>
  <c r="O571" i="1" s="1"/>
  <c r="M572" i="1"/>
  <c r="O572" i="1" s="1"/>
  <c r="M573" i="1"/>
  <c r="O573" i="1" s="1"/>
  <c r="M574" i="1"/>
  <c r="O574" i="1" s="1"/>
  <c r="M575" i="1"/>
  <c r="O575" i="1" s="1"/>
  <c r="M576" i="1"/>
  <c r="O576" i="1" s="1"/>
  <c r="M577" i="1"/>
  <c r="O577" i="1" s="1"/>
  <c r="M578" i="1"/>
  <c r="O578" i="1" s="1"/>
  <c r="M579" i="1"/>
  <c r="O579" i="1" s="1"/>
  <c r="M580" i="1"/>
  <c r="O580" i="1" s="1"/>
  <c r="M581" i="1"/>
  <c r="O581" i="1" s="1"/>
  <c r="M582" i="1"/>
  <c r="O582" i="1" s="1"/>
  <c r="M583" i="1"/>
  <c r="O583" i="1" s="1"/>
  <c r="M584" i="1"/>
  <c r="O584" i="1" s="1"/>
  <c r="M585" i="1"/>
  <c r="O585" i="1" s="1"/>
  <c r="M586" i="1"/>
  <c r="O586" i="1" s="1"/>
  <c r="M587" i="1"/>
  <c r="O587" i="1" s="1"/>
  <c r="M588" i="1"/>
  <c r="O588" i="1" s="1"/>
  <c r="M589" i="1"/>
  <c r="O589" i="1" s="1"/>
  <c r="M590" i="1"/>
  <c r="O590" i="1" s="1"/>
  <c r="M591" i="1"/>
  <c r="O591" i="1" s="1"/>
  <c r="M592" i="1"/>
  <c r="O592" i="1" s="1"/>
  <c r="M593" i="1"/>
  <c r="O593" i="1" s="1"/>
  <c r="M594" i="1"/>
  <c r="O594" i="1" s="1"/>
  <c r="M595" i="1"/>
  <c r="O595" i="1" s="1"/>
  <c r="M596" i="1"/>
  <c r="O596" i="1" s="1"/>
  <c r="M597" i="1"/>
  <c r="O597" i="1" s="1"/>
  <c r="M598" i="1"/>
  <c r="O598" i="1" s="1"/>
  <c r="M599" i="1"/>
  <c r="O599" i="1" s="1"/>
  <c r="M600" i="1"/>
  <c r="O600" i="1" s="1"/>
  <c r="M601" i="1"/>
  <c r="O601" i="1" s="1"/>
  <c r="M602" i="1"/>
  <c r="O602" i="1" s="1"/>
  <c r="M603" i="1"/>
  <c r="O603" i="1" s="1"/>
  <c r="M604" i="1"/>
  <c r="O604" i="1" s="1"/>
  <c r="M605" i="1"/>
  <c r="O605" i="1" s="1"/>
  <c r="M606" i="1"/>
  <c r="O606" i="1" s="1"/>
  <c r="M607" i="1"/>
  <c r="O607" i="1" s="1"/>
  <c r="M608" i="1"/>
  <c r="O608" i="1" s="1"/>
  <c r="M609" i="1"/>
  <c r="O609" i="1" s="1"/>
  <c r="M610" i="1"/>
  <c r="O610" i="1" s="1"/>
  <c r="M611" i="1"/>
  <c r="O611" i="1" s="1"/>
  <c r="M612" i="1"/>
  <c r="O612" i="1" s="1"/>
  <c r="M613" i="1"/>
  <c r="O613" i="1" s="1"/>
  <c r="M614" i="1"/>
  <c r="O614" i="1" s="1"/>
  <c r="M615" i="1"/>
  <c r="O615" i="1" s="1"/>
  <c r="M616" i="1"/>
  <c r="O616" i="1" s="1"/>
  <c r="M617" i="1"/>
  <c r="O617" i="1" s="1"/>
  <c r="M618" i="1"/>
  <c r="O618" i="1" s="1"/>
  <c r="M619" i="1"/>
  <c r="O619" i="1" s="1"/>
  <c r="M620" i="1"/>
  <c r="O620" i="1" s="1"/>
  <c r="M621" i="1"/>
  <c r="O621" i="1" s="1"/>
  <c r="M622" i="1"/>
  <c r="O622" i="1" s="1"/>
  <c r="M623" i="1"/>
  <c r="O623" i="1" s="1"/>
  <c r="M624" i="1"/>
  <c r="O624" i="1" s="1"/>
  <c r="M625" i="1"/>
  <c r="O625" i="1" s="1"/>
  <c r="M626" i="1"/>
  <c r="O626" i="1" s="1"/>
  <c r="M627" i="1"/>
  <c r="O627" i="1" s="1"/>
  <c r="M628" i="1"/>
  <c r="O628" i="1" s="1"/>
  <c r="M629" i="1"/>
  <c r="O629" i="1" s="1"/>
  <c r="M630" i="1"/>
  <c r="O630" i="1" s="1"/>
  <c r="M631" i="1"/>
  <c r="O631" i="1" s="1"/>
  <c r="M632" i="1"/>
  <c r="O632" i="1" s="1"/>
  <c r="M633" i="1"/>
  <c r="O633" i="1" s="1"/>
  <c r="M634" i="1"/>
  <c r="O634" i="1" s="1"/>
  <c r="M635" i="1"/>
  <c r="O635" i="1" s="1"/>
  <c r="M636" i="1"/>
  <c r="O636" i="1" s="1"/>
  <c r="M637" i="1"/>
  <c r="O637" i="1" s="1"/>
  <c r="M638" i="1"/>
  <c r="O638" i="1" s="1"/>
  <c r="M639" i="1"/>
  <c r="O639" i="1" s="1"/>
  <c r="M640" i="1"/>
  <c r="O640" i="1" s="1"/>
  <c r="M641" i="1"/>
  <c r="O641" i="1" s="1"/>
  <c r="M642" i="1"/>
  <c r="O642" i="1" s="1"/>
  <c r="M643" i="1"/>
  <c r="O643" i="1" s="1"/>
  <c r="M644" i="1"/>
  <c r="O644" i="1" s="1"/>
  <c r="M645" i="1"/>
  <c r="O645" i="1" s="1"/>
  <c r="M646" i="1"/>
  <c r="O646" i="1" s="1"/>
  <c r="M647" i="1"/>
  <c r="O647" i="1" s="1"/>
  <c r="M648" i="1"/>
  <c r="O648" i="1" s="1"/>
  <c r="M649" i="1"/>
  <c r="O649" i="1" s="1"/>
  <c r="M650" i="1"/>
  <c r="O650" i="1" s="1"/>
  <c r="M651" i="1"/>
  <c r="O651" i="1" s="1"/>
  <c r="M652" i="1"/>
  <c r="O652" i="1" s="1"/>
  <c r="M653" i="1"/>
  <c r="O653" i="1" s="1"/>
  <c r="M654" i="1"/>
  <c r="O654" i="1" s="1"/>
  <c r="M655" i="1"/>
  <c r="O655" i="1" s="1"/>
  <c r="M656" i="1"/>
  <c r="O656" i="1" s="1"/>
  <c r="M657" i="1"/>
  <c r="O657" i="1" s="1"/>
  <c r="M658" i="1"/>
  <c r="O658" i="1" s="1"/>
  <c r="M659" i="1"/>
  <c r="O659" i="1" s="1"/>
  <c r="M660" i="1"/>
  <c r="O660" i="1" s="1"/>
  <c r="M661" i="1"/>
  <c r="O661" i="1" s="1"/>
  <c r="M662" i="1"/>
  <c r="O662" i="1" s="1"/>
  <c r="M663" i="1"/>
  <c r="O663" i="1" s="1"/>
  <c r="M664" i="1"/>
  <c r="O664" i="1" s="1"/>
  <c r="M665" i="1"/>
  <c r="O665" i="1" s="1"/>
  <c r="M666" i="1"/>
  <c r="O666" i="1" s="1"/>
  <c r="M667" i="1"/>
  <c r="O667" i="1" s="1"/>
  <c r="M668" i="1"/>
  <c r="O668" i="1" s="1"/>
  <c r="M669" i="1"/>
  <c r="O669" i="1" s="1"/>
  <c r="M670" i="1"/>
  <c r="O670" i="1" s="1"/>
  <c r="M671" i="1"/>
  <c r="O671" i="1" s="1"/>
  <c r="M672" i="1"/>
  <c r="O672" i="1" s="1"/>
  <c r="M673" i="1"/>
  <c r="O673" i="1" s="1"/>
  <c r="M674" i="1"/>
  <c r="O674" i="1" s="1"/>
  <c r="M675" i="1"/>
  <c r="O675" i="1" s="1"/>
  <c r="M676" i="1"/>
  <c r="O676" i="1" s="1"/>
  <c r="M677" i="1"/>
  <c r="O677" i="1" s="1"/>
  <c r="M678" i="1"/>
  <c r="O678" i="1" s="1"/>
  <c r="M679" i="1"/>
  <c r="O679" i="1" s="1"/>
  <c r="M680" i="1"/>
  <c r="O680" i="1" s="1"/>
  <c r="M681" i="1"/>
  <c r="O681" i="1" s="1"/>
  <c r="M682" i="1"/>
  <c r="O682" i="1" s="1"/>
  <c r="M683" i="1"/>
  <c r="O683" i="1" s="1"/>
  <c r="M684" i="1"/>
  <c r="O684" i="1" s="1"/>
  <c r="M685" i="1"/>
  <c r="O685" i="1" s="1"/>
  <c r="M686" i="1"/>
  <c r="O686" i="1" s="1"/>
  <c r="M687" i="1"/>
  <c r="O687" i="1" s="1"/>
  <c r="M688" i="1"/>
  <c r="O688" i="1" s="1"/>
  <c r="M689" i="1"/>
  <c r="O689" i="1" s="1"/>
  <c r="M690" i="1"/>
  <c r="O690" i="1" s="1"/>
  <c r="M691" i="1"/>
  <c r="O691" i="1" s="1"/>
  <c r="M692" i="1"/>
  <c r="O692" i="1" s="1"/>
  <c r="M693" i="1"/>
  <c r="O693" i="1" s="1"/>
  <c r="M694" i="1"/>
  <c r="O694" i="1" s="1"/>
  <c r="M695" i="1"/>
  <c r="O695" i="1" s="1"/>
  <c r="M696" i="1"/>
  <c r="O696" i="1" s="1"/>
  <c r="M697" i="1"/>
  <c r="O697" i="1" s="1"/>
  <c r="M698" i="1"/>
  <c r="O698" i="1" s="1"/>
  <c r="M699" i="1"/>
  <c r="O699" i="1" s="1"/>
  <c r="M700" i="1"/>
  <c r="O700" i="1" s="1"/>
  <c r="M701" i="1"/>
  <c r="O701" i="1" s="1"/>
  <c r="M702" i="1"/>
  <c r="O702" i="1" s="1"/>
  <c r="M703" i="1"/>
  <c r="O703" i="1" s="1"/>
  <c r="M704" i="1"/>
  <c r="O704" i="1" s="1"/>
  <c r="M705" i="1"/>
  <c r="O705" i="1" s="1"/>
  <c r="M706" i="1"/>
  <c r="O706" i="1" s="1"/>
  <c r="M707" i="1"/>
  <c r="O707" i="1" s="1"/>
  <c r="M708" i="1"/>
  <c r="O708" i="1" s="1"/>
  <c r="M709" i="1"/>
  <c r="O709" i="1" s="1"/>
  <c r="M710" i="1"/>
  <c r="O710" i="1" s="1"/>
  <c r="M711" i="1"/>
  <c r="O711" i="1" s="1"/>
  <c r="M712" i="1"/>
  <c r="O712" i="1" s="1"/>
  <c r="M713" i="1"/>
  <c r="O713" i="1" s="1"/>
  <c r="M714" i="1"/>
  <c r="O714" i="1" s="1"/>
  <c r="M715" i="1"/>
  <c r="O715" i="1" s="1"/>
  <c r="M716" i="1"/>
  <c r="O716" i="1" s="1"/>
  <c r="M717" i="1"/>
  <c r="O717" i="1" s="1"/>
  <c r="M718" i="1"/>
  <c r="O718" i="1" s="1"/>
  <c r="M719" i="1"/>
  <c r="O719" i="1" s="1"/>
  <c r="M720" i="1"/>
  <c r="O720" i="1" s="1"/>
  <c r="M721" i="1"/>
  <c r="O721" i="1" s="1"/>
  <c r="M722" i="1"/>
  <c r="O722" i="1" s="1"/>
  <c r="M723" i="1"/>
  <c r="O723" i="1" s="1"/>
  <c r="M724" i="1"/>
  <c r="O724" i="1" s="1"/>
  <c r="M725" i="1"/>
  <c r="O725" i="1" s="1"/>
  <c r="M726" i="1"/>
  <c r="O726" i="1" s="1"/>
  <c r="M727" i="1"/>
  <c r="O727" i="1" s="1"/>
  <c r="M728" i="1"/>
  <c r="O728" i="1" s="1"/>
  <c r="M729" i="1"/>
  <c r="O729" i="1" s="1"/>
  <c r="M730" i="1"/>
  <c r="O730" i="1" s="1"/>
  <c r="M731" i="1"/>
  <c r="O731" i="1" s="1"/>
  <c r="M732" i="1"/>
  <c r="O732" i="1" s="1"/>
  <c r="M733" i="1"/>
  <c r="O733" i="1" s="1"/>
  <c r="M734" i="1"/>
  <c r="O734" i="1" s="1"/>
  <c r="M735" i="1"/>
  <c r="O735" i="1" s="1"/>
  <c r="M736" i="1"/>
  <c r="O736" i="1" s="1"/>
  <c r="M737" i="1"/>
  <c r="O737" i="1" s="1"/>
  <c r="M738" i="1"/>
  <c r="O738" i="1" s="1"/>
  <c r="M739" i="1"/>
  <c r="O739" i="1" s="1"/>
  <c r="M740" i="1"/>
  <c r="O740" i="1" s="1"/>
  <c r="M741" i="1"/>
  <c r="O741" i="1" s="1"/>
  <c r="M742" i="1"/>
  <c r="O742" i="1" s="1"/>
  <c r="M743" i="1"/>
  <c r="O743" i="1" s="1"/>
  <c r="M744" i="1"/>
  <c r="O744" i="1" s="1"/>
  <c r="M745" i="1"/>
  <c r="O745" i="1" s="1"/>
  <c r="M746" i="1"/>
  <c r="O746" i="1" s="1"/>
  <c r="M747" i="1"/>
  <c r="O747" i="1" s="1"/>
  <c r="M748" i="1"/>
  <c r="O748" i="1" s="1"/>
  <c r="M749" i="1"/>
  <c r="O749" i="1" s="1"/>
  <c r="M750" i="1"/>
  <c r="O750" i="1" s="1"/>
  <c r="M751" i="1"/>
  <c r="O751" i="1" s="1"/>
  <c r="M752" i="1"/>
  <c r="O752" i="1" s="1"/>
  <c r="M753" i="1"/>
  <c r="O753" i="1" s="1"/>
  <c r="M754" i="1"/>
  <c r="O754" i="1" s="1"/>
  <c r="M755" i="1"/>
  <c r="O755" i="1" s="1"/>
  <c r="M756" i="1"/>
  <c r="O756" i="1" s="1"/>
  <c r="M757" i="1"/>
  <c r="O757" i="1" s="1"/>
  <c r="M758" i="1"/>
  <c r="O758" i="1" s="1"/>
  <c r="M759" i="1"/>
  <c r="O759" i="1" s="1"/>
  <c r="M760" i="1"/>
  <c r="O760" i="1" s="1"/>
  <c r="M761" i="1"/>
  <c r="O761" i="1" s="1"/>
  <c r="M762" i="1"/>
  <c r="O762" i="1" s="1"/>
  <c r="M763" i="1"/>
  <c r="O763" i="1" s="1"/>
  <c r="M764" i="1"/>
  <c r="O764" i="1" s="1"/>
  <c r="M765" i="1"/>
  <c r="O765" i="1" s="1"/>
  <c r="M766" i="1"/>
  <c r="O766" i="1" s="1"/>
  <c r="M767" i="1"/>
  <c r="O767" i="1" s="1"/>
  <c r="M768" i="1"/>
  <c r="O768" i="1" s="1"/>
  <c r="M769" i="1"/>
  <c r="O769" i="1" s="1"/>
  <c r="M770" i="1"/>
  <c r="O770" i="1" s="1"/>
  <c r="M771" i="1"/>
  <c r="O771" i="1" s="1"/>
  <c r="M772" i="1"/>
  <c r="O772" i="1" s="1"/>
  <c r="M773" i="1"/>
  <c r="O773" i="1" s="1"/>
  <c r="M774" i="1"/>
  <c r="O774" i="1" s="1"/>
  <c r="M775" i="1"/>
  <c r="O775" i="1" s="1"/>
  <c r="M776" i="1"/>
  <c r="O776" i="1" s="1"/>
  <c r="M777" i="1"/>
  <c r="O777" i="1" s="1"/>
  <c r="M778" i="1"/>
  <c r="O778" i="1" s="1"/>
  <c r="M779" i="1"/>
  <c r="O779" i="1" s="1"/>
  <c r="M780" i="1"/>
  <c r="O780" i="1" s="1"/>
  <c r="M781" i="1"/>
  <c r="O781" i="1" s="1"/>
  <c r="M782" i="1"/>
  <c r="O782" i="1" s="1"/>
  <c r="M783" i="1"/>
  <c r="O783" i="1" s="1"/>
  <c r="M784" i="1"/>
  <c r="O784" i="1" s="1"/>
  <c r="M785" i="1"/>
  <c r="O785" i="1" s="1"/>
  <c r="M786" i="1"/>
  <c r="O786" i="1" s="1"/>
  <c r="M787" i="1"/>
  <c r="O787" i="1" s="1"/>
  <c r="M788" i="1"/>
  <c r="O788" i="1" s="1"/>
  <c r="M789" i="1"/>
  <c r="O789" i="1" s="1"/>
  <c r="M790" i="1"/>
  <c r="O790" i="1" s="1"/>
  <c r="M791" i="1"/>
  <c r="O791" i="1" s="1"/>
  <c r="M792" i="1"/>
  <c r="O792" i="1" s="1"/>
  <c r="M793" i="1"/>
  <c r="O793" i="1" s="1"/>
  <c r="M794" i="1"/>
  <c r="O794" i="1" s="1"/>
  <c r="M795" i="1"/>
  <c r="O795" i="1" s="1"/>
  <c r="M796" i="1"/>
  <c r="O796" i="1" s="1"/>
  <c r="M797" i="1"/>
  <c r="O797" i="1" s="1"/>
  <c r="M798" i="1"/>
  <c r="O798" i="1" s="1"/>
  <c r="M799" i="1"/>
  <c r="O799" i="1" s="1"/>
  <c r="M800" i="1"/>
  <c r="O800" i="1" s="1"/>
  <c r="M801" i="1"/>
  <c r="O801" i="1" s="1"/>
  <c r="M802" i="1"/>
  <c r="O802" i="1" s="1"/>
  <c r="M803" i="1"/>
  <c r="O803" i="1" s="1"/>
  <c r="M804" i="1"/>
  <c r="O804" i="1" s="1"/>
  <c r="M805" i="1"/>
  <c r="O805" i="1" s="1"/>
  <c r="M806" i="1"/>
  <c r="O806" i="1" s="1"/>
  <c r="M807" i="1"/>
  <c r="O807" i="1" s="1"/>
  <c r="M808" i="1"/>
  <c r="O808" i="1" s="1"/>
  <c r="M809" i="1"/>
  <c r="O809" i="1" s="1"/>
  <c r="M810" i="1"/>
  <c r="O810" i="1" s="1"/>
  <c r="M811" i="1"/>
  <c r="O811" i="1" s="1"/>
  <c r="M812" i="1"/>
  <c r="O812" i="1" s="1"/>
  <c r="M813" i="1"/>
  <c r="O813" i="1" s="1"/>
  <c r="M814" i="1"/>
  <c r="O814" i="1" s="1"/>
  <c r="M815" i="1"/>
  <c r="O815" i="1" s="1"/>
  <c r="M816" i="1"/>
  <c r="O816" i="1" s="1"/>
  <c r="M817" i="1"/>
  <c r="O817" i="1" s="1"/>
  <c r="M818" i="1"/>
  <c r="O818" i="1" s="1"/>
  <c r="M819" i="1"/>
  <c r="O819" i="1" s="1"/>
  <c r="M820" i="1"/>
  <c r="O820" i="1" s="1"/>
  <c r="M821" i="1"/>
  <c r="O821" i="1" s="1"/>
  <c r="M822" i="1"/>
  <c r="O822" i="1" s="1"/>
  <c r="M823" i="1"/>
  <c r="O823" i="1" s="1"/>
  <c r="M824" i="1"/>
  <c r="O824" i="1" s="1"/>
  <c r="M825" i="1"/>
  <c r="O825" i="1" s="1"/>
  <c r="M826" i="1"/>
  <c r="O826" i="1" s="1"/>
  <c r="M827" i="1"/>
  <c r="O827" i="1" s="1"/>
  <c r="M828" i="1"/>
  <c r="O828" i="1" s="1"/>
  <c r="M829" i="1"/>
  <c r="O829" i="1" s="1"/>
  <c r="M830" i="1"/>
  <c r="O830" i="1" s="1"/>
  <c r="M831" i="1"/>
  <c r="O831" i="1" s="1"/>
  <c r="M832" i="1"/>
  <c r="O832" i="1" s="1"/>
  <c r="M833" i="1"/>
  <c r="O833" i="1" s="1"/>
  <c r="M834" i="1"/>
  <c r="O834" i="1" s="1"/>
  <c r="M835" i="1"/>
  <c r="O835" i="1" s="1"/>
  <c r="M836" i="1"/>
  <c r="O836" i="1" s="1"/>
  <c r="M837" i="1"/>
  <c r="O837" i="1" s="1"/>
  <c r="M838" i="1"/>
  <c r="O838" i="1" s="1"/>
  <c r="M839" i="1"/>
  <c r="O839" i="1" s="1"/>
  <c r="M840" i="1"/>
  <c r="O840" i="1" s="1"/>
  <c r="M841" i="1"/>
  <c r="O841" i="1" s="1"/>
  <c r="M842" i="1"/>
  <c r="O842" i="1" s="1"/>
  <c r="M843" i="1"/>
  <c r="O843" i="1" s="1"/>
  <c r="M844" i="1"/>
  <c r="O844" i="1" s="1"/>
  <c r="M845" i="1"/>
  <c r="O845" i="1" s="1"/>
  <c r="M846" i="1"/>
  <c r="O846" i="1" s="1"/>
  <c r="M847" i="1"/>
  <c r="O847" i="1" s="1"/>
  <c r="M848" i="1"/>
  <c r="O848" i="1" s="1"/>
  <c r="M849" i="1"/>
  <c r="O849" i="1" s="1"/>
  <c r="M850" i="1"/>
  <c r="O850" i="1" s="1"/>
  <c r="M851" i="1"/>
  <c r="O851" i="1" s="1"/>
  <c r="M852" i="1"/>
  <c r="O852" i="1" s="1"/>
  <c r="M853" i="1"/>
  <c r="O853" i="1" s="1"/>
  <c r="M854" i="1"/>
  <c r="O854" i="1" s="1"/>
  <c r="M855" i="1"/>
  <c r="O855" i="1" s="1"/>
  <c r="M856" i="1"/>
  <c r="O856" i="1" s="1"/>
  <c r="M857" i="1"/>
  <c r="M858" i="1"/>
  <c r="O858" i="1" s="1"/>
  <c r="M859" i="1"/>
  <c r="O859" i="1" s="1"/>
  <c r="M860" i="1"/>
  <c r="O860" i="1" s="1"/>
  <c r="M861" i="1"/>
  <c r="O861" i="1" s="1"/>
  <c r="M862" i="1"/>
  <c r="O862" i="1" s="1"/>
  <c r="M863" i="1"/>
  <c r="O863" i="1" s="1"/>
  <c r="M864" i="1"/>
  <c r="O864" i="1" s="1"/>
  <c r="M865" i="1"/>
  <c r="O865" i="1" s="1"/>
  <c r="M866" i="1"/>
  <c r="O866" i="1" s="1"/>
  <c r="M867" i="1"/>
  <c r="O867" i="1" s="1"/>
  <c r="M868" i="1"/>
  <c r="O868" i="1" s="1"/>
  <c r="M869" i="1"/>
  <c r="O869" i="1" s="1"/>
  <c r="M870" i="1"/>
  <c r="O870" i="1" s="1"/>
  <c r="M871" i="1"/>
  <c r="O871" i="1" s="1"/>
  <c r="M872" i="1"/>
  <c r="O872" i="1" s="1"/>
  <c r="M873" i="1"/>
  <c r="M874" i="1"/>
  <c r="O874" i="1" s="1"/>
  <c r="M875" i="1"/>
  <c r="O875" i="1" s="1"/>
  <c r="M876" i="1"/>
  <c r="O876" i="1" s="1"/>
  <c r="M877" i="1"/>
  <c r="M878" i="1"/>
  <c r="O878" i="1" s="1"/>
  <c r="M879" i="1"/>
  <c r="O879" i="1" s="1"/>
  <c r="M880" i="1"/>
  <c r="O880" i="1" s="1"/>
  <c r="M881" i="1"/>
  <c r="M882" i="1"/>
  <c r="O882" i="1" s="1"/>
  <c r="M883" i="1"/>
  <c r="O883" i="1" s="1"/>
  <c r="M884" i="1"/>
  <c r="O884" i="1" s="1"/>
  <c r="M885" i="1"/>
  <c r="M886" i="1"/>
  <c r="O886" i="1" s="1"/>
  <c r="M887" i="1"/>
  <c r="O887" i="1" s="1"/>
  <c r="M888" i="1"/>
  <c r="O888" i="1" s="1"/>
  <c r="M889" i="1"/>
  <c r="M890" i="1"/>
  <c r="O890" i="1" s="1"/>
  <c r="M891" i="1"/>
  <c r="O891" i="1" s="1"/>
  <c r="M892" i="1"/>
  <c r="O892" i="1" s="1"/>
  <c r="M893" i="1"/>
  <c r="M894" i="1"/>
  <c r="O894" i="1" s="1"/>
  <c r="M895" i="1"/>
  <c r="O895" i="1" s="1"/>
  <c r="M896" i="1"/>
  <c r="O896" i="1" s="1"/>
  <c r="M897" i="1"/>
  <c r="M898" i="1"/>
  <c r="O898" i="1" s="1"/>
  <c r="M899" i="1"/>
  <c r="O899" i="1" s="1"/>
  <c r="M900" i="1"/>
  <c r="O900" i="1" s="1"/>
  <c r="M901" i="1"/>
  <c r="M902" i="1"/>
  <c r="O902" i="1" s="1"/>
  <c r="M903" i="1"/>
  <c r="O903" i="1" s="1"/>
  <c r="M904" i="1"/>
  <c r="O904" i="1" s="1"/>
  <c r="M905" i="1"/>
  <c r="M906" i="1"/>
  <c r="O906" i="1" s="1"/>
  <c r="M907" i="1"/>
  <c r="O907" i="1" s="1"/>
  <c r="M908" i="1"/>
  <c r="O908" i="1" s="1"/>
  <c r="M909" i="1"/>
  <c r="M910" i="1"/>
  <c r="O910" i="1" s="1"/>
  <c r="M911" i="1"/>
  <c r="O911" i="1" s="1"/>
  <c r="M912" i="1"/>
  <c r="O912" i="1" s="1"/>
  <c r="M913" i="1"/>
  <c r="M914" i="1"/>
  <c r="O914" i="1" s="1"/>
  <c r="M915" i="1"/>
  <c r="O915" i="1" s="1"/>
  <c r="M916" i="1"/>
  <c r="O916" i="1" s="1"/>
  <c r="M917" i="1"/>
  <c r="M918" i="1"/>
  <c r="O918" i="1" s="1"/>
  <c r="M919" i="1"/>
  <c r="O919" i="1" s="1"/>
  <c r="M920" i="1"/>
  <c r="O920" i="1" s="1"/>
  <c r="M921" i="1"/>
  <c r="M922" i="1"/>
  <c r="O922" i="1" s="1"/>
  <c r="M923" i="1"/>
  <c r="O923" i="1" s="1"/>
  <c r="M924" i="1"/>
  <c r="O924" i="1" s="1"/>
  <c r="M925" i="1"/>
  <c r="M926" i="1"/>
  <c r="O926" i="1" s="1"/>
  <c r="M927" i="1"/>
  <c r="O927" i="1" s="1"/>
  <c r="M928" i="1"/>
  <c r="O928" i="1" s="1"/>
  <c r="M929" i="1"/>
  <c r="M930" i="1"/>
  <c r="O930" i="1" s="1"/>
  <c r="M931" i="1"/>
  <c r="O931" i="1" s="1"/>
  <c r="M932" i="1"/>
  <c r="O932" i="1" s="1"/>
  <c r="M933" i="1"/>
  <c r="M934" i="1"/>
  <c r="O934" i="1" s="1"/>
  <c r="M935" i="1"/>
  <c r="O935" i="1" s="1"/>
  <c r="M936" i="1"/>
  <c r="O936" i="1" s="1"/>
  <c r="M937" i="1"/>
  <c r="M938" i="1"/>
  <c r="O938" i="1" s="1"/>
  <c r="M939" i="1"/>
  <c r="O939" i="1" s="1"/>
  <c r="M940" i="1"/>
  <c r="O940" i="1" s="1"/>
  <c r="M941" i="1"/>
  <c r="M942" i="1"/>
  <c r="O942" i="1" s="1"/>
  <c r="M943" i="1"/>
  <c r="O943" i="1" s="1"/>
  <c r="M944" i="1"/>
  <c r="O944" i="1" s="1"/>
  <c r="M945" i="1"/>
  <c r="M946" i="1"/>
  <c r="O946" i="1" s="1"/>
  <c r="M947" i="1"/>
  <c r="O947" i="1" s="1"/>
  <c r="M948" i="1"/>
  <c r="O948" i="1" s="1"/>
  <c r="M949" i="1"/>
  <c r="M950" i="1"/>
  <c r="O950" i="1" s="1"/>
  <c r="M951" i="1"/>
  <c r="O951" i="1" s="1"/>
  <c r="M952" i="1"/>
  <c r="O952" i="1" s="1"/>
  <c r="M953" i="1"/>
  <c r="M954" i="1"/>
  <c r="O954" i="1" s="1"/>
  <c r="M955" i="1"/>
  <c r="O955" i="1" s="1"/>
  <c r="M956" i="1"/>
  <c r="O956" i="1" s="1"/>
  <c r="M957" i="1"/>
  <c r="M958" i="1"/>
  <c r="O958" i="1" s="1"/>
  <c r="M959" i="1"/>
  <c r="O959" i="1" s="1"/>
  <c r="M960" i="1"/>
  <c r="O960" i="1" s="1"/>
  <c r="M961" i="1"/>
  <c r="M962" i="1"/>
  <c r="O962" i="1" s="1"/>
  <c r="M963" i="1"/>
  <c r="O963" i="1" s="1"/>
  <c r="M964" i="1"/>
  <c r="O964" i="1" s="1"/>
  <c r="M965" i="1"/>
  <c r="M966" i="1"/>
  <c r="O966" i="1" s="1"/>
  <c r="M967" i="1"/>
  <c r="O967" i="1" s="1"/>
  <c r="M968" i="1"/>
  <c r="O968" i="1" s="1"/>
  <c r="M969" i="1"/>
  <c r="M970" i="1"/>
  <c r="O970" i="1" s="1"/>
  <c r="M971" i="1"/>
  <c r="O971" i="1" s="1"/>
  <c r="M972" i="1"/>
  <c r="O972" i="1" s="1"/>
  <c r="M973" i="1"/>
  <c r="M974" i="1"/>
  <c r="O974" i="1" s="1"/>
  <c r="M975" i="1"/>
  <c r="O975" i="1" s="1"/>
  <c r="M976" i="1"/>
  <c r="O976" i="1" s="1"/>
  <c r="M977" i="1"/>
  <c r="M978" i="1"/>
  <c r="O978" i="1" s="1"/>
  <c r="M979" i="1"/>
  <c r="O979" i="1" s="1"/>
  <c r="M980" i="1"/>
  <c r="O980" i="1" s="1"/>
  <c r="M981" i="1"/>
  <c r="M982" i="1"/>
  <c r="O982" i="1" s="1"/>
  <c r="M983" i="1"/>
  <c r="O983" i="1" s="1"/>
  <c r="M984" i="1"/>
  <c r="O984" i="1" s="1"/>
  <c r="M985" i="1"/>
  <c r="M986" i="1"/>
  <c r="O986" i="1" s="1"/>
  <c r="M987" i="1"/>
  <c r="O987" i="1" s="1"/>
  <c r="M988" i="1"/>
  <c r="O988" i="1" s="1"/>
  <c r="M989" i="1"/>
  <c r="M990" i="1"/>
  <c r="O990" i="1" s="1"/>
  <c r="M991" i="1"/>
  <c r="O991" i="1" s="1"/>
  <c r="M992" i="1"/>
  <c r="O992" i="1" s="1"/>
  <c r="M993" i="1"/>
  <c r="M994" i="1"/>
  <c r="O994" i="1" s="1"/>
  <c r="M995" i="1"/>
  <c r="O995" i="1" s="1"/>
  <c r="M996" i="1"/>
  <c r="O996" i="1" s="1"/>
  <c r="M997" i="1"/>
  <c r="M998" i="1"/>
  <c r="O998" i="1" s="1"/>
  <c r="M999" i="1"/>
  <c r="O999" i="1" s="1"/>
  <c r="M1000" i="1"/>
  <c r="O1000" i="1" s="1"/>
  <c r="M1001" i="1"/>
  <c r="M1002" i="1"/>
  <c r="O1002" i="1" s="1"/>
  <c r="M1003" i="1"/>
  <c r="O1003" i="1" s="1"/>
  <c r="M1004" i="1"/>
  <c r="O1004" i="1" s="1"/>
  <c r="M1005" i="1"/>
  <c r="M1006" i="1"/>
  <c r="O1006" i="1" s="1"/>
  <c r="M1007" i="1"/>
  <c r="O1007" i="1" s="1"/>
  <c r="M1008" i="1"/>
  <c r="O1008" i="1" s="1"/>
  <c r="M1009" i="1"/>
  <c r="M1010" i="1"/>
  <c r="O1010" i="1" s="1"/>
  <c r="M1011" i="1"/>
  <c r="O1011" i="1" s="1"/>
  <c r="M1012" i="1"/>
  <c r="O1012" i="1" s="1"/>
  <c r="M1013" i="1"/>
  <c r="M1014" i="1"/>
  <c r="O1014" i="1" s="1"/>
  <c r="M1015" i="1"/>
  <c r="O1015" i="1" s="1"/>
  <c r="M1016" i="1"/>
  <c r="O1016" i="1" s="1"/>
  <c r="M1017" i="1"/>
  <c r="M1018" i="1"/>
  <c r="O1018" i="1" s="1"/>
  <c r="M1019" i="1"/>
  <c r="O1019" i="1" s="1"/>
  <c r="M1020" i="1"/>
  <c r="O1020" i="1" s="1"/>
  <c r="M1021" i="1"/>
  <c r="M1022" i="1"/>
  <c r="O1022" i="1" s="1"/>
  <c r="M1023" i="1"/>
  <c r="O1023" i="1" s="1"/>
  <c r="M1024" i="1"/>
  <c r="O1024" i="1" s="1"/>
  <c r="M1025" i="1"/>
  <c r="M1026" i="1"/>
  <c r="O1026" i="1" s="1"/>
  <c r="M1027" i="1"/>
  <c r="O1027" i="1" s="1"/>
  <c r="M1028" i="1"/>
  <c r="O1028" i="1" s="1"/>
  <c r="M1029" i="1"/>
  <c r="M1030" i="1"/>
  <c r="O1030" i="1" s="1"/>
  <c r="M1031" i="1"/>
  <c r="O1031" i="1" s="1"/>
  <c r="M1032" i="1"/>
  <c r="O1032" i="1" s="1"/>
  <c r="M1033" i="1"/>
  <c r="M1034" i="1"/>
  <c r="O1034" i="1" s="1"/>
  <c r="M1035" i="1"/>
  <c r="O1035" i="1" s="1"/>
  <c r="M1036" i="1"/>
  <c r="O1036" i="1" s="1"/>
  <c r="M1037" i="1"/>
  <c r="M1038" i="1"/>
  <c r="O1038" i="1" s="1"/>
  <c r="M1039" i="1"/>
  <c r="O1039" i="1" s="1"/>
  <c r="M1040" i="1"/>
  <c r="O1040" i="1" s="1"/>
  <c r="M1041" i="1"/>
  <c r="M1042" i="1"/>
  <c r="O1042" i="1" s="1"/>
  <c r="M1043" i="1"/>
  <c r="O1043" i="1" s="1"/>
  <c r="M1044" i="1"/>
  <c r="O1044" i="1" s="1"/>
  <c r="M1045" i="1"/>
  <c r="M1046" i="1"/>
  <c r="O1046" i="1" s="1"/>
  <c r="M1047" i="1"/>
  <c r="O1047" i="1" s="1"/>
  <c r="M1048" i="1"/>
  <c r="O1048" i="1" s="1"/>
  <c r="M1049" i="1"/>
  <c r="M1050" i="1"/>
  <c r="O1050" i="1" s="1"/>
  <c r="M1051" i="1"/>
  <c r="O1051" i="1" s="1"/>
  <c r="M1052" i="1"/>
  <c r="O1052" i="1" s="1"/>
  <c r="M1053" i="1"/>
  <c r="M1054" i="1"/>
  <c r="O1054" i="1" s="1"/>
  <c r="M1055" i="1"/>
  <c r="O1055" i="1" s="1"/>
  <c r="M1056" i="1"/>
  <c r="O1056" i="1" s="1"/>
  <c r="M1057" i="1"/>
  <c r="M1058" i="1"/>
  <c r="O1058" i="1" s="1"/>
  <c r="M1059" i="1"/>
  <c r="O1059" i="1" s="1"/>
  <c r="M1060" i="1"/>
  <c r="O1060" i="1" s="1"/>
  <c r="M1061" i="1"/>
  <c r="M1062" i="1"/>
  <c r="O1062" i="1" s="1"/>
  <c r="M1063" i="1"/>
  <c r="O1063" i="1" s="1"/>
  <c r="M1064" i="1"/>
  <c r="O1064" i="1" s="1"/>
  <c r="M1065" i="1"/>
  <c r="M1066" i="1"/>
  <c r="O1066" i="1" s="1"/>
  <c r="M1067" i="1"/>
  <c r="O1067" i="1" s="1"/>
  <c r="M1068" i="1"/>
  <c r="O1068" i="1" s="1"/>
  <c r="M1069" i="1"/>
  <c r="M1070" i="1"/>
  <c r="O1070" i="1" s="1"/>
  <c r="M1071" i="1"/>
  <c r="O1071" i="1" s="1"/>
  <c r="M1072" i="1"/>
  <c r="O1072" i="1" s="1"/>
  <c r="M1073" i="1"/>
  <c r="M1074" i="1"/>
  <c r="O1074" i="1" s="1"/>
  <c r="M1075" i="1"/>
  <c r="O1075" i="1" s="1"/>
  <c r="M1076" i="1"/>
  <c r="O1076" i="1" s="1"/>
  <c r="M1077" i="1"/>
  <c r="M1078" i="1"/>
  <c r="O1078" i="1" s="1"/>
  <c r="M1079" i="1"/>
  <c r="O1079" i="1" s="1"/>
  <c r="M1080" i="1"/>
  <c r="O1080" i="1" s="1"/>
  <c r="M1081" i="1"/>
  <c r="M1082" i="1"/>
  <c r="O1082" i="1" s="1"/>
  <c r="M1083" i="1"/>
  <c r="O1083" i="1" s="1"/>
  <c r="M1084" i="1"/>
  <c r="O1084" i="1" s="1"/>
  <c r="M1085" i="1"/>
  <c r="M1086" i="1"/>
  <c r="O1086" i="1" s="1"/>
  <c r="M1087" i="1"/>
  <c r="O1087" i="1" s="1"/>
  <c r="M1088" i="1"/>
  <c r="O1088" i="1" s="1"/>
  <c r="M1089" i="1"/>
  <c r="M1090" i="1"/>
  <c r="O1090" i="1" s="1"/>
  <c r="M1091" i="1"/>
  <c r="O1091" i="1" s="1"/>
  <c r="M1092" i="1"/>
  <c r="O1092" i="1" s="1"/>
  <c r="M1093" i="1"/>
  <c r="M1094" i="1"/>
  <c r="O1094" i="1" s="1"/>
  <c r="M1095" i="1"/>
  <c r="O1095" i="1" s="1"/>
  <c r="M1096" i="1"/>
  <c r="O1096" i="1" s="1"/>
  <c r="M1097" i="1"/>
  <c r="M1098" i="1"/>
  <c r="O1098" i="1" s="1"/>
  <c r="M1099" i="1"/>
  <c r="O1099" i="1" s="1"/>
  <c r="M1100" i="1"/>
  <c r="O1100" i="1" s="1"/>
  <c r="M1101" i="1"/>
  <c r="M1102" i="1"/>
  <c r="O1102" i="1" s="1"/>
  <c r="M1103" i="1"/>
  <c r="O1103" i="1" s="1"/>
  <c r="M1104" i="1"/>
  <c r="O1104" i="1" s="1"/>
  <c r="M1105" i="1"/>
  <c r="M1106" i="1"/>
  <c r="O1106" i="1" s="1"/>
  <c r="M1107" i="1"/>
  <c r="O1107" i="1" s="1"/>
  <c r="M1108" i="1"/>
  <c r="O1108" i="1" s="1"/>
  <c r="M1109" i="1"/>
  <c r="M1110" i="1"/>
  <c r="O1110" i="1" s="1"/>
  <c r="M1111" i="1"/>
  <c r="O1111" i="1" s="1"/>
  <c r="M1112" i="1"/>
  <c r="O1112" i="1" s="1"/>
  <c r="M1113" i="1"/>
  <c r="M1114" i="1"/>
  <c r="O1114" i="1" s="1"/>
  <c r="M1115" i="1"/>
  <c r="O1115" i="1" s="1"/>
  <c r="M1116" i="1"/>
  <c r="O1116" i="1" s="1"/>
  <c r="M1117" i="1"/>
  <c r="M1118" i="1"/>
  <c r="O1118" i="1" s="1"/>
  <c r="M1119" i="1"/>
  <c r="O1119" i="1" s="1"/>
  <c r="M1120" i="1"/>
  <c r="O1120" i="1" s="1"/>
  <c r="M1121" i="1"/>
  <c r="M1122" i="1"/>
  <c r="O1122" i="1" s="1"/>
  <c r="M1123" i="1"/>
  <c r="O1123" i="1" s="1"/>
  <c r="M1124" i="1"/>
  <c r="O1124" i="1" s="1"/>
  <c r="M1125" i="1"/>
  <c r="M1126" i="1"/>
  <c r="O1126" i="1" s="1"/>
  <c r="M1127" i="1"/>
  <c r="O1127" i="1" s="1"/>
  <c r="M1128" i="1"/>
  <c r="O1128" i="1" s="1"/>
  <c r="M1129" i="1"/>
  <c r="M1130" i="1"/>
  <c r="O1130" i="1" s="1"/>
  <c r="M1131" i="1"/>
  <c r="O1131" i="1" s="1"/>
  <c r="M1132" i="1"/>
  <c r="O1132" i="1" s="1"/>
  <c r="M1133" i="1"/>
  <c r="M1134" i="1"/>
  <c r="O1134" i="1" s="1"/>
  <c r="M1135" i="1"/>
  <c r="O1135" i="1" s="1"/>
  <c r="M1136" i="1"/>
  <c r="O1136" i="1" s="1"/>
  <c r="M1137" i="1"/>
  <c r="M1138" i="1"/>
  <c r="O1138" i="1" s="1"/>
  <c r="M1139" i="1"/>
  <c r="O1139" i="1" s="1"/>
  <c r="M1140" i="1"/>
  <c r="O1140" i="1" s="1"/>
  <c r="M1141" i="1"/>
  <c r="M1142" i="1"/>
  <c r="O1142" i="1" s="1"/>
  <c r="M1143" i="1"/>
  <c r="O1143" i="1" s="1"/>
  <c r="M1144" i="1"/>
  <c r="O1144" i="1" s="1"/>
  <c r="M1145" i="1"/>
  <c r="M1146" i="1"/>
  <c r="O1146" i="1" s="1"/>
  <c r="M1147" i="1"/>
  <c r="O1147" i="1" s="1"/>
  <c r="M1148" i="1"/>
  <c r="O1148" i="1" s="1"/>
  <c r="M1149" i="1"/>
  <c r="M1150" i="1"/>
  <c r="O1150" i="1" s="1"/>
  <c r="M1151" i="1"/>
  <c r="O1151" i="1" s="1"/>
  <c r="M1152" i="1"/>
  <c r="O1152" i="1" s="1"/>
  <c r="M1153" i="1"/>
  <c r="M1154" i="1"/>
  <c r="O1154" i="1" s="1"/>
  <c r="M1155" i="1"/>
  <c r="O1155" i="1" s="1"/>
  <c r="M1156" i="1"/>
  <c r="O1156" i="1" s="1"/>
  <c r="M1157" i="1"/>
  <c r="M1158" i="1"/>
  <c r="O1158" i="1" s="1"/>
  <c r="M1159" i="1"/>
  <c r="O1159" i="1" s="1"/>
  <c r="M1160" i="1"/>
  <c r="O1160" i="1" s="1"/>
  <c r="M1161" i="1"/>
  <c r="M1162" i="1"/>
  <c r="O1162" i="1" s="1"/>
  <c r="M1163" i="1"/>
  <c r="O1163" i="1" s="1"/>
  <c r="M1164" i="1"/>
  <c r="O1164" i="1" s="1"/>
  <c r="M1165" i="1"/>
  <c r="M1166" i="1"/>
  <c r="O1166" i="1" s="1"/>
  <c r="M1167" i="1"/>
  <c r="O1167" i="1" s="1"/>
  <c r="M1168" i="1"/>
  <c r="O1168" i="1" s="1"/>
  <c r="M1169" i="1"/>
  <c r="M1170" i="1"/>
  <c r="O1170" i="1" s="1"/>
  <c r="M1171" i="1"/>
  <c r="O1171" i="1" s="1"/>
  <c r="M1172" i="1"/>
  <c r="O1172" i="1" s="1"/>
  <c r="M1173" i="1"/>
  <c r="M1174" i="1"/>
  <c r="O1174" i="1" s="1"/>
  <c r="M1175" i="1"/>
  <c r="O1175" i="1" s="1"/>
  <c r="M1176" i="1"/>
  <c r="O1176" i="1" s="1"/>
  <c r="M1177" i="1"/>
  <c r="M1178" i="1"/>
  <c r="O1178" i="1" s="1"/>
  <c r="M1179" i="1"/>
  <c r="O1179" i="1" s="1"/>
  <c r="M1180" i="1"/>
  <c r="O1180" i="1" s="1"/>
  <c r="M1181" i="1"/>
  <c r="M1182" i="1"/>
  <c r="O1182" i="1" s="1"/>
  <c r="M1183" i="1"/>
  <c r="O1183" i="1" s="1"/>
  <c r="M1184" i="1"/>
  <c r="O1184" i="1" s="1"/>
  <c r="M1185" i="1"/>
  <c r="M1186" i="1"/>
  <c r="O1186" i="1" s="1"/>
  <c r="M1187" i="1"/>
  <c r="O1187" i="1" s="1"/>
  <c r="M1188" i="1"/>
  <c r="O1188" i="1" s="1"/>
  <c r="M1189" i="1"/>
  <c r="M1190" i="1"/>
  <c r="O1190" i="1" s="1"/>
  <c r="M1191" i="1"/>
  <c r="O1191" i="1" s="1"/>
  <c r="M1192" i="1"/>
  <c r="O1192" i="1" s="1"/>
  <c r="M1193" i="1"/>
  <c r="M1194" i="1"/>
  <c r="O1194" i="1" s="1"/>
  <c r="M1195" i="1"/>
  <c r="O1195" i="1" s="1"/>
  <c r="M1196" i="1"/>
  <c r="O1196" i="1" s="1"/>
  <c r="M1197" i="1"/>
  <c r="M1198" i="1"/>
  <c r="O1198" i="1" s="1"/>
  <c r="M1199" i="1"/>
  <c r="O1199" i="1" s="1"/>
  <c r="M1200" i="1"/>
  <c r="O1200" i="1" s="1"/>
  <c r="M1201" i="1"/>
  <c r="M1202" i="1"/>
  <c r="O1202" i="1" s="1"/>
  <c r="M1203" i="1"/>
  <c r="O1203" i="1" s="1"/>
  <c r="M1204" i="1"/>
  <c r="O1204" i="1" s="1"/>
  <c r="M1205" i="1"/>
  <c r="M1206" i="1"/>
  <c r="O1206" i="1" s="1"/>
  <c r="M1207" i="1"/>
  <c r="O1207" i="1" s="1"/>
  <c r="M1208" i="1"/>
  <c r="O1208" i="1" s="1"/>
  <c r="M1209" i="1"/>
  <c r="M1210" i="1"/>
  <c r="O1210" i="1" s="1"/>
  <c r="M1211" i="1"/>
  <c r="O1211" i="1" s="1"/>
  <c r="M1212" i="1"/>
  <c r="O1212" i="1" s="1"/>
  <c r="M1213" i="1"/>
  <c r="M1214" i="1"/>
  <c r="O1214" i="1" s="1"/>
  <c r="M1215" i="1"/>
  <c r="O1215" i="1" s="1"/>
  <c r="M1216" i="1"/>
  <c r="O1216" i="1" s="1"/>
  <c r="M1217" i="1"/>
  <c r="M1218" i="1"/>
  <c r="O1218" i="1" s="1"/>
  <c r="M1219" i="1"/>
  <c r="O1219" i="1" s="1"/>
  <c r="M1220" i="1"/>
  <c r="O1220" i="1" s="1"/>
  <c r="M1221" i="1"/>
  <c r="M1222" i="1"/>
  <c r="O1222" i="1" s="1"/>
  <c r="M1223" i="1"/>
  <c r="O1223" i="1" s="1"/>
  <c r="M1224" i="1"/>
  <c r="O1224" i="1" s="1"/>
  <c r="M1225" i="1"/>
  <c r="M1226" i="1"/>
  <c r="O1226" i="1" s="1"/>
  <c r="M1227" i="1"/>
  <c r="O1227" i="1" s="1"/>
  <c r="M1228" i="1"/>
  <c r="O1228" i="1" s="1"/>
  <c r="M1229" i="1"/>
  <c r="M1230" i="1"/>
  <c r="O1230" i="1" s="1"/>
  <c r="M1231" i="1"/>
  <c r="O1231" i="1" s="1"/>
  <c r="M1232" i="1"/>
  <c r="O1232" i="1" s="1"/>
  <c r="M1233" i="1"/>
  <c r="M1234" i="1"/>
  <c r="O1234" i="1" s="1"/>
  <c r="M1235" i="1"/>
  <c r="O1235" i="1" s="1"/>
  <c r="M1236" i="1"/>
  <c r="O1236" i="1" s="1"/>
  <c r="M1237" i="1"/>
  <c r="M1238" i="1"/>
  <c r="O1238" i="1" s="1"/>
  <c r="M1239" i="1"/>
  <c r="O1239" i="1" s="1"/>
  <c r="M1240" i="1"/>
  <c r="O1240" i="1" s="1"/>
  <c r="M1241" i="1"/>
  <c r="M1242" i="1"/>
  <c r="O1242" i="1" s="1"/>
  <c r="M1243" i="1"/>
  <c r="O1243" i="1" s="1"/>
  <c r="M1244" i="1"/>
  <c r="O1244" i="1" s="1"/>
  <c r="M1245" i="1"/>
  <c r="M1246" i="1"/>
  <c r="O1246" i="1" s="1"/>
  <c r="M1247" i="1"/>
  <c r="O1247" i="1" s="1"/>
  <c r="M1248" i="1"/>
  <c r="O1248" i="1" s="1"/>
  <c r="M1249" i="1"/>
  <c r="M1250" i="1"/>
  <c r="O1250" i="1" s="1"/>
  <c r="M1251" i="1"/>
  <c r="O1251" i="1" s="1"/>
  <c r="M1252" i="1"/>
  <c r="O1252" i="1" s="1"/>
  <c r="M1253" i="1"/>
  <c r="M1254" i="1"/>
  <c r="O1254" i="1" s="1"/>
  <c r="M1255" i="1"/>
  <c r="O1255" i="1" s="1"/>
  <c r="M1256" i="1"/>
  <c r="O1256" i="1" s="1"/>
  <c r="M1257" i="1"/>
  <c r="M1258" i="1"/>
  <c r="O1258" i="1" s="1"/>
  <c r="M1259" i="1"/>
  <c r="O1259" i="1" s="1"/>
  <c r="M1260" i="1"/>
  <c r="O1260" i="1" s="1"/>
  <c r="M1261" i="1"/>
  <c r="M1262" i="1"/>
  <c r="O1262" i="1" s="1"/>
  <c r="M1263" i="1"/>
  <c r="O1263" i="1" s="1"/>
  <c r="M1264" i="1"/>
  <c r="O1264" i="1" s="1"/>
  <c r="M1265" i="1"/>
  <c r="M1266" i="1"/>
  <c r="O1266" i="1" s="1"/>
  <c r="M1267" i="1"/>
  <c r="O1267" i="1" s="1"/>
  <c r="M1268" i="1"/>
  <c r="O1268" i="1" s="1"/>
  <c r="M1269" i="1"/>
  <c r="M1270" i="1"/>
  <c r="O1270" i="1" s="1"/>
  <c r="M1271" i="1"/>
  <c r="O1271" i="1" s="1"/>
  <c r="M1272" i="1"/>
  <c r="O1272" i="1" s="1"/>
  <c r="M1273" i="1"/>
  <c r="M1274" i="1"/>
  <c r="O1274" i="1" s="1"/>
  <c r="M1275" i="1"/>
  <c r="O1275" i="1" s="1"/>
  <c r="M1276" i="1"/>
  <c r="O1276" i="1" s="1"/>
  <c r="M1277" i="1"/>
  <c r="M1278" i="1"/>
  <c r="O1278" i="1" s="1"/>
  <c r="M1279" i="1"/>
  <c r="O1279" i="1" s="1"/>
  <c r="M1280" i="1"/>
  <c r="O1280" i="1" s="1"/>
  <c r="M1281" i="1"/>
  <c r="M1282" i="1"/>
  <c r="O1282" i="1" s="1"/>
  <c r="M1283" i="1"/>
  <c r="O1283" i="1" s="1"/>
  <c r="M1284" i="1"/>
  <c r="O1284" i="1" s="1"/>
  <c r="M1285" i="1"/>
  <c r="M1286" i="1"/>
  <c r="O1286" i="1" s="1"/>
  <c r="M1287" i="1"/>
  <c r="O1287" i="1" s="1"/>
  <c r="M1288" i="1"/>
  <c r="O1288" i="1" s="1"/>
  <c r="M1289" i="1"/>
  <c r="M1290" i="1"/>
  <c r="O1290" i="1" s="1"/>
  <c r="M1291" i="1"/>
  <c r="O1291" i="1" s="1"/>
  <c r="M1292" i="1"/>
  <c r="O1292" i="1" s="1"/>
  <c r="M1293" i="1"/>
  <c r="M1294" i="1"/>
  <c r="O1294" i="1" s="1"/>
  <c r="M1295" i="1"/>
  <c r="O1295" i="1" s="1"/>
  <c r="M1296" i="1"/>
  <c r="O1296" i="1" s="1"/>
  <c r="M1297" i="1"/>
  <c r="M1298" i="1"/>
  <c r="O1298" i="1" s="1"/>
  <c r="M1299" i="1"/>
  <c r="O1299" i="1" s="1"/>
  <c r="M1300" i="1"/>
  <c r="O1300" i="1" s="1"/>
  <c r="M1301" i="1"/>
  <c r="M1302" i="1"/>
  <c r="O1302" i="1" s="1"/>
  <c r="M1303" i="1"/>
  <c r="O1303" i="1" s="1"/>
  <c r="M1304" i="1"/>
  <c r="O1304" i="1" s="1"/>
  <c r="M1305" i="1"/>
  <c r="M1306" i="1"/>
  <c r="O1306" i="1" s="1"/>
  <c r="M1307" i="1"/>
  <c r="O1307" i="1" s="1"/>
  <c r="M1308" i="1"/>
  <c r="O1308" i="1" s="1"/>
  <c r="M1309" i="1"/>
  <c r="M1310" i="1"/>
  <c r="O1310" i="1" s="1"/>
  <c r="M1311" i="1"/>
  <c r="O1311" i="1" s="1"/>
  <c r="M1312" i="1"/>
  <c r="O1312" i="1" s="1"/>
  <c r="M1313" i="1"/>
  <c r="M1314" i="1"/>
  <c r="O1314" i="1" s="1"/>
  <c r="M1315" i="1"/>
  <c r="O1315" i="1" s="1"/>
  <c r="M1316" i="1"/>
  <c r="O1316" i="1" s="1"/>
  <c r="M1317" i="1"/>
  <c r="M1318" i="1"/>
  <c r="O1318" i="1" s="1"/>
  <c r="M1319" i="1"/>
  <c r="O1319" i="1" s="1"/>
  <c r="M1320" i="1"/>
  <c r="O1320" i="1" s="1"/>
  <c r="M1321" i="1"/>
  <c r="M1322" i="1"/>
  <c r="O1322" i="1" s="1"/>
  <c r="M1323" i="1"/>
  <c r="O1323" i="1" s="1"/>
  <c r="M1324" i="1"/>
  <c r="O1324" i="1" s="1"/>
  <c r="M1325" i="1"/>
  <c r="M1326" i="1"/>
  <c r="O1326" i="1" s="1"/>
  <c r="M1327" i="1"/>
  <c r="O1327" i="1" s="1"/>
  <c r="M1328" i="1"/>
  <c r="O1328" i="1" s="1"/>
  <c r="M1329" i="1"/>
  <c r="M1330" i="1"/>
  <c r="O1330" i="1" s="1"/>
  <c r="M1331" i="1"/>
  <c r="O1331" i="1" s="1"/>
  <c r="M1332" i="1"/>
  <c r="O1332" i="1" s="1"/>
  <c r="M1333" i="1"/>
  <c r="M1334" i="1"/>
  <c r="O1334" i="1" s="1"/>
  <c r="M1335" i="1"/>
  <c r="O1335" i="1" s="1"/>
  <c r="M1336" i="1"/>
  <c r="O1336" i="1" s="1"/>
  <c r="M1337" i="1"/>
  <c r="M1338" i="1"/>
  <c r="O1338" i="1" s="1"/>
  <c r="M1339" i="1"/>
  <c r="O1339" i="1" s="1"/>
  <c r="M1340" i="1"/>
  <c r="O1340" i="1" s="1"/>
  <c r="M1341" i="1"/>
  <c r="M1342" i="1"/>
  <c r="O1342" i="1" s="1"/>
  <c r="M1343" i="1"/>
  <c r="O1343" i="1" s="1"/>
  <c r="M1344" i="1"/>
  <c r="O1344" i="1" s="1"/>
  <c r="M1345" i="1"/>
  <c r="M1346" i="1"/>
  <c r="O1346" i="1" s="1"/>
  <c r="M1347" i="1"/>
  <c r="O1347" i="1" s="1"/>
  <c r="M1348" i="1"/>
  <c r="O1348" i="1" s="1"/>
  <c r="M1349" i="1"/>
  <c r="M1350" i="1"/>
  <c r="O1350" i="1" s="1"/>
  <c r="M1351" i="1"/>
  <c r="O1351" i="1" s="1"/>
  <c r="M1352" i="1"/>
  <c r="O1352" i="1" s="1"/>
  <c r="M1353" i="1"/>
  <c r="M1354" i="1"/>
  <c r="O1354" i="1" s="1"/>
  <c r="M1355" i="1"/>
  <c r="O1355" i="1" s="1"/>
  <c r="M1356" i="1"/>
  <c r="O1356" i="1" s="1"/>
  <c r="M1357" i="1"/>
  <c r="M1358" i="1"/>
  <c r="O1358" i="1" s="1"/>
  <c r="M1359" i="1"/>
  <c r="O1359" i="1" s="1"/>
  <c r="M1360" i="1"/>
  <c r="O1360" i="1" s="1"/>
  <c r="M1361" i="1"/>
  <c r="M1362" i="1"/>
  <c r="O1362" i="1" s="1"/>
  <c r="M1363" i="1"/>
  <c r="O1363" i="1" s="1"/>
  <c r="M1364" i="1"/>
  <c r="O1364" i="1" s="1"/>
  <c r="M1365" i="1"/>
  <c r="M1366" i="1"/>
  <c r="O1366" i="1" s="1"/>
  <c r="M1367" i="1"/>
  <c r="O1367" i="1" s="1"/>
  <c r="M1368" i="1"/>
  <c r="O1368" i="1" s="1"/>
  <c r="M1369" i="1"/>
  <c r="M1370" i="1"/>
  <c r="O1370" i="1" s="1"/>
  <c r="M1371" i="1"/>
  <c r="O1371" i="1" s="1"/>
  <c r="M1372" i="1"/>
  <c r="O1372" i="1" s="1"/>
  <c r="M1373" i="1"/>
  <c r="M1374" i="1"/>
  <c r="O1374" i="1" s="1"/>
  <c r="M1375" i="1"/>
  <c r="O1375" i="1" s="1"/>
  <c r="M1376" i="1"/>
  <c r="O1376" i="1" s="1"/>
  <c r="M1377" i="1"/>
  <c r="M1378" i="1"/>
  <c r="O1378" i="1" s="1"/>
  <c r="M1379" i="1"/>
  <c r="O1379" i="1" s="1"/>
  <c r="M1380" i="1"/>
  <c r="O1380" i="1" s="1"/>
  <c r="M1381" i="1"/>
  <c r="O1381" i="1" s="1"/>
  <c r="M1382" i="1"/>
  <c r="O1382" i="1" s="1"/>
  <c r="M1383" i="1"/>
  <c r="O1383" i="1" s="1"/>
  <c r="M1384" i="1"/>
  <c r="O1384" i="1" s="1"/>
  <c r="M1385" i="1"/>
  <c r="O1385" i="1" s="1"/>
  <c r="M1386" i="1"/>
  <c r="O1386" i="1" s="1"/>
  <c r="M1387" i="1"/>
  <c r="O1387" i="1" s="1"/>
  <c r="M1388" i="1"/>
  <c r="O1388" i="1" s="1"/>
  <c r="M1389" i="1"/>
  <c r="M1390" i="1"/>
  <c r="O1390" i="1" s="1"/>
  <c r="M1391" i="1"/>
  <c r="O1391" i="1" s="1"/>
  <c r="M1392" i="1"/>
  <c r="O1392" i="1" s="1"/>
  <c r="M1393" i="1"/>
  <c r="M1394" i="1"/>
  <c r="O1394" i="1" s="1"/>
  <c r="M1395" i="1"/>
  <c r="O1395" i="1" s="1"/>
  <c r="M1396" i="1"/>
  <c r="O1396" i="1" s="1"/>
  <c r="M1397" i="1"/>
  <c r="M1398" i="1"/>
  <c r="O1398" i="1" s="1"/>
  <c r="M1399" i="1"/>
  <c r="O1399" i="1" s="1"/>
  <c r="M1400" i="1"/>
  <c r="O1400" i="1" s="1"/>
  <c r="M1401" i="1"/>
  <c r="M1402" i="1"/>
  <c r="O1402" i="1" s="1"/>
  <c r="M1403" i="1"/>
  <c r="O1403" i="1" s="1"/>
  <c r="M1404" i="1"/>
  <c r="O1404" i="1" s="1"/>
  <c r="M1405" i="1"/>
  <c r="O1405" i="1" s="1"/>
  <c r="M1406" i="1"/>
  <c r="O1406" i="1" s="1"/>
  <c r="M1407" i="1"/>
  <c r="O1407" i="1" s="1"/>
  <c r="M1408" i="1"/>
  <c r="O1408" i="1" s="1"/>
  <c r="M1409" i="1"/>
  <c r="O1409" i="1" s="1"/>
  <c r="M1410" i="1"/>
  <c r="O1410" i="1" s="1"/>
  <c r="M1411" i="1"/>
  <c r="O1411" i="1" s="1"/>
  <c r="M1412" i="1"/>
  <c r="O1412" i="1" s="1"/>
  <c r="M1413" i="1"/>
  <c r="O1413" i="1" s="1"/>
  <c r="M1414" i="1"/>
  <c r="O1414" i="1" s="1"/>
  <c r="M1415" i="1"/>
  <c r="O1415" i="1" s="1"/>
  <c r="M1416" i="1"/>
  <c r="O1416" i="1" s="1"/>
  <c r="M1417" i="1"/>
  <c r="O1417" i="1" s="1"/>
  <c r="M1418" i="1"/>
  <c r="O1418" i="1" s="1"/>
  <c r="M1419" i="1"/>
  <c r="O1419" i="1" s="1"/>
  <c r="M1420" i="1"/>
  <c r="O1420" i="1" s="1"/>
  <c r="M1421" i="1"/>
  <c r="O1421" i="1" s="1"/>
  <c r="M1422" i="1"/>
  <c r="O1422" i="1" s="1"/>
  <c r="M1423" i="1"/>
  <c r="O1423" i="1" s="1"/>
  <c r="M1424" i="1"/>
  <c r="O1424" i="1" s="1"/>
  <c r="M1425" i="1"/>
  <c r="O1425" i="1" s="1"/>
  <c r="M1426" i="1"/>
  <c r="O1426" i="1" s="1"/>
  <c r="M1427" i="1"/>
  <c r="O1427" i="1" s="1"/>
  <c r="M1428" i="1"/>
  <c r="O1428" i="1" s="1"/>
  <c r="M1429" i="1"/>
  <c r="O1429" i="1" s="1"/>
  <c r="M1430" i="1"/>
  <c r="O1430" i="1" s="1"/>
  <c r="M1431" i="1"/>
  <c r="O1431" i="1" s="1"/>
  <c r="M1432" i="1"/>
  <c r="O1432" i="1" s="1"/>
  <c r="M1433" i="1"/>
  <c r="O1433" i="1" s="1"/>
  <c r="M1434" i="1"/>
  <c r="O1434" i="1" s="1"/>
  <c r="M1435" i="1"/>
  <c r="O1435" i="1" s="1"/>
  <c r="M1436" i="1"/>
  <c r="O1436" i="1" s="1"/>
  <c r="M1437" i="1"/>
  <c r="O1437" i="1" s="1"/>
  <c r="M1438" i="1"/>
  <c r="O1438" i="1" s="1"/>
  <c r="M1439" i="1"/>
  <c r="O1439" i="1" s="1"/>
  <c r="M1440" i="1"/>
  <c r="O1440" i="1" s="1"/>
  <c r="M1441" i="1"/>
  <c r="O1441" i="1" s="1"/>
  <c r="M1442" i="1"/>
  <c r="O1442" i="1" s="1"/>
  <c r="M1443" i="1"/>
  <c r="O1443" i="1" s="1"/>
  <c r="M1444" i="1"/>
  <c r="O1444" i="1" s="1"/>
  <c r="M1445" i="1"/>
  <c r="O1445" i="1" s="1"/>
  <c r="M1446" i="1"/>
  <c r="O1446" i="1" s="1"/>
  <c r="M1447" i="1"/>
  <c r="O1447" i="1" s="1"/>
  <c r="M1448" i="1"/>
  <c r="O1448" i="1" s="1"/>
  <c r="M1449" i="1"/>
  <c r="O1449" i="1" s="1"/>
  <c r="M1450" i="1"/>
  <c r="O1450" i="1" s="1"/>
  <c r="M1451" i="1"/>
  <c r="O1451" i="1" s="1"/>
  <c r="M1452" i="1"/>
  <c r="O1452" i="1" s="1"/>
  <c r="M1453" i="1"/>
  <c r="O1453" i="1" s="1"/>
  <c r="M1454" i="1"/>
  <c r="O1454" i="1" s="1"/>
  <c r="M1455" i="1"/>
  <c r="O1455" i="1" s="1"/>
  <c r="M1456" i="1"/>
  <c r="O1456" i="1" s="1"/>
  <c r="M1457" i="1"/>
  <c r="O1457" i="1" s="1"/>
  <c r="M1458" i="1"/>
  <c r="O1458" i="1" s="1"/>
  <c r="M1459" i="1"/>
  <c r="O1459" i="1" s="1"/>
  <c r="M1460" i="1"/>
  <c r="O1460" i="1" s="1"/>
  <c r="M1461" i="1"/>
  <c r="O1461" i="1" s="1"/>
  <c r="M1462" i="1"/>
  <c r="O1462" i="1" s="1"/>
  <c r="M1463" i="1"/>
  <c r="O1463" i="1" s="1"/>
  <c r="M1464" i="1"/>
  <c r="O1464" i="1" s="1"/>
  <c r="M1465" i="1"/>
  <c r="O1465" i="1" s="1"/>
  <c r="M1466" i="1"/>
  <c r="O1466" i="1" s="1"/>
  <c r="M1467" i="1"/>
  <c r="O1467" i="1" s="1"/>
  <c r="M1468" i="1"/>
  <c r="O1468" i="1" s="1"/>
  <c r="M1469" i="1"/>
  <c r="O1469" i="1" s="1"/>
  <c r="M1470" i="1"/>
  <c r="O1470" i="1" s="1"/>
  <c r="M1471" i="1"/>
  <c r="O1471" i="1" s="1"/>
  <c r="M1472" i="1"/>
  <c r="O1472" i="1" s="1"/>
  <c r="M1473" i="1"/>
  <c r="O1473" i="1" s="1"/>
  <c r="M1474" i="1"/>
  <c r="O1474" i="1" s="1"/>
  <c r="M1475" i="1"/>
  <c r="O1475" i="1" s="1"/>
  <c r="M1476" i="1"/>
  <c r="O1476" i="1" s="1"/>
  <c r="M1477" i="1"/>
  <c r="O1477" i="1" s="1"/>
  <c r="M1478" i="1"/>
  <c r="O1478" i="1" s="1"/>
  <c r="M1479" i="1"/>
  <c r="O1479" i="1" s="1"/>
  <c r="M1480" i="1"/>
  <c r="O1480" i="1" s="1"/>
  <c r="M1481" i="1"/>
  <c r="O1481" i="1" s="1"/>
  <c r="M1482" i="1"/>
  <c r="O1482" i="1" s="1"/>
  <c r="M1483" i="1"/>
  <c r="O1483" i="1" s="1"/>
  <c r="M1484" i="1"/>
  <c r="O1484" i="1" s="1"/>
  <c r="M1485" i="1"/>
  <c r="O1485" i="1" s="1"/>
  <c r="M1486" i="1"/>
  <c r="O1486" i="1" s="1"/>
  <c r="M1487" i="1"/>
  <c r="O1487" i="1" s="1"/>
  <c r="M1488" i="1"/>
  <c r="O1488" i="1" s="1"/>
  <c r="M1489" i="1"/>
  <c r="O1489" i="1" s="1"/>
  <c r="M1490" i="1"/>
  <c r="O1490" i="1" s="1"/>
  <c r="M1491" i="1"/>
  <c r="O1491" i="1" s="1"/>
  <c r="M1492" i="1"/>
  <c r="O1492" i="1" s="1"/>
  <c r="M1493" i="1"/>
  <c r="O1493" i="1" s="1"/>
  <c r="M1494" i="1"/>
  <c r="O1494" i="1" s="1"/>
  <c r="M1495" i="1"/>
  <c r="O1495" i="1" s="1"/>
  <c r="M1496" i="1"/>
  <c r="O1496" i="1" s="1"/>
  <c r="M1497" i="1"/>
  <c r="O1497" i="1" s="1"/>
  <c r="M1498" i="1"/>
  <c r="O1498" i="1" s="1"/>
  <c r="M1499" i="1"/>
  <c r="O1499" i="1" s="1"/>
  <c r="M1500" i="1"/>
  <c r="O1500" i="1" s="1"/>
  <c r="M1501" i="1"/>
  <c r="O1501" i="1" s="1"/>
  <c r="M1502" i="1"/>
  <c r="O1502" i="1" s="1"/>
  <c r="M1503" i="1"/>
  <c r="O1503" i="1" s="1"/>
  <c r="M1504" i="1"/>
  <c r="O1504" i="1" s="1"/>
  <c r="M1505" i="1"/>
  <c r="O1505" i="1" s="1"/>
  <c r="M1506" i="1"/>
  <c r="O1506" i="1" s="1"/>
  <c r="M1507" i="1"/>
  <c r="O1507" i="1" s="1"/>
  <c r="M1508" i="1"/>
  <c r="O1508" i="1" s="1"/>
  <c r="M1509" i="1"/>
  <c r="O1509" i="1" s="1"/>
  <c r="M1510" i="1"/>
  <c r="O1510" i="1" s="1"/>
  <c r="M1511" i="1"/>
  <c r="O1511" i="1" s="1"/>
  <c r="M1512" i="1"/>
  <c r="O1512" i="1" s="1"/>
  <c r="M1513" i="1"/>
  <c r="O1513" i="1" s="1"/>
  <c r="M1514" i="1"/>
  <c r="O1514" i="1" s="1"/>
  <c r="M1515" i="1"/>
  <c r="O1515" i="1" s="1"/>
  <c r="M1516" i="1"/>
  <c r="O1516" i="1" s="1"/>
  <c r="M1517" i="1"/>
  <c r="O1517" i="1" s="1"/>
  <c r="M1518" i="1"/>
  <c r="O1518" i="1" s="1"/>
  <c r="M1519" i="1"/>
  <c r="O1519" i="1" s="1"/>
  <c r="M1520" i="1"/>
  <c r="O1520" i="1" s="1"/>
  <c r="M1521" i="1"/>
  <c r="O1521" i="1" s="1"/>
  <c r="M1522" i="1"/>
  <c r="O1522" i="1" s="1"/>
  <c r="M1523" i="1"/>
  <c r="O1523" i="1" s="1"/>
  <c r="M1524" i="1"/>
  <c r="O1524" i="1" s="1"/>
  <c r="M1525" i="1"/>
  <c r="O1525" i="1" s="1"/>
  <c r="M1526" i="1"/>
  <c r="O1526" i="1" s="1"/>
  <c r="M1527" i="1"/>
  <c r="O1527" i="1" s="1"/>
  <c r="M1528" i="1"/>
  <c r="O1528" i="1" s="1"/>
  <c r="M1529" i="1"/>
  <c r="O1529" i="1" s="1"/>
  <c r="M1530" i="1"/>
  <c r="O1530" i="1" s="1"/>
  <c r="M1531" i="1"/>
  <c r="O1531" i="1" s="1"/>
  <c r="M1532" i="1"/>
  <c r="O1532" i="1" s="1"/>
  <c r="M1533" i="1"/>
  <c r="O1533" i="1" s="1"/>
  <c r="M1534" i="1"/>
  <c r="O1534" i="1" s="1"/>
  <c r="M1535" i="1"/>
  <c r="O1535" i="1" s="1"/>
  <c r="M1536" i="1"/>
  <c r="O1536" i="1" s="1"/>
  <c r="M1537" i="1"/>
  <c r="O1537" i="1" s="1"/>
  <c r="M1538" i="1"/>
  <c r="O1538" i="1" s="1"/>
  <c r="M1539" i="1"/>
  <c r="O1539" i="1" s="1"/>
  <c r="M1540" i="1"/>
  <c r="O1540" i="1" s="1"/>
  <c r="M1541" i="1"/>
  <c r="O1541" i="1" s="1"/>
  <c r="M1542" i="1"/>
  <c r="O1542" i="1" s="1"/>
  <c r="M1543" i="1"/>
  <c r="O1543" i="1" s="1"/>
  <c r="M1544" i="1"/>
  <c r="O1544" i="1" s="1"/>
  <c r="M1545" i="1"/>
  <c r="O1545" i="1" s="1"/>
  <c r="M1546" i="1"/>
  <c r="O1546" i="1" s="1"/>
  <c r="M1547" i="1"/>
  <c r="O1547" i="1" s="1"/>
  <c r="M1548" i="1"/>
  <c r="O1548" i="1" s="1"/>
  <c r="M1549" i="1"/>
  <c r="O1549" i="1" s="1"/>
  <c r="M1550" i="1"/>
  <c r="O1550" i="1" s="1"/>
  <c r="M1551" i="1"/>
  <c r="O1551" i="1" s="1"/>
  <c r="M1552" i="1"/>
  <c r="O1552" i="1" s="1"/>
  <c r="M1553" i="1"/>
  <c r="O1553" i="1" s="1"/>
  <c r="M1554" i="1"/>
  <c r="O1554" i="1" s="1"/>
  <c r="M1555" i="1"/>
  <c r="O1555" i="1" s="1"/>
  <c r="M1556" i="1"/>
  <c r="O1556" i="1" s="1"/>
  <c r="M1557" i="1"/>
  <c r="O1557" i="1" s="1"/>
  <c r="M1558" i="1"/>
  <c r="O1558" i="1" s="1"/>
  <c r="M1559" i="1"/>
  <c r="O1559" i="1" s="1"/>
  <c r="M1560" i="1"/>
  <c r="O1560" i="1" s="1"/>
  <c r="M1561" i="1"/>
  <c r="O1561" i="1" s="1"/>
  <c r="M1562" i="1"/>
  <c r="O1562" i="1" s="1"/>
  <c r="M1563" i="1"/>
  <c r="O1563" i="1" s="1"/>
  <c r="M1564" i="1"/>
  <c r="O1564" i="1" s="1"/>
  <c r="M1565" i="1"/>
  <c r="O1565" i="1" s="1"/>
  <c r="M1566" i="1"/>
  <c r="O1566" i="1" s="1"/>
  <c r="M1567" i="1"/>
  <c r="O1567" i="1" s="1"/>
  <c r="M1568" i="1"/>
  <c r="O1568" i="1" s="1"/>
  <c r="M1569" i="1"/>
  <c r="O1569" i="1" s="1"/>
  <c r="M1570" i="1"/>
  <c r="O1570" i="1" s="1"/>
  <c r="M1571" i="1"/>
  <c r="O1571" i="1" s="1"/>
  <c r="M1572" i="1"/>
  <c r="O1572" i="1" s="1"/>
  <c r="M1573" i="1"/>
  <c r="O1573" i="1" s="1"/>
  <c r="M1574" i="1"/>
  <c r="O1574" i="1" s="1"/>
  <c r="M1575" i="1"/>
  <c r="O1575" i="1" s="1"/>
  <c r="M1576" i="1"/>
  <c r="O1576" i="1" s="1"/>
  <c r="M1577" i="1"/>
  <c r="O1577" i="1" s="1"/>
  <c r="M1578" i="1"/>
  <c r="O1578" i="1" s="1"/>
  <c r="M1579" i="1"/>
  <c r="O1579" i="1" s="1"/>
  <c r="M1580" i="1"/>
  <c r="O1580" i="1" s="1"/>
  <c r="M1581" i="1"/>
  <c r="O1581" i="1" s="1"/>
  <c r="M1582" i="1"/>
  <c r="O1582" i="1" s="1"/>
  <c r="M1583" i="1"/>
  <c r="O1583" i="1" s="1"/>
  <c r="M1584" i="1"/>
  <c r="O1584" i="1" s="1"/>
  <c r="M1585" i="1"/>
  <c r="O1585" i="1" s="1"/>
  <c r="M1586" i="1"/>
  <c r="O1586" i="1" s="1"/>
  <c r="M1587" i="1"/>
  <c r="O1587" i="1" s="1"/>
  <c r="M1588" i="1"/>
  <c r="O1588" i="1" s="1"/>
  <c r="M1589" i="1"/>
  <c r="O1589" i="1" s="1"/>
  <c r="M1590" i="1"/>
  <c r="O1590" i="1" s="1"/>
  <c r="M1591" i="1"/>
  <c r="O1591" i="1" s="1"/>
  <c r="M1592" i="1"/>
  <c r="O1592" i="1" s="1"/>
  <c r="M1593" i="1"/>
  <c r="O1593" i="1" s="1"/>
  <c r="M1594" i="1"/>
  <c r="O1594" i="1" s="1"/>
  <c r="M1595" i="1"/>
  <c r="O1595" i="1" s="1"/>
  <c r="M1596" i="1"/>
  <c r="O1596" i="1" s="1"/>
  <c r="M1597" i="1"/>
  <c r="O1597" i="1" s="1"/>
  <c r="M1598" i="1"/>
  <c r="O1598" i="1" s="1"/>
  <c r="M1599" i="1"/>
  <c r="O1599" i="1" s="1"/>
  <c r="M1600" i="1"/>
  <c r="O1600" i="1" s="1"/>
  <c r="M1601" i="1"/>
  <c r="O1601" i="1" s="1"/>
  <c r="M1602" i="1"/>
  <c r="O1602" i="1" s="1"/>
  <c r="M1603" i="1"/>
  <c r="O1603" i="1" s="1"/>
  <c r="M1604" i="1"/>
  <c r="O1604" i="1" s="1"/>
  <c r="M1605" i="1"/>
  <c r="O1605" i="1" s="1"/>
  <c r="M1606" i="1"/>
  <c r="O1606" i="1" s="1"/>
  <c r="M1607" i="1"/>
  <c r="O1607" i="1" s="1"/>
  <c r="M1608" i="1"/>
  <c r="O1608" i="1" s="1"/>
  <c r="M1609" i="1"/>
  <c r="O1609" i="1" s="1"/>
  <c r="M1610" i="1"/>
  <c r="O1610" i="1" s="1"/>
  <c r="M1611" i="1"/>
  <c r="O1611" i="1" s="1"/>
  <c r="M1612" i="1"/>
  <c r="O1612" i="1" s="1"/>
  <c r="M1613" i="1"/>
  <c r="O1613" i="1" s="1"/>
  <c r="M1614" i="1"/>
  <c r="O1614" i="1" s="1"/>
  <c r="M1615" i="1"/>
  <c r="O1615" i="1" s="1"/>
  <c r="M1616" i="1"/>
  <c r="O1616" i="1" s="1"/>
  <c r="M1617" i="1"/>
  <c r="O1617" i="1" s="1"/>
  <c r="M1618" i="1"/>
  <c r="O1618" i="1" s="1"/>
  <c r="M1619" i="1"/>
  <c r="O1619" i="1" s="1"/>
  <c r="M1620" i="1"/>
  <c r="O1620" i="1" s="1"/>
  <c r="M1621" i="1"/>
  <c r="O1621" i="1" s="1"/>
  <c r="M1622" i="1"/>
  <c r="O1622" i="1" s="1"/>
  <c r="M1623" i="1"/>
  <c r="O1623" i="1" s="1"/>
  <c r="M1624" i="1"/>
  <c r="O1624" i="1" s="1"/>
  <c r="M1625" i="1"/>
  <c r="O1625" i="1" s="1"/>
  <c r="M1626" i="1"/>
  <c r="O1626" i="1" s="1"/>
  <c r="M1627" i="1"/>
  <c r="O1627" i="1" s="1"/>
  <c r="M1628" i="1"/>
  <c r="O1628" i="1" s="1"/>
  <c r="M1629" i="1"/>
  <c r="O1629" i="1" s="1"/>
  <c r="M1630" i="1"/>
  <c r="O1630" i="1" s="1"/>
  <c r="M1631" i="1"/>
  <c r="O1631" i="1" s="1"/>
  <c r="M1632" i="1"/>
  <c r="O1632" i="1" s="1"/>
  <c r="M1633" i="1"/>
  <c r="O1633" i="1" s="1"/>
  <c r="M1634" i="1"/>
  <c r="O1634" i="1" s="1"/>
  <c r="M1635" i="1"/>
  <c r="O1635" i="1" s="1"/>
  <c r="M1636" i="1"/>
  <c r="O1636" i="1" s="1"/>
  <c r="M1637" i="1"/>
  <c r="O1637" i="1" s="1"/>
  <c r="M1638" i="1"/>
  <c r="O1638" i="1" s="1"/>
  <c r="M1639" i="1"/>
  <c r="O1639" i="1" s="1"/>
  <c r="M1640" i="1"/>
  <c r="O1640" i="1" s="1"/>
  <c r="M1641" i="1"/>
  <c r="O1641" i="1" s="1"/>
  <c r="M1642" i="1"/>
  <c r="O1642" i="1" s="1"/>
  <c r="M1643" i="1"/>
  <c r="O1643" i="1" s="1"/>
  <c r="M1644" i="1"/>
  <c r="O1644" i="1" s="1"/>
  <c r="M1645" i="1"/>
  <c r="O1645" i="1" s="1"/>
  <c r="M1646" i="1"/>
  <c r="O1646" i="1" s="1"/>
  <c r="M1647" i="1"/>
  <c r="O1647" i="1" s="1"/>
  <c r="M1648" i="1"/>
  <c r="O1648" i="1" s="1"/>
  <c r="M1649" i="1"/>
  <c r="O1649" i="1" s="1"/>
  <c r="M1650" i="1"/>
  <c r="O1650" i="1" s="1"/>
  <c r="M1651" i="1"/>
  <c r="O1651" i="1" s="1"/>
  <c r="M1652" i="1"/>
  <c r="O1652" i="1" s="1"/>
  <c r="M1653" i="1"/>
  <c r="O1653" i="1" s="1"/>
  <c r="M1654" i="1"/>
  <c r="O1654" i="1" s="1"/>
  <c r="M1655" i="1"/>
  <c r="O1655" i="1" s="1"/>
  <c r="M1656" i="1"/>
  <c r="O1656" i="1" s="1"/>
  <c r="M1657" i="1"/>
  <c r="O1657" i="1" s="1"/>
  <c r="M1658" i="1"/>
  <c r="O1658" i="1" s="1"/>
  <c r="M1659" i="1"/>
  <c r="O1659" i="1" s="1"/>
  <c r="M1660" i="1"/>
  <c r="O1660" i="1" s="1"/>
  <c r="M1661" i="1"/>
  <c r="O1661" i="1" s="1"/>
  <c r="M1662" i="1"/>
  <c r="O1662" i="1" s="1"/>
  <c r="M1663" i="1"/>
  <c r="O1663" i="1" s="1"/>
  <c r="M1664" i="1"/>
  <c r="O1664" i="1" s="1"/>
  <c r="M1665" i="1"/>
  <c r="O1665" i="1" s="1"/>
  <c r="M1666" i="1"/>
  <c r="O1666" i="1" s="1"/>
  <c r="M1667" i="1"/>
  <c r="O1667" i="1" s="1"/>
  <c r="M1668" i="1"/>
  <c r="O1668" i="1" s="1"/>
  <c r="M1669" i="1"/>
  <c r="O1669" i="1" s="1"/>
  <c r="M1670" i="1"/>
  <c r="O1670" i="1" s="1"/>
  <c r="M1671" i="1"/>
  <c r="O1671" i="1" s="1"/>
  <c r="M1672" i="1"/>
  <c r="O1672" i="1" s="1"/>
  <c r="M1673" i="1"/>
  <c r="O1673" i="1" s="1"/>
  <c r="M1674" i="1"/>
  <c r="O1674" i="1" s="1"/>
  <c r="M1675" i="1"/>
  <c r="O1675" i="1" s="1"/>
  <c r="M1676" i="1"/>
  <c r="O1676" i="1" s="1"/>
  <c r="M1677" i="1"/>
  <c r="O1677" i="1" s="1"/>
  <c r="M1678" i="1"/>
  <c r="O1678" i="1" s="1"/>
  <c r="M1679" i="1"/>
  <c r="O1679" i="1" s="1"/>
  <c r="M1680" i="1"/>
  <c r="O1680" i="1" s="1"/>
  <c r="M1681" i="1"/>
  <c r="O1681" i="1" s="1"/>
  <c r="M1682" i="1"/>
  <c r="O1682" i="1" s="1"/>
  <c r="M1683" i="1"/>
  <c r="O1683" i="1" s="1"/>
  <c r="M1684" i="1"/>
  <c r="O1684" i="1" s="1"/>
  <c r="M1685" i="1"/>
  <c r="O1685" i="1" s="1"/>
  <c r="M1686" i="1"/>
  <c r="O1686" i="1" s="1"/>
  <c r="M1687" i="1"/>
  <c r="O1687" i="1" s="1"/>
  <c r="M1688" i="1"/>
  <c r="O1688" i="1" s="1"/>
  <c r="M1689" i="1"/>
  <c r="O1689" i="1" s="1"/>
  <c r="M1690" i="1"/>
  <c r="O1690" i="1" s="1"/>
  <c r="M1691" i="1"/>
  <c r="O1691" i="1" s="1"/>
  <c r="M1692" i="1"/>
  <c r="O1692" i="1" s="1"/>
  <c r="M1693" i="1"/>
  <c r="O1693" i="1" s="1"/>
  <c r="M1694" i="1"/>
  <c r="O1694" i="1" s="1"/>
  <c r="M1695" i="1"/>
  <c r="O1695" i="1" s="1"/>
  <c r="M1696" i="1"/>
  <c r="O1696" i="1" s="1"/>
  <c r="M1697" i="1"/>
  <c r="O1697" i="1" s="1"/>
  <c r="M1698" i="1"/>
  <c r="O1698" i="1" s="1"/>
  <c r="M1699" i="1"/>
  <c r="O1699" i="1" s="1"/>
  <c r="M1700" i="1"/>
  <c r="O1700" i="1" s="1"/>
  <c r="M1701" i="1"/>
  <c r="O1701" i="1" s="1"/>
  <c r="M1702" i="1"/>
  <c r="O1702" i="1" s="1"/>
  <c r="M1703" i="1"/>
  <c r="O1703" i="1" s="1"/>
  <c r="M1704" i="1"/>
  <c r="O1704" i="1" s="1"/>
  <c r="M1705" i="1"/>
  <c r="O1705" i="1" s="1"/>
  <c r="M1706" i="1"/>
  <c r="O1706" i="1" s="1"/>
  <c r="M1707" i="1"/>
  <c r="O1707" i="1" s="1"/>
  <c r="M1708" i="1"/>
  <c r="O1708" i="1" s="1"/>
  <c r="M1709" i="1"/>
  <c r="O1709" i="1" s="1"/>
  <c r="M1710" i="1"/>
  <c r="O1710" i="1" s="1"/>
  <c r="M1711" i="1"/>
  <c r="O1711" i="1" s="1"/>
  <c r="M1712" i="1"/>
  <c r="O1712" i="1" s="1"/>
  <c r="M4" i="1"/>
  <c r="O4" i="1" s="1"/>
  <c r="M5" i="1"/>
  <c r="O5" i="1" s="1"/>
  <c r="M6" i="1"/>
  <c r="O6" i="1" s="1"/>
  <c r="M7" i="1"/>
  <c r="O7" i="1" s="1"/>
  <c r="M8" i="1"/>
  <c r="O8" i="1" s="1"/>
  <c r="M9" i="1"/>
  <c r="O9" i="1" s="1"/>
  <c r="M10" i="1"/>
  <c r="O10" i="1" s="1"/>
  <c r="M11" i="1"/>
  <c r="O11" i="1" s="1"/>
  <c r="M12" i="1"/>
  <c r="O12" i="1" s="1"/>
  <c r="M13" i="1"/>
  <c r="O13" i="1" s="1"/>
  <c r="M3" i="1"/>
  <c r="O3" i="1" s="1"/>
  <c r="L1389" i="1"/>
  <c r="L1390" i="1"/>
  <c r="L1391" i="1"/>
  <c r="L1392" i="1"/>
  <c r="N1392" i="1" s="1"/>
  <c r="P1392" i="1" s="1"/>
  <c r="L1393" i="1"/>
  <c r="L1394" i="1"/>
  <c r="L1395" i="1"/>
  <c r="N1395" i="1" s="1"/>
  <c r="P1395" i="1" s="1"/>
  <c r="L1396" i="1"/>
  <c r="L1397" i="1"/>
  <c r="L1398" i="1"/>
  <c r="L1399" i="1"/>
  <c r="L1400" i="1"/>
  <c r="N1400" i="1" s="1"/>
  <c r="P1400" i="1" s="1"/>
  <c r="L1401" i="1"/>
  <c r="L1402" i="1"/>
  <c r="L1403" i="1"/>
  <c r="N1403" i="1" s="1"/>
  <c r="P1403" i="1" s="1"/>
  <c r="L1404" i="1"/>
  <c r="L1405" i="1"/>
  <c r="L1406" i="1"/>
  <c r="L1407" i="1"/>
  <c r="L1408" i="1"/>
  <c r="N1408" i="1" s="1"/>
  <c r="P1408" i="1" s="1"/>
  <c r="L1409" i="1"/>
  <c r="L1410" i="1"/>
  <c r="L1411" i="1"/>
  <c r="N1411" i="1" s="1"/>
  <c r="P1411" i="1" s="1"/>
  <c r="L1412" i="1"/>
  <c r="L1413" i="1"/>
  <c r="L1414" i="1"/>
  <c r="L1415" i="1"/>
  <c r="L1416" i="1"/>
  <c r="N1416" i="1" s="1"/>
  <c r="P1416" i="1" s="1"/>
  <c r="L1417" i="1"/>
  <c r="L1418" i="1"/>
  <c r="L1419" i="1"/>
  <c r="N1419" i="1" s="1"/>
  <c r="P1419" i="1" s="1"/>
  <c r="L1420" i="1"/>
  <c r="L1421" i="1"/>
  <c r="L1422" i="1"/>
  <c r="L1423" i="1"/>
  <c r="L1424" i="1"/>
  <c r="N1424" i="1" s="1"/>
  <c r="P1424" i="1" s="1"/>
  <c r="L1425" i="1"/>
  <c r="L1426" i="1"/>
  <c r="L1427" i="1"/>
  <c r="N1427" i="1" s="1"/>
  <c r="P1427" i="1" s="1"/>
  <c r="L1428" i="1"/>
  <c r="L1429" i="1"/>
  <c r="L1430" i="1"/>
  <c r="L1431" i="1"/>
  <c r="L1432" i="1"/>
  <c r="N1432" i="1" s="1"/>
  <c r="P1432" i="1" s="1"/>
  <c r="L1433" i="1"/>
  <c r="L1434" i="1"/>
  <c r="L1435" i="1"/>
  <c r="N1435" i="1" s="1"/>
  <c r="P1435" i="1" s="1"/>
  <c r="L1436" i="1"/>
  <c r="L1437" i="1"/>
  <c r="L1438" i="1"/>
  <c r="L1439" i="1"/>
  <c r="L1440" i="1"/>
  <c r="N1440" i="1" s="1"/>
  <c r="P1440" i="1" s="1"/>
  <c r="L1441" i="1"/>
  <c r="L1442" i="1"/>
  <c r="L1443" i="1"/>
  <c r="N1443" i="1" s="1"/>
  <c r="P1443" i="1" s="1"/>
  <c r="L1444" i="1"/>
  <c r="L1445" i="1"/>
  <c r="L1446" i="1"/>
  <c r="L1447" i="1"/>
  <c r="L1448" i="1"/>
  <c r="N1448" i="1" s="1"/>
  <c r="P1448" i="1" s="1"/>
  <c r="L1449" i="1"/>
  <c r="L1450" i="1"/>
  <c r="L1451" i="1"/>
  <c r="N1451" i="1" s="1"/>
  <c r="P1451" i="1" s="1"/>
  <c r="L1452" i="1"/>
  <c r="L1453" i="1"/>
  <c r="L1454" i="1"/>
  <c r="L1455" i="1"/>
  <c r="L1456" i="1"/>
  <c r="N1456" i="1" s="1"/>
  <c r="P1456" i="1" s="1"/>
  <c r="L1457" i="1"/>
  <c r="L1458" i="1"/>
  <c r="L1459" i="1"/>
  <c r="N1459" i="1" s="1"/>
  <c r="P1459" i="1" s="1"/>
  <c r="L1460" i="1"/>
  <c r="L1461" i="1"/>
  <c r="L1462" i="1"/>
  <c r="L1463" i="1"/>
  <c r="L1464" i="1"/>
  <c r="N1464" i="1" s="1"/>
  <c r="P1464" i="1" s="1"/>
  <c r="L1465" i="1"/>
  <c r="L1466" i="1"/>
  <c r="L1467" i="1"/>
  <c r="N1467" i="1" s="1"/>
  <c r="P1467" i="1" s="1"/>
  <c r="L1468" i="1"/>
  <c r="L1469" i="1"/>
  <c r="L1470" i="1"/>
  <c r="L1471" i="1"/>
  <c r="L1472" i="1"/>
  <c r="N1472" i="1" s="1"/>
  <c r="P1472" i="1" s="1"/>
  <c r="L1473" i="1"/>
  <c r="L1474" i="1"/>
  <c r="L1475" i="1"/>
  <c r="N1475" i="1" s="1"/>
  <c r="P1475" i="1" s="1"/>
  <c r="L1476" i="1"/>
  <c r="L1477" i="1"/>
  <c r="L1478" i="1"/>
  <c r="L1479" i="1"/>
  <c r="L1480" i="1"/>
  <c r="N1480" i="1" s="1"/>
  <c r="P1480" i="1" s="1"/>
  <c r="L1481" i="1"/>
  <c r="L1482" i="1"/>
  <c r="L1483" i="1"/>
  <c r="N1483" i="1" s="1"/>
  <c r="P1483" i="1" s="1"/>
  <c r="L1484" i="1"/>
  <c r="L1485" i="1"/>
  <c r="L1486" i="1"/>
  <c r="L1487" i="1"/>
  <c r="L1488" i="1"/>
  <c r="N1488" i="1" s="1"/>
  <c r="P1488" i="1" s="1"/>
  <c r="L1489" i="1"/>
  <c r="L1490" i="1"/>
  <c r="L1491" i="1"/>
  <c r="N1491" i="1" s="1"/>
  <c r="P1491" i="1" s="1"/>
  <c r="L1492" i="1"/>
  <c r="L1493" i="1"/>
  <c r="L1494" i="1"/>
  <c r="L1495" i="1"/>
  <c r="L1496" i="1"/>
  <c r="N1496" i="1" s="1"/>
  <c r="P1496" i="1" s="1"/>
  <c r="L1497" i="1"/>
  <c r="L1498" i="1"/>
  <c r="L1499" i="1"/>
  <c r="N1499" i="1" s="1"/>
  <c r="P1499" i="1" s="1"/>
  <c r="L1500" i="1"/>
  <c r="L1501" i="1"/>
  <c r="L1502" i="1"/>
  <c r="L1503" i="1"/>
  <c r="L1504" i="1"/>
  <c r="N1504" i="1" s="1"/>
  <c r="P1504" i="1" s="1"/>
  <c r="L1505" i="1"/>
  <c r="L1506" i="1"/>
  <c r="L1507" i="1"/>
  <c r="N1507" i="1" s="1"/>
  <c r="P1507" i="1" s="1"/>
  <c r="L1508" i="1"/>
  <c r="L1509" i="1"/>
  <c r="L1510" i="1"/>
  <c r="L1511" i="1"/>
  <c r="L1512" i="1"/>
  <c r="N1512" i="1" s="1"/>
  <c r="P1512" i="1" s="1"/>
  <c r="L1513" i="1"/>
  <c r="L1514" i="1"/>
  <c r="L1515" i="1"/>
  <c r="N1515" i="1" s="1"/>
  <c r="P1515" i="1" s="1"/>
  <c r="L1516" i="1"/>
  <c r="L1517" i="1"/>
  <c r="L1518" i="1"/>
  <c r="L1519" i="1"/>
  <c r="L1520" i="1"/>
  <c r="N1520" i="1" s="1"/>
  <c r="P1520" i="1" s="1"/>
  <c r="L1521" i="1"/>
  <c r="L1522" i="1"/>
  <c r="L1523" i="1"/>
  <c r="N1523" i="1" s="1"/>
  <c r="P1523" i="1" s="1"/>
  <c r="L1524" i="1"/>
  <c r="L1525" i="1"/>
  <c r="L1526" i="1"/>
  <c r="L1527" i="1"/>
  <c r="L1528" i="1"/>
  <c r="N1528" i="1" s="1"/>
  <c r="P1528" i="1" s="1"/>
  <c r="L1529" i="1"/>
  <c r="L1530" i="1"/>
  <c r="L1531" i="1"/>
  <c r="N1531" i="1" s="1"/>
  <c r="P1531" i="1" s="1"/>
  <c r="L1532" i="1"/>
  <c r="L1533" i="1"/>
  <c r="L1534" i="1"/>
  <c r="L1535" i="1"/>
  <c r="L1536" i="1"/>
  <c r="N1536" i="1" s="1"/>
  <c r="P1536" i="1" s="1"/>
  <c r="L1537" i="1"/>
  <c r="L1538" i="1"/>
  <c r="L1539" i="1"/>
  <c r="N1539" i="1" s="1"/>
  <c r="P1539" i="1" s="1"/>
  <c r="L1540" i="1"/>
  <c r="L1541" i="1"/>
  <c r="L1542" i="1"/>
  <c r="L1543" i="1"/>
  <c r="L1544" i="1"/>
  <c r="N1544" i="1" s="1"/>
  <c r="P1544" i="1" s="1"/>
  <c r="L1545" i="1"/>
  <c r="L1546" i="1"/>
  <c r="L1547" i="1"/>
  <c r="N1547" i="1" s="1"/>
  <c r="P1547" i="1" s="1"/>
  <c r="L1548" i="1"/>
  <c r="L1549" i="1"/>
  <c r="L1550" i="1"/>
  <c r="L1551" i="1"/>
  <c r="L1552" i="1"/>
  <c r="N1552" i="1" s="1"/>
  <c r="P1552" i="1" s="1"/>
  <c r="L1553" i="1"/>
  <c r="L1554" i="1"/>
  <c r="L1555" i="1"/>
  <c r="N1555" i="1" s="1"/>
  <c r="P1555" i="1" s="1"/>
  <c r="L1556" i="1"/>
  <c r="L1557" i="1"/>
  <c r="L1558" i="1"/>
  <c r="L1559" i="1"/>
  <c r="L1560" i="1"/>
  <c r="N1560" i="1" s="1"/>
  <c r="P1560" i="1" s="1"/>
  <c r="L1561" i="1"/>
  <c r="L1562" i="1"/>
  <c r="L1563" i="1"/>
  <c r="N1563" i="1" s="1"/>
  <c r="P1563" i="1" s="1"/>
  <c r="L1564" i="1"/>
  <c r="L1565" i="1"/>
  <c r="L1566" i="1"/>
  <c r="L1567" i="1"/>
  <c r="L1568" i="1"/>
  <c r="N1568" i="1" s="1"/>
  <c r="P1568" i="1" s="1"/>
  <c r="L1569" i="1"/>
  <c r="L1570" i="1"/>
  <c r="L1571" i="1"/>
  <c r="N1571" i="1" s="1"/>
  <c r="P1571" i="1" s="1"/>
  <c r="L1572" i="1"/>
  <c r="L1573" i="1"/>
  <c r="L1574" i="1"/>
  <c r="L1575" i="1"/>
  <c r="L1576" i="1"/>
  <c r="N1576" i="1" s="1"/>
  <c r="P1576" i="1" s="1"/>
  <c r="L1577" i="1"/>
  <c r="L1578" i="1"/>
  <c r="L1579" i="1"/>
  <c r="N1579" i="1" s="1"/>
  <c r="P1579" i="1" s="1"/>
  <c r="L1580" i="1"/>
  <c r="L1581" i="1"/>
  <c r="L1582" i="1"/>
  <c r="L1583" i="1"/>
  <c r="L1584" i="1"/>
  <c r="N1584" i="1" s="1"/>
  <c r="P1584" i="1" s="1"/>
  <c r="L1585" i="1"/>
  <c r="L1586" i="1"/>
  <c r="L1587" i="1"/>
  <c r="N1587" i="1" s="1"/>
  <c r="P1587" i="1" s="1"/>
  <c r="L1588" i="1"/>
  <c r="L1589" i="1"/>
  <c r="L1590" i="1"/>
  <c r="L1591" i="1"/>
  <c r="L1592" i="1"/>
  <c r="N1592" i="1" s="1"/>
  <c r="P1592" i="1" s="1"/>
  <c r="L1593" i="1"/>
  <c r="L1594" i="1"/>
  <c r="L1595" i="1"/>
  <c r="N1595" i="1" s="1"/>
  <c r="P1595" i="1" s="1"/>
  <c r="L1596" i="1"/>
  <c r="L1597" i="1"/>
  <c r="L1598" i="1"/>
  <c r="L1599" i="1"/>
  <c r="L1600" i="1"/>
  <c r="N1600" i="1" s="1"/>
  <c r="P1600" i="1" s="1"/>
  <c r="L1601" i="1"/>
  <c r="L1602" i="1"/>
  <c r="L1603" i="1"/>
  <c r="N1603" i="1" s="1"/>
  <c r="P1603" i="1" s="1"/>
  <c r="L1604" i="1"/>
  <c r="L1605" i="1"/>
  <c r="L1606" i="1"/>
  <c r="L1607" i="1"/>
  <c r="L1608" i="1"/>
  <c r="N1608" i="1" s="1"/>
  <c r="P1608" i="1" s="1"/>
  <c r="L1609" i="1"/>
  <c r="L1610" i="1"/>
  <c r="L1611" i="1"/>
  <c r="N1611" i="1" s="1"/>
  <c r="P1611" i="1" s="1"/>
  <c r="L1612" i="1"/>
  <c r="L1613" i="1"/>
  <c r="L1614" i="1"/>
  <c r="L1615" i="1"/>
  <c r="L1616" i="1"/>
  <c r="N1616" i="1" s="1"/>
  <c r="P1616" i="1" s="1"/>
  <c r="L1617" i="1"/>
  <c r="L1618" i="1"/>
  <c r="L1619" i="1"/>
  <c r="L1620" i="1"/>
  <c r="L1621" i="1"/>
  <c r="L1622" i="1"/>
  <c r="L1623" i="1"/>
  <c r="L1624" i="1"/>
  <c r="N1624" i="1" s="1"/>
  <c r="P1624" i="1" s="1"/>
  <c r="L1625" i="1"/>
  <c r="L1626" i="1"/>
  <c r="L1627" i="1"/>
  <c r="L1628" i="1"/>
  <c r="L1629" i="1"/>
  <c r="L1630" i="1"/>
  <c r="L1631" i="1"/>
  <c r="L1632" i="1"/>
  <c r="N1632" i="1" s="1"/>
  <c r="P1632" i="1" s="1"/>
  <c r="L1633" i="1"/>
  <c r="L1634" i="1"/>
  <c r="L1635" i="1"/>
  <c r="L1636" i="1"/>
  <c r="L1637" i="1"/>
  <c r="L1638" i="1"/>
  <c r="L1639" i="1"/>
  <c r="L1640" i="1"/>
  <c r="N1640" i="1" s="1"/>
  <c r="P1640" i="1" s="1"/>
  <c r="L1641" i="1"/>
  <c r="L1642" i="1"/>
  <c r="L1643" i="1"/>
  <c r="L1644" i="1"/>
  <c r="L1645" i="1"/>
  <c r="L1646" i="1"/>
  <c r="L1647" i="1"/>
  <c r="L1648" i="1"/>
  <c r="N1648" i="1" s="1"/>
  <c r="P1648" i="1" s="1"/>
  <c r="L1649" i="1"/>
  <c r="L1650" i="1"/>
  <c r="L1651" i="1"/>
  <c r="L1652" i="1"/>
  <c r="L1653" i="1"/>
  <c r="L1654" i="1"/>
  <c r="L1655" i="1"/>
  <c r="L1656" i="1"/>
  <c r="N1656" i="1" s="1"/>
  <c r="P1656" i="1" s="1"/>
  <c r="L1657" i="1"/>
  <c r="L1658" i="1"/>
  <c r="L1659" i="1"/>
  <c r="L1660" i="1"/>
  <c r="L1661" i="1"/>
  <c r="L1662" i="1"/>
  <c r="L1663" i="1"/>
  <c r="L1664" i="1"/>
  <c r="N1664" i="1" s="1"/>
  <c r="P1664" i="1" s="1"/>
  <c r="L1665" i="1"/>
  <c r="L1666" i="1"/>
  <c r="L1667" i="1"/>
  <c r="L1668" i="1"/>
  <c r="L1669" i="1"/>
  <c r="L1670" i="1"/>
  <c r="L1671" i="1"/>
  <c r="L1672" i="1"/>
  <c r="N1672" i="1" s="1"/>
  <c r="P1672" i="1" s="1"/>
  <c r="L1673" i="1"/>
  <c r="L1674" i="1"/>
  <c r="L1675" i="1"/>
  <c r="L1676" i="1"/>
  <c r="L1677" i="1"/>
  <c r="L1678" i="1"/>
  <c r="L1679" i="1"/>
  <c r="L1680" i="1"/>
  <c r="N1680" i="1" s="1"/>
  <c r="P1680" i="1" s="1"/>
  <c r="L1681" i="1"/>
  <c r="L1682" i="1"/>
  <c r="L1683" i="1"/>
  <c r="L1684" i="1"/>
  <c r="L1685" i="1"/>
  <c r="L1686" i="1"/>
  <c r="L1687" i="1"/>
  <c r="L1688" i="1"/>
  <c r="N1688" i="1" s="1"/>
  <c r="P1688" i="1" s="1"/>
  <c r="L1689" i="1"/>
  <c r="L1690" i="1"/>
  <c r="L1691" i="1"/>
  <c r="L1692" i="1"/>
  <c r="L1693" i="1"/>
  <c r="L1694" i="1"/>
  <c r="L1695" i="1"/>
  <c r="L1696" i="1"/>
  <c r="N1696" i="1" s="1"/>
  <c r="P1696" i="1" s="1"/>
  <c r="L1697" i="1"/>
  <c r="L1698" i="1"/>
  <c r="L1699" i="1"/>
  <c r="L1700" i="1"/>
  <c r="L1701" i="1"/>
  <c r="L1702" i="1"/>
  <c r="L1703" i="1"/>
  <c r="L1704" i="1"/>
  <c r="N1704" i="1" s="1"/>
  <c r="P1704" i="1" s="1"/>
  <c r="L1705" i="1"/>
  <c r="L1706" i="1"/>
  <c r="L1707" i="1"/>
  <c r="L1708" i="1"/>
  <c r="L1709" i="1"/>
  <c r="L1710" i="1"/>
  <c r="L1711" i="1"/>
  <c r="L1712" i="1"/>
  <c r="N1712" i="1" s="1"/>
  <c r="P1712" i="1" s="1"/>
  <c r="L1380" i="1"/>
  <c r="L1381" i="1"/>
  <c r="L1382" i="1"/>
  <c r="L1383" i="1"/>
  <c r="L1384" i="1"/>
  <c r="L1385" i="1"/>
  <c r="N1385" i="1" s="1"/>
  <c r="P1385" i="1" s="1"/>
  <c r="L1386" i="1"/>
  <c r="L1387" i="1"/>
  <c r="N1387" i="1" s="1"/>
  <c r="P1387" i="1" s="1"/>
  <c r="L1388" i="1"/>
  <c r="L1379" i="1"/>
  <c r="N1379" i="1" s="1"/>
  <c r="P1379" i="1" s="1"/>
  <c r="L83" i="1"/>
  <c r="N83" i="1" s="1"/>
  <c r="P83" i="1" s="1"/>
  <c r="L84" i="1"/>
  <c r="L85" i="1"/>
  <c r="L86" i="1"/>
  <c r="L87" i="1"/>
  <c r="L88" i="1"/>
  <c r="N88" i="1" s="1"/>
  <c r="P88" i="1" s="1"/>
  <c r="L89" i="1"/>
  <c r="L90" i="1"/>
  <c r="L91" i="1"/>
  <c r="N91" i="1" s="1"/>
  <c r="P91" i="1" s="1"/>
  <c r="L92" i="1"/>
  <c r="L93" i="1"/>
  <c r="L94" i="1"/>
  <c r="L95" i="1"/>
  <c r="L96" i="1"/>
  <c r="N96" i="1" s="1"/>
  <c r="P96" i="1" s="1"/>
  <c r="L97" i="1"/>
  <c r="L98" i="1"/>
  <c r="L99" i="1"/>
  <c r="N99" i="1" s="1"/>
  <c r="P99" i="1" s="1"/>
  <c r="L100" i="1"/>
  <c r="L101" i="1"/>
  <c r="L102" i="1"/>
  <c r="L103" i="1"/>
  <c r="L104" i="1"/>
  <c r="N104" i="1" s="1"/>
  <c r="P104" i="1" s="1"/>
  <c r="L105" i="1"/>
  <c r="L106" i="1"/>
  <c r="L107" i="1"/>
  <c r="N107" i="1" s="1"/>
  <c r="P107" i="1" s="1"/>
  <c r="L108" i="1"/>
  <c r="L109" i="1"/>
  <c r="L110" i="1"/>
  <c r="L111" i="1"/>
  <c r="L112" i="1"/>
  <c r="N112" i="1" s="1"/>
  <c r="P112" i="1" s="1"/>
  <c r="L113" i="1"/>
  <c r="L114" i="1"/>
  <c r="L115" i="1"/>
  <c r="N115" i="1" s="1"/>
  <c r="P115" i="1" s="1"/>
  <c r="L116" i="1"/>
  <c r="L117" i="1"/>
  <c r="L118" i="1"/>
  <c r="L119" i="1"/>
  <c r="L120" i="1"/>
  <c r="N120" i="1" s="1"/>
  <c r="P120" i="1" s="1"/>
  <c r="L121" i="1"/>
  <c r="L122" i="1"/>
  <c r="L123" i="1"/>
  <c r="N123" i="1" s="1"/>
  <c r="P123" i="1" s="1"/>
  <c r="L124" i="1"/>
  <c r="L125" i="1"/>
  <c r="L126" i="1"/>
  <c r="L127" i="1"/>
  <c r="L128" i="1"/>
  <c r="N128" i="1" s="1"/>
  <c r="P128" i="1" s="1"/>
  <c r="L129" i="1"/>
  <c r="L130" i="1"/>
  <c r="L131" i="1"/>
  <c r="N131" i="1" s="1"/>
  <c r="P131" i="1" s="1"/>
  <c r="L132" i="1"/>
  <c r="L133" i="1"/>
  <c r="L134" i="1"/>
  <c r="L135" i="1"/>
  <c r="L136" i="1"/>
  <c r="N136" i="1" s="1"/>
  <c r="P136" i="1" s="1"/>
  <c r="L137" i="1"/>
  <c r="L138" i="1"/>
  <c r="L139" i="1"/>
  <c r="N139" i="1" s="1"/>
  <c r="P139" i="1" s="1"/>
  <c r="L140" i="1"/>
  <c r="L141" i="1"/>
  <c r="L142" i="1"/>
  <c r="L143" i="1"/>
  <c r="L144" i="1"/>
  <c r="N144" i="1" s="1"/>
  <c r="P144" i="1" s="1"/>
  <c r="L145" i="1"/>
  <c r="L146" i="1"/>
  <c r="L147" i="1"/>
  <c r="N147" i="1" s="1"/>
  <c r="P147" i="1" s="1"/>
  <c r="L148" i="1"/>
  <c r="L149" i="1"/>
  <c r="L150" i="1"/>
  <c r="L151" i="1"/>
  <c r="L152" i="1"/>
  <c r="N152" i="1" s="1"/>
  <c r="P152" i="1" s="1"/>
  <c r="L153" i="1"/>
  <c r="L154" i="1"/>
  <c r="L155" i="1"/>
  <c r="N155" i="1" s="1"/>
  <c r="P155" i="1" s="1"/>
  <c r="L156" i="1"/>
  <c r="L157" i="1"/>
  <c r="L158" i="1"/>
  <c r="L159" i="1"/>
  <c r="L160" i="1"/>
  <c r="N160" i="1" s="1"/>
  <c r="P160" i="1" s="1"/>
  <c r="L161" i="1"/>
  <c r="L162" i="1"/>
  <c r="L163" i="1"/>
  <c r="N163" i="1" s="1"/>
  <c r="P163" i="1" s="1"/>
  <c r="L164" i="1"/>
  <c r="L165" i="1"/>
  <c r="L166" i="1"/>
  <c r="L167" i="1"/>
  <c r="L168" i="1"/>
  <c r="N168" i="1" s="1"/>
  <c r="P168" i="1" s="1"/>
  <c r="L169" i="1"/>
  <c r="L170" i="1"/>
  <c r="L171" i="1"/>
  <c r="N171" i="1" s="1"/>
  <c r="P171" i="1" s="1"/>
  <c r="L172" i="1"/>
  <c r="L173" i="1"/>
  <c r="L174" i="1"/>
  <c r="L175" i="1"/>
  <c r="L176" i="1"/>
  <c r="N176" i="1" s="1"/>
  <c r="P176" i="1" s="1"/>
  <c r="L177" i="1"/>
  <c r="L178" i="1"/>
  <c r="L179" i="1"/>
  <c r="N179" i="1" s="1"/>
  <c r="P179" i="1" s="1"/>
  <c r="L180" i="1"/>
  <c r="L181" i="1"/>
  <c r="L182" i="1"/>
  <c r="L183" i="1"/>
  <c r="L184" i="1"/>
  <c r="N184" i="1" s="1"/>
  <c r="P184" i="1" s="1"/>
  <c r="L185" i="1"/>
  <c r="L186" i="1"/>
  <c r="L187" i="1"/>
  <c r="N187" i="1" s="1"/>
  <c r="P187" i="1" s="1"/>
  <c r="L188" i="1"/>
  <c r="L189" i="1"/>
  <c r="L190" i="1"/>
  <c r="L191" i="1"/>
  <c r="L192" i="1"/>
  <c r="N192" i="1" s="1"/>
  <c r="P192" i="1" s="1"/>
  <c r="L193" i="1"/>
  <c r="L194" i="1"/>
  <c r="L195" i="1"/>
  <c r="N195" i="1" s="1"/>
  <c r="P195" i="1" s="1"/>
  <c r="L196" i="1"/>
  <c r="L197" i="1"/>
  <c r="L198" i="1"/>
  <c r="L199" i="1"/>
  <c r="L200" i="1"/>
  <c r="N200" i="1" s="1"/>
  <c r="P200" i="1" s="1"/>
  <c r="L201" i="1"/>
  <c r="L202" i="1"/>
  <c r="L203" i="1"/>
  <c r="N203" i="1" s="1"/>
  <c r="P203" i="1" s="1"/>
  <c r="L204" i="1"/>
  <c r="L205" i="1"/>
  <c r="L206" i="1"/>
  <c r="L207" i="1"/>
  <c r="L208" i="1"/>
  <c r="N208" i="1" s="1"/>
  <c r="P208" i="1" s="1"/>
  <c r="L209" i="1"/>
  <c r="L210" i="1"/>
  <c r="L211" i="1"/>
  <c r="N211" i="1" s="1"/>
  <c r="P211" i="1" s="1"/>
  <c r="L212" i="1"/>
  <c r="L213" i="1"/>
  <c r="L214" i="1"/>
  <c r="L215" i="1"/>
  <c r="L216" i="1"/>
  <c r="N216" i="1" s="1"/>
  <c r="P216" i="1" s="1"/>
  <c r="L217" i="1"/>
  <c r="L218" i="1"/>
  <c r="L219" i="1"/>
  <c r="N219" i="1" s="1"/>
  <c r="P219" i="1" s="1"/>
  <c r="L220" i="1"/>
  <c r="L221" i="1"/>
  <c r="L222" i="1"/>
  <c r="L223" i="1"/>
  <c r="L224" i="1"/>
  <c r="N224" i="1" s="1"/>
  <c r="P224" i="1" s="1"/>
  <c r="L225" i="1"/>
  <c r="L226" i="1"/>
  <c r="L227" i="1"/>
  <c r="N227" i="1" s="1"/>
  <c r="P227" i="1" s="1"/>
  <c r="L228" i="1"/>
  <c r="L229" i="1"/>
  <c r="L230" i="1"/>
  <c r="L231" i="1"/>
  <c r="L232" i="1"/>
  <c r="N232" i="1" s="1"/>
  <c r="P232" i="1" s="1"/>
  <c r="L233" i="1"/>
  <c r="L234" i="1"/>
  <c r="L235" i="1"/>
  <c r="N235" i="1" s="1"/>
  <c r="P235" i="1" s="1"/>
  <c r="L236" i="1"/>
  <c r="L237" i="1"/>
  <c r="L238" i="1"/>
  <c r="L239" i="1"/>
  <c r="L240" i="1"/>
  <c r="N240" i="1" s="1"/>
  <c r="P240" i="1" s="1"/>
  <c r="L241" i="1"/>
  <c r="L242" i="1"/>
  <c r="L243" i="1"/>
  <c r="N243" i="1" s="1"/>
  <c r="P243" i="1" s="1"/>
  <c r="L244" i="1"/>
  <c r="L245" i="1"/>
  <c r="L246" i="1"/>
  <c r="L247" i="1"/>
  <c r="L248" i="1"/>
  <c r="N248" i="1" s="1"/>
  <c r="P248" i="1" s="1"/>
  <c r="L249" i="1"/>
  <c r="L250" i="1"/>
  <c r="L251" i="1"/>
  <c r="N251" i="1" s="1"/>
  <c r="P251" i="1" s="1"/>
  <c r="L252" i="1"/>
  <c r="L253" i="1"/>
  <c r="L254" i="1"/>
  <c r="L255" i="1"/>
  <c r="L256" i="1"/>
  <c r="N256" i="1" s="1"/>
  <c r="P256" i="1" s="1"/>
  <c r="L257" i="1"/>
  <c r="L258" i="1"/>
  <c r="L259" i="1"/>
  <c r="N259" i="1" s="1"/>
  <c r="P259" i="1" s="1"/>
  <c r="L260" i="1"/>
  <c r="L261" i="1"/>
  <c r="L262" i="1"/>
  <c r="L263" i="1"/>
  <c r="L264" i="1"/>
  <c r="N264" i="1" s="1"/>
  <c r="P264" i="1" s="1"/>
  <c r="L265" i="1"/>
  <c r="L266" i="1"/>
  <c r="L267" i="1"/>
  <c r="L268" i="1"/>
  <c r="L269" i="1"/>
  <c r="L270" i="1"/>
  <c r="L271" i="1"/>
  <c r="L272" i="1"/>
  <c r="N272" i="1" s="1"/>
  <c r="P272" i="1" s="1"/>
  <c r="L273" i="1"/>
  <c r="L274" i="1"/>
  <c r="L275" i="1"/>
  <c r="N275" i="1" s="1"/>
  <c r="P275" i="1" s="1"/>
  <c r="L276" i="1"/>
  <c r="L277" i="1"/>
  <c r="L278" i="1"/>
  <c r="L279" i="1"/>
  <c r="L280" i="1"/>
  <c r="N280" i="1" s="1"/>
  <c r="P280" i="1" s="1"/>
  <c r="L281" i="1"/>
  <c r="L282" i="1"/>
  <c r="L283" i="1"/>
  <c r="N283" i="1" s="1"/>
  <c r="P283" i="1" s="1"/>
  <c r="L284" i="1"/>
  <c r="L285" i="1"/>
  <c r="L286" i="1"/>
  <c r="L287" i="1"/>
  <c r="L288" i="1"/>
  <c r="N288" i="1" s="1"/>
  <c r="P288" i="1" s="1"/>
  <c r="L289" i="1"/>
  <c r="L290" i="1"/>
  <c r="L291" i="1"/>
  <c r="N291" i="1" s="1"/>
  <c r="P291" i="1" s="1"/>
  <c r="L292" i="1"/>
  <c r="L293" i="1"/>
  <c r="L294" i="1"/>
  <c r="L295" i="1"/>
  <c r="L296" i="1"/>
  <c r="N296" i="1" s="1"/>
  <c r="P296" i="1" s="1"/>
  <c r="L297" i="1"/>
  <c r="L298" i="1"/>
  <c r="L299" i="1"/>
  <c r="N299" i="1" s="1"/>
  <c r="P299" i="1" s="1"/>
  <c r="L300" i="1"/>
  <c r="L301" i="1"/>
  <c r="L302" i="1"/>
  <c r="L303" i="1"/>
  <c r="L304" i="1"/>
  <c r="N304" i="1" s="1"/>
  <c r="P304" i="1" s="1"/>
  <c r="L305" i="1"/>
  <c r="L306" i="1"/>
  <c r="L307" i="1"/>
  <c r="N307" i="1" s="1"/>
  <c r="P307" i="1" s="1"/>
  <c r="L308" i="1"/>
  <c r="L309" i="1"/>
  <c r="L310" i="1"/>
  <c r="L311" i="1"/>
  <c r="L312" i="1"/>
  <c r="N312" i="1" s="1"/>
  <c r="P312" i="1" s="1"/>
  <c r="L313" i="1"/>
  <c r="L314" i="1"/>
  <c r="L315" i="1"/>
  <c r="N315" i="1" s="1"/>
  <c r="P315" i="1" s="1"/>
  <c r="L316" i="1"/>
  <c r="L317" i="1"/>
  <c r="L318" i="1"/>
  <c r="L319" i="1"/>
  <c r="L320" i="1"/>
  <c r="N320" i="1" s="1"/>
  <c r="P320" i="1" s="1"/>
  <c r="L321" i="1"/>
  <c r="L322" i="1"/>
  <c r="L323" i="1"/>
  <c r="N323" i="1" s="1"/>
  <c r="P323" i="1" s="1"/>
  <c r="L324" i="1"/>
  <c r="L325" i="1"/>
  <c r="L326" i="1"/>
  <c r="L327" i="1"/>
  <c r="L328" i="1"/>
  <c r="N328" i="1" s="1"/>
  <c r="P328" i="1" s="1"/>
  <c r="L329" i="1"/>
  <c r="L330" i="1"/>
  <c r="L331" i="1"/>
  <c r="N331" i="1" s="1"/>
  <c r="P331" i="1" s="1"/>
  <c r="L332" i="1"/>
  <c r="L333" i="1"/>
  <c r="L334" i="1"/>
  <c r="L335" i="1"/>
  <c r="L336" i="1"/>
  <c r="N336" i="1" s="1"/>
  <c r="P336" i="1" s="1"/>
  <c r="L337" i="1"/>
  <c r="L338" i="1"/>
  <c r="L339" i="1"/>
  <c r="N339" i="1" s="1"/>
  <c r="P339" i="1" s="1"/>
  <c r="L340" i="1"/>
  <c r="L341" i="1"/>
  <c r="L342" i="1"/>
  <c r="L343" i="1"/>
  <c r="L344" i="1"/>
  <c r="N344" i="1" s="1"/>
  <c r="P344" i="1" s="1"/>
  <c r="L345" i="1"/>
  <c r="L346" i="1"/>
  <c r="L347" i="1"/>
  <c r="N347" i="1" s="1"/>
  <c r="P347" i="1" s="1"/>
  <c r="L348" i="1"/>
  <c r="L349" i="1"/>
  <c r="L350" i="1"/>
  <c r="L351" i="1"/>
  <c r="L352" i="1"/>
  <c r="N352" i="1" s="1"/>
  <c r="P352" i="1" s="1"/>
  <c r="L353" i="1"/>
  <c r="L354" i="1"/>
  <c r="L355" i="1"/>
  <c r="N355" i="1" s="1"/>
  <c r="P355" i="1" s="1"/>
  <c r="L356" i="1"/>
  <c r="L357" i="1"/>
  <c r="L358" i="1"/>
  <c r="L359" i="1"/>
  <c r="L360" i="1"/>
  <c r="N360" i="1" s="1"/>
  <c r="P360" i="1" s="1"/>
  <c r="L361" i="1"/>
  <c r="L362" i="1"/>
  <c r="L363" i="1"/>
  <c r="N363" i="1" s="1"/>
  <c r="P363" i="1" s="1"/>
  <c r="L364" i="1"/>
  <c r="L365" i="1"/>
  <c r="L366" i="1"/>
  <c r="L367" i="1"/>
  <c r="L368" i="1"/>
  <c r="N368" i="1" s="1"/>
  <c r="P368" i="1" s="1"/>
  <c r="L369" i="1"/>
  <c r="L370" i="1"/>
  <c r="L371" i="1"/>
  <c r="N371" i="1" s="1"/>
  <c r="P371" i="1" s="1"/>
  <c r="L372" i="1"/>
  <c r="L373" i="1"/>
  <c r="L374" i="1"/>
  <c r="L375" i="1"/>
  <c r="L376" i="1"/>
  <c r="N376" i="1" s="1"/>
  <c r="P376" i="1" s="1"/>
  <c r="L377" i="1"/>
  <c r="L378" i="1"/>
  <c r="L379" i="1"/>
  <c r="N379" i="1" s="1"/>
  <c r="P379" i="1" s="1"/>
  <c r="L380" i="1"/>
  <c r="L381" i="1"/>
  <c r="L382" i="1"/>
  <c r="L383" i="1"/>
  <c r="L384" i="1"/>
  <c r="N384" i="1" s="1"/>
  <c r="P384" i="1" s="1"/>
  <c r="L385" i="1"/>
  <c r="L386" i="1"/>
  <c r="L387" i="1"/>
  <c r="N387" i="1" s="1"/>
  <c r="P387" i="1" s="1"/>
  <c r="L388" i="1"/>
  <c r="L389" i="1"/>
  <c r="L390" i="1"/>
  <c r="L391" i="1"/>
  <c r="L392" i="1"/>
  <c r="N392" i="1" s="1"/>
  <c r="P392" i="1" s="1"/>
  <c r="L393" i="1"/>
  <c r="L394" i="1"/>
  <c r="L395" i="1"/>
  <c r="N395" i="1" s="1"/>
  <c r="P395" i="1" s="1"/>
  <c r="L396" i="1"/>
  <c r="L397" i="1"/>
  <c r="L398" i="1"/>
  <c r="L399" i="1"/>
  <c r="L400" i="1"/>
  <c r="N400" i="1" s="1"/>
  <c r="P400" i="1" s="1"/>
  <c r="L401" i="1"/>
  <c r="L402" i="1"/>
  <c r="L403" i="1"/>
  <c r="N403" i="1" s="1"/>
  <c r="P403" i="1" s="1"/>
  <c r="L404" i="1"/>
  <c r="L405" i="1"/>
  <c r="L406" i="1"/>
  <c r="L407" i="1"/>
  <c r="L408" i="1"/>
  <c r="N408" i="1" s="1"/>
  <c r="P408" i="1" s="1"/>
  <c r="L409" i="1"/>
  <c r="L410" i="1"/>
  <c r="L411" i="1"/>
  <c r="N411" i="1" s="1"/>
  <c r="P411" i="1" s="1"/>
  <c r="L412" i="1"/>
  <c r="L413" i="1"/>
  <c r="L414" i="1"/>
  <c r="L415" i="1"/>
  <c r="L416" i="1"/>
  <c r="N416" i="1" s="1"/>
  <c r="P416" i="1" s="1"/>
  <c r="L417" i="1"/>
  <c r="L418" i="1"/>
  <c r="L419" i="1"/>
  <c r="N419" i="1" s="1"/>
  <c r="P419" i="1" s="1"/>
  <c r="L420" i="1"/>
  <c r="L421" i="1"/>
  <c r="L422" i="1"/>
  <c r="L423" i="1"/>
  <c r="L424" i="1"/>
  <c r="N424" i="1" s="1"/>
  <c r="P424" i="1" s="1"/>
  <c r="L425" i="1"/>
  <c r="L426" i="1"/>
  <c r="L427" i="1"/>
  <c r="N427" i="1" s="1"/>
  <c r="P427" i="1" s="1"/>
  <c r="L428" i="1"/>
  <c r="L429" i="1"/>
  <c r="L430" i="1"/>
  <c r="L431" i="1"/>
  <c r="L432" i="1"/>
  <c r="N432" i="1" s="1"/>
  <c r="P432" i="1" s="1"/>
  <c r="L433" i="1"/>
  <c r="L434" i="1"/>
  <c r="L435" i="1"/>
  <c r="N435" i="1" s="1"/>
  <c r="P435" i="1" s="1"/>
  <c r="L436" i="1"/>
  <c r="L437" i="1"/>
  <c r="L438" i="1"/>
  <c r="L439" i="1"/>
  <c r="L440" i="1"/>
  <c r="N440" i="1" s="1"/>
  <c r="P440" i="1" s="1"/>
  <c r="L441" i="1"/>
  <c r="L442" i="1"/>
  <c r="L443" i="1"/>
  <c r="N443" i="1" s="1"/>
  <c r="P443" i="1" s="1"/>
  <c r="L444" i="1"/>
  <c r="L445" i="1"/>
  <c r="L446" i="1"/>
  <c r="L447" i="1"/>
  <c r="L448" i="1"/>
  <c r="N448" i="1" s="1"/>
  <c r="P448" i="1" s="1"/>
  <c r="L449" i="1"/>
  <c r="L450" i="1"/>
  <c r="L451" i="1"/>
  <c r="N451" i="1" s="1"/>
  <c r="P451" i="1" s="1"/>
  <c r="L452" i="1"/>
  <c r="L453" i="1"/>
  <c r="L454" i="1"/>
  <c r="L455" i="1"/>
  <c r="L456" i="1"/>
  <c r="N456" i="1" s="1"/>
  <c r="P456" i="1" s="1"/>
  <c r="L457" i="1"/>
  <c r="L458" i="1"/>
  <c r="L459" i="1"/>
  <c r="N459" i="1" s="1"/>
  <c r="P459" i="1" s="1"/>
  <c r="L460" i="1"/>
  <c r="L461" i="1"/>
  <c r="L462" i="1"/>
  <c r="L463" i="1"/>
  <c r="L464" i="1"/>
  <c r="N464" i="1" s="1"/>
  <c r="P464" i="1" s="1"/>
  <c r="L465" i="1"/>
  <c r="L466" i="1"/>
  <c r="L467" i="1"/>
  <c r="N467" i="1" s="1"/>
  <c r="P467" i="1" s="1"/>
  <c r="L468" i="1"/>
  <c r="L469" i="1"/>
  <c r="L470" i="1"/>
  <c r="L471" i="1"/>
  <c r="L472" i="1"/>
  <c r="N472" i="1" s="1"/>
  <c r="P472" i="1" s="1"/>
  <c r="L473" i="1"/>
  <c r="L474" i="1"/>
  <c r="L475" i="1"/>
  <c r="N475" i="1" s="1"/>
  <c r="P475" i="1" s="1"/>
  <c r="L476" i="1"/>
  <c r="L477" i="1"/>
  <c r="L478" i="1"/>
  <c r="L479" i="1"/>
  <c r="L480" i="1"/>
  <c r="N480" i="1" s="1"/>
  <c r="P480" i="1" s="1"/>
  <c r="L481" i="1"/>
  <c r="L482" i="1"/>
  <c r="L483" i="1"/>
  <c r="N483" i="1" s="1"/>
  <c r="P483" i="1" s="1"/>
  <c r="L484" i="1"/>
  <c r="L485" i="1"/>
  <c r="L486" i="1"/>
  <c r="L487" i="1"/>
  <c r="L488" i="1"/>
  <c r="N488" i="1" s="1"/>
  <c r="P488" i="1" s="1"/>
  <c r="L489" i="1"/>
  <c r="L490" i="1"/>
  <c r="L491" i="1"/>
  <c r="N491" i="1" s="1"/>
  <c r="P491" i="1" s="1"/>
  <c r="L492" i="1"/>
  <c r="L493" i="1"/>
  <c r="L494" i="1"/>
  <c r="L495" i="1"/>
  <c r="L496" i="1"/>
  <c r="N496" i="1" s="1"/>
  <c r="P496" i="1" s="1"/>
  <c r="L497" i="1"/>
  <c r="L498" i="1"/>
  <c r="L499" i="1"/>
  <c r="N499" i="1" s="1"/>
  <c r="P499" i="1" s="1"/>
  <c r="L500" i="1"/>
  <c r="L501" i="1"/>
  <c r="L502" i="1"/>
  <c r="L503" i="1"/>
  <c r="L504" i="1"/>
  <c r="N504" i="1" s="1"/>
  <c r="P504" i="1" s="1"/>
  <c r="L505" i="1"/>
  <c r="L506" i="1"/>
  <c r="L507" i="1"/>
  <c r="N507" i="1" s="1"/>
  <c r="P507" i="1" s="1"/>
  <c r="L508" i="1"/>
  <c r="L509" i="1"/>
  <c r="L510" i="1"/>
  <c r="L511" i="1"/>
  <c r="L512" i="1"/>
  <c r="N512" i="1" s="1"/>
  <c r="P512" i="1" s="1"/>
  <c r="L513" i="1"/>
  <c r="L514" i="1"/>
  <c r="L515" i="1"/>
  <c r="N515" i="1" s="1"/>
  <c r="P515" i="1" s="1"/>
  <c r="L516" i="1"/>
  <c r="L517" i="1"/>
  <c r="L518" i="1"/>
  <c r="L519" i="1"/>
  <c r="L520" i="1"/>
  <c r="N520" i="1" s="1"/>
  <c r="P520" i="1" s="1"/>
  <c r="L521" i="1"/>
  <c r="L522" i="1"/>
  <c r="L523" i="1"/>
  <c r="N523" i="1" s="1"/>
  <c r="P523" i="1" s="1"/>
  <c r="L524" i="1"/>
  <c r="L525" i="1"/>
  <c r="L526" i="1"/>
  <c r="L527" i="1"/>
  <c r="L528" i="1"/>
  <c r="N528" i="1" s="1"/>
  <c r="P528" i="1" s="1"/>
  <c r="L529" i="1"/>
  <c r="L530" i="1"/>
  <c r="L531" i="1"/>
  <c r="N531" i="1" s="1"/>
  <c r="P531" i="1" s="1"/>
  <c r="L532" i="1"/>
  <c r="L533" i="1"/>
  <c r="L534" i="1"/>
  <c r="L535" i="1"/>
  <c r="L536" i="1"/>
  <c r="N536" i="1" s="1"/>
  <c r="P536" i="1" s="1"/>
  <c r="L537" i="1"/>
  <c r="L538" i="1"/>
  <c r="L539" i="1"/>
  <c r="N539" i="1" s="1"/>
  <c r="P539" i="1" s="1"/>
  <c r="L540" i="1"/>
  <c r="L541" i="1"/>
  <c r="L542" i="1"/>
  <c r="L543" i="1"/>
  <c r="L544" i="1"/>
  <c r="N544" i="1" s="1"/>
  <c r="P544" i="1" s="1"/>
  <c r="L545" i="1"/>
  <c r="L546" i="1"/>
  <c r="L547" i="1"/>
  <c r="N547" i="1" s="1"/>
  <c r="P547" i="1" s="1"/>
  <c r="L548" i="1"/>
  <c r="L549" i="1"/>
  <c r="L550" i="1"/>
  <c r="L551" i="1"/>
  <c r="L552" i="1"/>
  <c r="N552" i="1" s="1"/>
  <c r="P552" i="1" s="1"/>
  <c r="L553" i="1"/>
  <c r="L554" i="1"/>
  <c r="L555" i="1"/>
  <c r="N555" i="1" s="1"/>
  <c r="P555" i="1" s="1"/>
  <c r="L556" i="1"/>
  <c r="L557" i="1"/>
  <c r="L558" i="1"/>
  <c r="L559" i="1"/>
  <c r="L560" i="1"/>
  <c r="N560" i="1" s="1"/>
  <c r="P560" i="1" s="1"/>
  <c r="L561" i="1"/>
  <c r="L562" i="1"/>
  <c r="L563" i="1"/>
  <c r="N563" i="1" s="1"/>
  <c r="P563" i="1" s="1"/>
  <c r="L564" i="1"/>
  <c r="L565" i="1"/>
  <c r="L566" i="1"/>
  <c r="L567" i="1"/>
  <c r="L568" i="1"/>
  <c r="N568" i="1" s="1"/>
  <c r="P568" i="1" s="1"/>
  <c r="L569" i="1"/>
  <c r="L570" i="1"/>
  <c r="L571" i="1"/>
  <c r="N571" i="1" s="1"/>
  <c r="P571" i="1" s="1"/>
  <c r="L572" i="1"/>
  <c r="L573" i="1"/>
  <c r="L574" i="1"/>
  <c r="L575" i="1"/>
  <c r="L576" i="1"/>
  <c r="N576" i="1" s="1"/>
  <c r="P576" i="1" s="1"/>
  <c r="L577" i="1"/>
  <c r="L578" i="1"/>
  <c r="L579" i="1"/>
  <c r="N579" i="1" s="1"/>
  <c r="P579" i="1" s="1"/>
  <c r="L580" i="1"/>
  <c r="L581" i="1"/>
  <c r="L582" i="1"/>
  <c r="L583" i="1"/>
  <c r="L584" i="1"/>
  <c r="N584" i="1" s="1"/>
  <c r="P584" i="1" s="1"/>
  <c r="L585" i="1"/>
  <c r="L586" i="1"/>
  <c r="L587" i="1"/>
  <c r="N587" i="1" s="1"/>
  <c r="P587" i="1" s="1"/>
  <c r="L588" i="1"/>
  <c r="L589" i="1"/>
  <c r="L590" i="1"/>
  <c r="L591" i="1"/>
  <c r="L592" i="1"/>
  <c r="N592" i="1" s="1"/>
  <c r="P592" i="1" s="1"/>
  <c r="L593" i="1"/>
  <c r="L594" i="1"/>
  <c r="L595" i="1"/>
  <c r="N595" i="1" s="1"/>
  <c r="P595" i="1" s="1"/>
  <c r="L596" i="1"/>
  <c r="L597" i="1"/>
  <c r="L598" i="1"/>
  <c r="L599" i="1"/>
  <c r="L600" i="1"/>
  <c r="N600" i="1" s="1"/>
  <c r="P600" i="1" s="1"/>
  <c r="L601" i="1"/>
  <c r="L602" i="1"/>
  <c r="L603" i="1"/>
  <c r="N603" i="1" s="1"/>
  <c r="P603" i="1" s="1"/>
  <c r="L604" i="1"/>
  <c r="L605" i="1"/>
  <c r="L606" i="1"/>
  <c r="L607" i="1"/>
  <c r="L608" i="1"/>
  <c r="N608" i="1" s="1"/>
  <c r="P608" i="1" s="1"/>
  <c r="L609" i="1"/>
  <c r="L610" i="1"/>
  <c r="L611" i="1"/>
  <c r="N611" i="1" s="1"/>
  <c r="P611" i="1" s="1"/>
  <c r="L612" i="1"/>
  <c r="L613" i="1"/>
  <c r="L614" i="1"/>
  <c r="L615" i="1"/>
  <c r="L616" i="1"/>
  <c r="N616" i="1" s="1"/>
  <c r="P616" i="1" s="1"/>
  <c r="L617" i="1"/>
  <c r="L618" i="1"/>
  <c r="L619" i="1"/>
  <c r="N619" i="1" s="1"/>
  <c r="P619" i="1" s="1"/>
  <c r="L620" i="1"/>
  <c r="L621" i="1"/>
  <c r="L622" i="1"/>
  <c r="L623" i="1"/>
  <c r="L624" i="1"/>
  <c r="N624" i="1" s="1"/>
  <c r="P624" i="1" s="1"/>
  <c r="L625" i="1"/>
  <c r="L626" i="1"/>
  <c r="L627" i="1"/>
  <c r="N627" i="1" s="1"/>
  <c r="P627" i="1" s="1"/>
  <c r="L628" i="1"/>
  <c r="L629" i="1"/>
  <c r="L630" i="1"/>
  <c r="L631" i="1"/>
  <c r="L632" i="1"/>
  <c r="N632" i="1" s="1"/>
  <c r="P632" i="1" s="1"/>
  <c r="L633" i="1"/>
  <c r="L634" i="1"/>
  <c r="L635" i="1"/>
  <c r="N635" i="1" s="1"/>
  <c r="P635" i="1" s="1"/>
  <c r="L636" i="1"/>
  <c r="L637" i="1"/>
  <c r="L638" i="1"/>
  <c r="L639" i="1"/>
  <c r="L640" i="1"/>
  <c r="N640" i="1" s="1"/>
  <c r="P640" i="1" s="1"/>
  <c r="L641" i="1"/>
  <c r="L642" i="1"/>
  <c r="L643" i="1"/>
  <c r="N643" i="1" s="1"/>
  <c r="P643" i="1" s="1"/>
  <c r="L644" i="1"/>
  <c r="L645" i="1"/>
  <c r="L646" i="1"/>
  <c r="L647" i="1"/>
  <c r="L648" i="1"/>
  <c r="N648" i="1" s="1"/>
  <c r="P648" i="1" s="1"/>
  <c r="L649" i="1"/>
  <c r="L650" i="1"/>
  <c r="L651" i="1"/>
  <c r="N651" i="1" s="1"/>
  <c r="P651" i="1" s="1"/>
  <c r="L652" i="1"/>
  <c r="L653" i="1"/>
  <c r="L654" i="1"/>
  <c r="L655" i="1"/>
  <c r="L656" i="1"/>
  <c r="N656" i="1" s="1"/>
  <c r="P656" i="1" s="1"/>
  <c r="L657" i="1"/>
  <c r="L658" i="1"/>
  <c r="L659" i="1"/>
  <c r="N659" i="1" s="1"/>
  <c r="P659" i="1" s="1"/>
  <c r="L660" i="1"/>
  <c r="L661" i="1"/>
  <c r="L662" i="1"/>
  <c r="L663" i="1"/>
  <c r="L664" i="1"/>
  <c r="N664" i="1" s="1"/>
  <c r="P664" i="1" s="1"/>
  <c r="L665" i="1"/>
  <c r="L666" i="1"/>
  <c r="L667" i="1"/>
  <c r="N667" i="1" s="1"/>
  <c r="P667" i="1" s="1"/>
  <c r="L668" i="1"/>
  <c r="L669" i="1"/>
  <c r="L670" i="1"/>
  <c r="L671" i="1"/>
  <c r="L672" i="1"/>
  <c r="N672" i="1" s="1"/>
  <c r="P672" i="1" s="1"/>
  <c r="L673" i="1"/>
  <c r="L674" i="1"/>
  <c r="L675" i="1"/>
  <c r="N675" i="1" s="1"/>
  <c r="P675" i="1" s="1"/>
  <c r="L676" i="1"/>
  <c r="L677" i="1"/>
  <c r="L678" i="1"/>
  <c r="L679" i="1"/>
  <c r="L680" i="1"/>
  <c r="N680" i="1" s="1"/>
  <c r="P680" i="1" s="1"/>
  <c r="L681" i="1"/>
  <c r="L682" i="1"/>
  <c r="L683" i="1"/>
  <c r="N683" i="1" s="1"/>
  <c r="P683" i="1" s="1"/>
  <c r="L684" i="1"/>
  <c r="L685" i="1"/>
  <c r="L686" i="1"/>
  <c r="L687" i="1"/>
  <c r="L688" i="1"/>
  <c r="N688" i="1" s="1"/>
  <c r="P688" i="1" s="1"/>
  <c r="L689" i="1"/>
  <c r="L690" i="1"/>
  <c r="L691" i="1"/>
  <c r="N691" i="1" s="1"/>
  <c r="P691" i="1" s="1"/>
  <c r="L692" i="1"/>
  <c r="L693" i="1"/>
  <c r="L694" i="1"/>
  <c r="L695" i="1"/>
  <c r="L696" i="1"/>
  <c r="N696" i="1" s="1"/>
  <c r="P696" i="1" s="1"/>
  <c r="L697" i="1"/>
  <c r="L698" i="1"/>
  <c r="L699" i="1"/>
  <c r="N699" i="1" s="1"/>
  <c r="P699" i="1" s="1"/>
  <c r="L700" i="1"/>
  <c r="L701" i="1"/>
  <c r="L702" i="1"/>
  <c r="L703" i="1"/>
  <c r="L704" i="1"/>
  <c r="N704" i="1" s="1"/>
  <c r="P704" i="1" s="1"/>
  <c r="L705" i="1"/>
  <c r="L706" i="1"/>
  <c r="L707" i="1"/>
  <c r="N707" i="1" s="1"/>
  <c r="P707" i="1" s="1"/>
  <c r="L708" i="1"/>
  <c r="L709" i="1"/>
  <c r="L710" i="1"/>
  <c r="L711" i="1"/>
  <c r="L712" i="1"/>
  <c r="N712" i="1" s="1"/>
  <c r="P712" i="1" s="1"/>
  <c r="L713" i="1"/>
  <c r="L714" i="1"/>
  <c r="L715" i="1"/>
  <c r="N715" i="1" s="1"/>
  <c r="P715" i="1" s="1"/>
  <c r="L716" i="1"/>
  <c r="L717" i="1"/>
  <c r="L718" i="1"/>
  <c r="L719" i="1"/>
  <c r="L720" i="1"/>
  <c r="N720" i="1" s="1"/>
  <c r="P720" i="1" s="1"/>
  <c r="L721" i="1"/>
  <c r="L722" i="1"/>
  <c r="L723" i="1"/>
  <c r="N723" i="1" s="1"/>
  <c r="P723" i="1" s="1"/>
  <c r="L724" i="1"/>
  <c r="L725" i="1"/>
  <c r="L726" i="1"/>
  <c r="L727" i="1"/>
  <c r="L728" i="1"/>
  <c r="N728" i="1" s="1"/>
  <c r="P728" i="1" s="1"/>
  <c r="L729" i="1"/>
  <c r="L730" i="1"/>
  <c r="L731" i="1"/>
  <c r="N731" i="1" s="1"/>
  <c r="P731" i="1" s="1"/>
  <c r="L732" i="1"/>
  <c r="L733" i="1"/>
  <c r="L734" i="1"/>
  <c r="L735" i="1"/>
  <c r="L736" i="1"/>
  <c r="N736" i="1" s="1"/>
  <c r="P736" i="1" s="1"/>
  <c r="L737" i="1"/>
  <c r="L738" i="1"/>
  <c r="L739" i="1"/>
  <c r="N739" i="1" s="1"/>
  <c r="P739" i="1" s="1"/>
  <c r="L740" i="1"/>
  <c r="L741" i="1"/>
  <c r="L742" i="1"/>
  <c r="L743" i="1"/>
  <c r="L744" i="1"/>
  <c r="N744" i="1" s="1"/>
  <c r="P744" i="1" s="1"/>
  <c r="L745" i="1"/>
  <c r="L746" i="1"/>
  <c r="L747" i="1"/>
  <c r="N747" i="1" s="1"/>
  <c r="P747" i="1" s="1"/>
  <c r="L748" i="1"/>
  <c r="L749" i="1"/>
  <c r="L750" i="1"/>
  <c r="L751" i="1"/>
  <c r="L752" i="1"/>
  <c r="N752" i="1" s="1"/>
  <c r="P752" i="1" s="1"/>
  <c r="L753" i="1"/>
  <c r="L754" i="1"/>
  <c r="L755" i="1"/>
  <c r="N755" i="1" s="1"/>
  <c r="P755" i="1" s="1"/>
  <c r="L756" i="1"/>
  <c r="L757" i="1"/>
  <c r="L758" i="1"/>
  <c r="L759" i="1"/>
  <c r="L760" i="1"/>
  <c r="N760" i="1" s="1"/>
  <c r="P760" i="1" s="1"/>
  <c r="L761" i="1"/>
  <c r="L762" i="1"/>
  <c r="L763" i="1"/>
  <c r="N763" i="1" s="1"/>
  <c r="P763" i="1" s="1"/>
  <c r="L764" i="1"/>
  <c r="L765" i="1"/>
  <c r="L766" i="1"/>
  <c r="L767" i="1"/>
  <c r="L768" i="1"/>
  <c r="N768" i="1" s="1"/>
  <c r="P768" i="1" s="1"/>
  <c r="L769" i="1"/>
  <c r="L770" i="1"/>
  <c r="L771" i="1"/>
  <c r="N771" i="1" s="1"/>
  <c r="P771" i="1" s="1"/>
  <c r="L772" i="1"/>
  <c r="L773" i="1"/>
  <c r="L774" i="1"/>
  <c r="L775" i="1"/>
  <c r="L776" i="1"/>
  <c r="N776" i="1" s="1"/>
  <c r="P776" i="1" s="1"/>
  <c r="L777" i="1"/>
  <c r="L778" i="1"/>
  <c r="L779" i="1"/>
  <c r="N779" i="1" s="1"/>
  <c r="P779" i="1" s="1"/>
  <c r="L780" i="1"/>
  <c r="L781" i="1"/>
  <c r="L782" i="1"/>
  <c r="L783" i="1"/>
  <c r="L784" i="1"/>
  <c r="N784" i="1" s="1"/>
  <c r="P784" i="1" s="1"/>
  <c r="L785" i="1"/>
  <c r="L786" i="1"/>
  <c r="L787" i="1"/>
  <c r="N787" i="1" s="1"/>
  <c r="P787" i="1" s="1"/>
  <c r="L788" i="1"/>
  <c r="L789" i="1"/>
  <c r="L790" i="1"/>
  <c r="L791" i="1"/>
  <c r="L792" i="1"/>
  <c r="N792" i="1" s="1"/>
  <c r="P792" i="1" s="1"/>
  <c r="L793" i="1"/>
  <c r="L794" i="1"/>
  <c r="L795" i="1"/>
  <c r="N795" i="1" s="1"/>
  <c r="P795" i="1" s="1"/>
  <c r="L796" i="1"/>
  <c r="L797" i="1"/>
  <c r="L798" i="1"/>
  <c r="L799" i="1"/>
  <c r="L800" i="1"/>
  <c r="N800" i="1" s="1"/>
  <c r="P800" i="1" s="1"/>
  <c r="L801" i="1"/>
  <c r="L802" i="1"/>
  <c r="L803" i="1"/>
  <c r="N803" i="1" s="1"/>
  <c r="P803" i="1" s="1"/>
  <c r="L804" i="1"/>
  <c r="L805" i="1"/>
  <c r="L806" i="1"/>
  <c r="L807" i="1"/>
  <c r="L808" i="1"/>
  <c r="N808" i="1" s="1"/>
  <c r="P808" i="1" s="1"/>
  <c r="L809" i="1"/>
  <c r="L810" i="1"/>
  <c r="L811" i="1"/>
  <c r="N811" i="1" s="1"/>
  <c r="P811" i="1" s="1"/>
  <c r="L812" i="1"/>
  <c r="L813" i="1"/>
  <c r="L814" i="1"/>
  <c r="L815" i="1"/>
  <c r="L816" i="1"/>
  <c r="N816" i="1" s="1"/>
  <c r="P816" i="1" s="1"/>
  <c r="L817" i="1"/>
  <c r="L818" i="1"/>
  <c r="L819" i="1"/>
  <c r="N819" i="1" s="1"/>
  <c r="P819" i="1" s="1"/>
  <c r="L820" i="1"/>
  <c r="L821" i="1"/>
  <c r="L822" i="1"/>
  <c r="L823" i="1"/>
  <c r="L824" i="1"/>
  <c r="N824" i="1" s="1"/>
  <c r="P824" i="1" s="1"/>
  <c r="L825" i="1"/>
  <c r="L826" i="1"/>
  <c r="L827" i="1"/>
  <c r="N827" i="1" s="1"/>
  <c r="P827" i="1" s="1"/>
  <c r="L828" i="1"/>
  <c r="L829" i="1"/>
  <c r="L830" i="1"/>
  <c r="L831" i="1"/>
  <c r="L832" i="1"/>
  <c r="N832" i="1" s="1"/>
  <c r="P832" i="1" s="1"/>
  <c r="L833" i="1"/>
  <c r="L834" i="1"/>
  <c r="L835" i="1"/>
  <c r="N835" i="1" s="1"/>
  <c r="P835" i="1" s="1"/>
  <c r="L836" i="1"/>
  <c r="L837" i="1"/>
  <c r="L838" i="1"/>
  <c r="L839" i="1"/>
  <c r="L840" i="1"/>
  <c r="N840" i="1" s="1"/>
  <c r="P840" i="1" s="1"/>
  <c r="L841" i="1"/>
  <c r="L842" i="1"/>
  <c r="L843" i="1"/>
  <c r="N843" i="1" s="1"/>
  <c r="P843" i="1" s="1"/>
  <c r="L844" i="1"/>
  <c r="L845" i="1"/>
  <c r="L846" i="1"/>
  <c r="L847" i="1"/>
  <c r="L848" i="1"/>
  <c r="N848" i="1" s="1"/>
  <c r="P848" i="1" s="1"/>
  <c r="L849" i="1"/>
  <c r="L850" i="1"/>
  <c r="L851" i="1"/>
  <c r="N851" i="1" s="1"/>
  <c r="P851" i="1" s="1"/>
  <c r="L852" i="1"/>
  <c r="L853" i="1"/>
  <c r="L854" i="1"/>
  <c r="L855" i="1"/>
  <c r="L856" i="1"/>
  <c r="N856" i="1" s="1"/>
  <c r="P856" i="1" s="1"/>
  <c r="L857" i="1"/>
  <c r="L858" i="1"/>
  <c r="L859" i="1"/>
  <c r="N859" i="1" s="1"/>
  <c r="P859" i="1" s="1"/>
  <c r="L860" i="1"/>
  <c r="L861" i="1"/>
  <c r="L862" i="1"/>
  <c r="L863" i="1"/>
  <c r="L864" i="1"/>
  <c r="N864" i="1" s="1"/>
  <c r="P864" i="1" s="1"/>
  <c r="L865" i="1"/>
  <c r="L866" i="1"/>
  <c r="L867" i="1"/>
  <c r="N867" i="1" s="1"/>
  <c r="P867" i="1" s="1"/>
  <c r="L868" i="1"/>
  <c r="L869" i="1"/>
  <c r="L870" i="1"/>
  <c r="L871" i="1"/>
  <c r="L872" i="1"/>
  <c r="N872" i="1" s="1"/>
  <c r="P872" i="1" s="1"/>
  <c r="L873" i="1"/>
  <c r="L874" i="1"/>
  <c r="L875" i="1"/>
  <c r="N875" i="1" s="1"/>
  <c r="P875" i="1" s="1"/>
  <c r="L876" i="1"/>
  <c r="L877" i="1"/>
  <c r="L878" i="1"/>
  <c r="L879" i="1"/>
  <c r="L880" i="1"/>
  <c r="N880" i="1" s="1"/>
  <c r="P880" i="1" s="1"/>
  <c r="L881" i="1"/>
  <c r="L882" i="1"/>
  <c r="L883" i="1"/>
  <c r="N883" i="1" s="1"/>
  <c r="P883" i="1" s="1"/>
  <c r="L884" i="1"/>
  <c r="L885" i="1"/>
  <c r="L886" i="1"/>
  <c r="L887" i="1"/>
  <c r="L888" i="1"/>
  <c r="N888" i="1" s="1"/>
  <c r="P888" i="1" s="1"/>
  <c r="L889" i="1"/>
  <c r="L890" i="1"/>
  <c r="L891" i="1"/>
  <c r="N891" i="1" s="1"/>
  <c r="P891" i="1" s="1"/>
  <c r="L892" i="1"/>
  <c r="L893" i="1"/>
  <c r="L894" i="1"/>
  <c r="L895" i="1"/>
  <c r="L896" i="1"/>
  <c r="N896" i="1" s="1"/>
  <c r="P896" i="1" s="1"/>
  <c r="L897" i="1"/>
  <c r="L898" i="1"/>
  <c r="L899" i="1"/>
  <c r="N899" i="1" s="1"/>
  <c r="P899" i="1" s="1"/>
  <c r="L900" i="1"/>
  <c r="L901" i="1"/>
  <c r="L902" i="1"/>
  <c r="L903" i="1"/>
  <c r="L904" i="1"/>
  <c r="N904" i="1" s="1"/>
  <c r="P904" i="1" s="1"/>
  <c r="L905" i="1"/>
  <c r="L906" i="1"/>
  <c r="L907" i="1"/>
  <c r="N907" i="1" s="1"/>
  <c r="P907" i="1" s="1"/>
  <c r="L908" i="1"/>
  <c r="L909" i="1"/>
  <c r="L910" i="1"/>
  <c r="L911" i="1"/>
  <c r="L912" i="1"/>
  <c r="N912" i="1" s="1"/>
  <c r="P912" i="1" s="1"/>
  <c r="L913" i="1"/>
  <c r="L914" i="1"/>
  <c r="L915" i="1"/>
  <c r="N915" i="1" s="1"/>
  <c r="P915" i="1" s="1"/>
  <c r="L916" i="1"/>
  <c r="L917" i="1"/>
  <c r="L918" i="1"/>
  <c r="L919" i="1"/>
  <c r="L920" i="1"/>
  <c r="N920" i="1" s="1"/>
  <c r="P920" i="1" s="1"/>
  <c r="L921" i="1"/>
  <c r="L922" i="1"/>
  <c r="L923" i="1"/>
  <c r="N923" i="1" s="1"/>
  <c r="P923" i="1" s="1"/>
  <c r="L924" i="1"/>
  <c r="L925" i="1"/>
  <c r="L926" i="1"/>
  <c r="L927" i="1"/>
  <c r="L928" i="1"/>
  <c r="N928" i="1" s="1"/>
  <c r="P928" i="1" s="1"/>
  <c r="L929" i="1"/>
  <c r="L930" i="1"/>
  <c r="L931" i="1"/>
  <c r="N931" i="1" s="1"/>
  <c r="P931" i="1" s="1"/>
  <c r="L932" i="1"/>
  <c r="L933" i="1"/>
  <c r="L934" i="1"/>
  <c r="L935" i="1"/>
  <c r="L936" i="1"/>
  <c r="N936" i="1" s="1"/>
  <c r="P936" i="1" s="1"/>
  <c r="L937" i="1"/>
  <c r="L938" i="1"/>
  <c r="L939" i="1"/>
  <c r="N939" i="1" s="1"/>
  <c r="P939" i="1" s="1"/>
  <c r="L940" i="1"/>
  <c r="L941" i="1"/>
  <c r="L942" i="1"/>
  <c r="L943" i="1"/>
  <c r="L944" i="1"/>
  <c r="N944" i="1" s="1"/>
  <c r="P944" i="1" s="1"/>
  <c r="L945" i="1"/>
  <c r="L946" i="1"/>
  <c r="L947" i="1"/>
  <c r="N947" i="1" s="1"/>
  <c r="P947" i="1" s="1"/>
  <c r="L948" i="1"/>
  <c r="L949" i="1"/>
  <c r="L950" i="1"/>
  <c r="L951" i="1"/>
  <c r="L952" i="1"/>
  <c r="N952" i="1" s="1"/>
  <c r="P952" i="1" s="1"/>
  <c r="L953" i="1"/>
  <c r="L954" i="1"/>
  <c r="L955" i="1"/>
  <c r="N955" i="1" s="1"/>
  <c r="P955" i="1" s="1"/>
  <c r="L956" i="1"/>
  <c r="L957" i="1"/>
  <c r="L958" i="1"/>
  <c r="L959" i="1"/>
  <c r="L960" i="1"/>
  <c r="N960" i="1" s="1"/>
  <c r="P960" i="1" s="1"/>
  <c r="L961" i="1"/>
  <c r="L962" i="1"/>
  <c r="L963" i="1"/>
  <c r="N963" i="1" s="1"/>
  <c r="P963" i="1" s="1"/>
  <c r="L964" i="1"/>
  <c r="L965" i="1"/>
  <c r="L966" i="1"/>
  <c r="L967" i="1"/>
  <c r="L968" i="1"/>
  <c r="N968" i="1" s="1"/>
  <c r="P968" i="1" s="1"/>
  <c r="L969" i="1"/>
  <c r="L970" i="1"/>
  <c r="L971" i="1"/>
  <c r="N971" i="1" s="1"/>
  <c r="P971" i="1" s="1"/>
  <c r="L972" i="1"/>
  <c r="L973" i="1"/>
  <c r="L974" i="1"/>
  <c r="L975" i="1"/>
  <c r="L976" i="1"/>
  <c r="N976" i="1" s="1"/>
  <c r="P976" i="1" s="1"/>
  <c r="L977" i="1"/>
  <c r="L978" i="1"/>
  <c r="L979" i="1"/>
  <c r="N979" i="1" s="1"/>
  <c r="P979" i="1" s="1"/>
  <c r="L980" i="1"/>
  <c r="L981" i="1"/>
  <c r="L982" i="1"/>
  <c r="L983" i="1"/>
  <c r="L984" i="1"/>
  <c r="N984" i="1" s="1"/>
  <c r="P984" i="1" s="1"/>
  <c r="L985" i="1"/>
  <c r="L986" i="1"/>
  <c r="L987" i="1"/>
  <c r="N987" i="1" s="1"/>
  <c r="P987" i="1" s="1"/>
  <c r="L988" i="1"/>
  <c r="L989" i="1"/>
  <c r="L990" i="1"/>
  <c r="L991" i="1"/>
  <c r="L992" i="1"/>
  <c r="N992" i="1" s="1"/>
  <c r="P992" i="1" s="1"/>
  <c r="L993" i="1"/>
  <c r="L994" i="1"/>
  <c r="L995" i="1"/>
  <c r="N995" i="1" s="1"/>
  <c r="P995" i="1" s="1"/>
  <c r="L996" i="1"/>
  <c r="L997" i="1"/>
  <c r="L998" i="1"/>
  <c r="L999" i="1"/>
  <c r="L1000" i="1"/>
  <c r="N1000" i="1" s="1"/>
  <c r="P1000" i="1" s="1"/>
  <c r="L1001" i="1"/>
  <c r="L1002" i="1"/>
  <c r="L1003" i="1"/>
  <c r="N1003" i="1" s="1"/>
  <c r="P1003" i="1" s="1"/>
  <c r="L1004" i="1"/>
  <c r="L1005" i="1"/>
  <c r="L1006" i="1"/>
  <c r="L1007" i="1"/>
  <c r="L1008" i="1"/>
  <c r="N1008" i="1" s="1"/>
  <c r="P1008" i="1" s="1"/>
  <c r="L1009" i="1"/>
  <c r="L1010" i="1"/>
  <c r="L1011" i="1"/>
  <c r="N1011" i="1" s="1"/>
  <c r="P1011" i="1" s="1"/>
  <c r="L1012" i="1"/>
  <c r="L1013" i="1"/>
  <c r="L1014" i="1"/>
  <c r="L1015" i="1"/>
  <c r="L1016" i="1"/>
  <c r="N1016" i="1" s="1"/>
  <c r="P1016" i="1" s="1"/>
  <c r="L1017" i="1"/>
  <c r="L1018" i="1"/>
  <c r="L1019" i="1"/>
  <c r="N1019" i="1" s="1"/>
  <c r="P1019" i="1" s="1"/>
  <c r="L1020" i="1"/>
  <c r="L1021" i="1"/>
  <c r="L1022" i="1"/>
  <c r="L1023" i="1"/>
  <c r="L1024" i="1"/>
  <c r="N1024" i="1" s="1"/>
  <c r="P1024" i="1" s="1"/>
  <c r="L1025" i="1"/>
  <c r="L1026" i="1"/>
  <c r="L1027" i="1"/>
  <c r="N1027" i="1" s="1"/>
  <c r="P1027" i="1" s="1"/>
  <c r="L1028" i="1"/>
  <c r="L1029" i="1"/>
  <c r="L1030" i="1"/>
  <c r="L1031" i="1"/>
  <c r="L1032" i="1"/>
  <c r="N1032" i="1" s="1"/>
  <c r="P1032" i="1" s="1"/>
  <c r="L1033" i="1"/>
  <c r="L1034" i="1"/>
  <c r="L1035" i="1"/>
  <c r="N1035" i="1" s="1"/>
  <c r="P1035" i="1" s="1"/>
  <c r="L1036" i="1"/>
  <c r="L1037" i="1"/>
  <c r="L1038" i="1"/>
  <c r="L1039" i="1"/>
  <c r="L1040" i="1"/>
  <c r="N1040" i="1" s="1"/>
  <c r="P1040" i="1" s="1"/>
  <c r="L1041" i="1"/>
  <c r="L1042" i="1"/>
  <c r="L1043" i="1"/>
  <c r="N1043" i="1" s="1"/>
  <c r="P1043" i="1" s="1"/>
  <c r="L1044" i="1"/>
  <c r="L1045" i="1"/>
  <c r="L1046" i="1"/>
  <c r="L1047" i="1"/>
  <c r="L1048" i="1"/>
  <c r="N1048" i="1" s="1"/>
  <c r="P1048" i="1" s="1"/>
  <c r="L1049" i="1"/>
  <c r="L1050" i="1"/>
  <c r="L1051" i="1"/>
  <c r="N1051" i="1" s="1"/>
  <c r="P1051" i="1" s="1"/>
  <c r="L1052" i="1"/>
  <c r="L1053" i="1"/>
  <c r="L1054" i="1"/>
  <c r="L1055" i="1"/>
  <c r="L1056" i="1"/>
  <c r="N1056" i="1" s="1"/>
  <c r="P1056" i="1" s="1"/>
  <c r="L1057" i="1"/>
  <c r="L1058" i="1"/>
  <c r="L1059" i="1"/>
  <c r="N1059" i="1" s="1"/>
  <c r="P1059" i="1" s="1"/>
  <c r="L1060" i="1"/>
  <c r="L1061" i="1"/>
  <c r="L1062" i="1"/>
  <c r="L1063" i="1"/>
  <c r="L1064" i="1"/>
  <c r="N1064" i="1" s="1"/>
  <c r="P1064" i="1" s="1"/>
  <c r="L1065" i="1"/>
  <c r="L1066" i="1"/>
  <c r="L1067" i="1"/>
  <c r="N1067" i="1" s="1"/>
  <c r="P1067" i="1" s="1"/>
  <c r="L1068" i="1"/>
  <c r="L1069" i="1"/>
  <c r="L1070" i="1"/>
  <c r="L1071" i="1"/>
  <c r="L1072" i="1"/>
  <c r="N1072" i="1" s="1"/>
  <c r="P1072" i="1" s="1"/>
  <c r="L1073" i="1"/>
  <c r="L1074" i="1"/>
  <c r="L1075" i="1"/>
  <c r="N1075" i="1" s="1"/>
  <c r="P1075" i="1" s="1"/>
  <c r="L1076" i="1"/>
  <c r="L1077" i="1"/>
  <c r="L1078" i="1"/>
  <c r="L1079" i="1"/>
  <c r="L1080" i="1"/>
  <c r="N1080" i="1" s="1"/>
  <c r="P1080" i="1" s="1"/>
  <c r="L1081" i="1"/>
  <c r="L1082" i="1"/>
  <c r="L1083" i="1"/>
  <c r="N1083" i="1" s="1"/>
  <c r="P1083" i="1" s="1"/>
  <c r="L1084" i="1"/>
  <c r="L1085" i="1"/>
  <c r="L1086" i="1"/>
  <c r="L1087" i="1"/>
  <c r="L1088" i="1"/>
  <c r="N1088" i="1" s="1"/>
  <c r="P1088" i="1" s="1"/>
  <c r="L1089" i="1"/>
  <c r="L1090" i="1"/>
  <c r="L1091" i="1"/>
  <c r="N1091" i="1" s="1"/>
  <c r="P1091" i="1" s="1"/>
  <c r="L1092" i="1"/>
  <c r="L1093" i="1"/>
  <c r="L1094" i="1"/>
  <c r="L1095" i="1"/>
  <c r="L1096" i="1"/>
  <c r="N1096" i="1" s="1"/>
  <c r="P1096" i="1" s="1"/>
  <c r="L1097" i="1"/>
  <c r="L1098" i="1"/>
  <c r="L1099" i="1"/>
  <c r="N1099" i="1" s="1"/>
  <c r="P1099" i="1" s="1"/>
  <c r="L1100" i="1"/>
  <c r="L1101" i="1"/>
  <c r="L1102" i="1"/>
  <c r="L1103" i="1"/>
  <c r="L1104" i="1"/>
  <c r="N1104" i="1" s="1"/>
  <c r="P1104" i="1" s="1"/>
  <c r="L1105" i="1"/>
  <c r="L1106" i="1"/>
  <c r="L1107" i="1"/>
  <c r="N1107" i="1" s="1"/>
  <c r="P1107" i="1" s="1"/>
  <c r="L1108" i="1"/>
  <c r="L1109" i="1"/>
  <c r="L1110" i="1"/>
  <c r="L1111" i="1"/>
  <c r="L1112" i="1"/>
  <c r="N1112" i="1" s="1"/>
  <c r="P1112" i="1" s="1"/>
  <c r="L1113" i="1"/>
  <c r="L1114" i="1"/>
  <c r="L1115" i="1"/>
  <c r="N1115" i="1" s="1"/>
  <c r="P1115" i="1" s="1"/>
  <c r="L1116" i="1"/>
  <c r="L1117" i="1"/>
  <c r="L1118" i="1"/>
  <c r="L1119" i="1"/>
  <c r="L1120" i="1"/>
  <c r="N1120" i="1" s="1"/>
  <c r="P1120" i="1" s="1"/>
  <c r="L1121" i="1"/>
  <c r="L1122" i="1"/>
  <c r="L1123" i="1"/>
  <c r="N1123" i="1" s="1"/>
  <c r="P1123" i="1" s="1"/>
  <c r="L1124" i="1"/>
  <c r="L1125" i="1"/>
  <c r="L1126" i="1"/>
  <c r="L1127" i="1"/>
  <c r="L1128" i="1"/>
  <c r="N1128" i="1" s="1"/>
  <c r="P1128" i="1" s="1"/>
  <c r="L1129" i="1"/>
  <c r="L1130" i="1"/>
  <c r="L1131" i="1"/>
  <c r="N1131" i="1" s="1"/>
  <c r="P1131" i="1" s="1"/>
  <c r="L1132" i="1"/>
  <c r="L1133" i="1"/>
  <c r="L1134" i="1"/>
  <c r="L1135" i="1"/>
  <c r="L1136" i="1"/>
  <c r="N1136" i="1" s="1"/>
  <c r="P1136" i="1" s="1"/>
  <c r="L1137" i="1"/>
  <c r="L1138" i="1"/>
  <c r="L1139" i="1"/>
  <c r="N1139" i="1" s="1"/>
  <c r="P1139" i="1" s="1"/>
  <c r="L1140" i="1"/>
  <c r="L1141" i="1"/>
  <c r="L1142" i="1"/>
  <c r="L1143" i="1"/>
  <c r="L1144" i="1"/>
  <c r="N1144" i="1" s="1"/>
  <c r="P1144" i="1" s="1"/>
  <c r="L1145" i="1"/>
  <c r="L1146" i="1"/>
  <c r="L1147" i="1"/>
  <c r="N1147" i="1" s="1"/>
  <c r="P1147" i="1" s="1"/>
  <c r="L1148" i="1"/>
  <c r="L1149" i="1"/>
  <c r="L1150" i="1"/>
  <c r="L1151" i="1"/>
  <c r="L1152" i="1"/>
  <c r="N1152" i="1" s="1"/>
  <c r="P1152" i="1" s="1"/>
  <c r="L1153" i="1"/>
  <c r="L1154" i="1"/>
  <c r="L1155" i="1"/>
  <c r="N1155" i="1" s="1"/>
  <c r="P1155" i="1" s="1"/>
  <c r="L1156" i="1"/>
  <c r="L1157" i="1"/>
  <c r="L1158" i="1"/>
  <c r="L1159" i="1"/>
  <c r="L1160" i="1"/>
  <c r="N1160" i="1" s="1"/>
  <c r="P1160" i="1" s="1"/>
  <c r="L1161" i="1"/>
  <c r="L1162" i="1"/>
  <c r="L1163" i="1"/>
  <c r="N1163" i="1" s="1"/>
  <c r="P1163" i="1" s="1"/>
  <c r="L1164" i="1"/>
  <c r="L1165" i="1"/>
  <c r="L1166" i="1"/>
  <c r="L1167" i="1"/>
  <c r="L1168" i="1"/>
  <c r="N1168" i="1" s="1"/>
  <c r="P1168" i="1" s="1"/>
  <c r="L1169" i="1"/>
  <c r="L1170" i="1"/>
  <c r="L1171" i="1"/>
  <c r="N1171" i="1" s="1"/>
  <c r="P1171" i="1" s="1"/>
  <c r="L1172" i="1"/>
  <c r="L1173" i="1"/>
  <c r="L1174" i="1"/>
  <c r="L1175" i="1"/>
  <c r="L1176" i="1"/>
  <c r="N1176" i="1" s="1"/>
  <c r="P1176" i="1" s="1"/>
  <c r="L1177" i="1"/>
  <c r="L1178" i="1"/>
  <c r="L1179" i="1"/>
  <c r="N1179" i="1" s="1"/>
  <c r="P1179" i="1" s="1"/>
  <c r="L1180" i="1"/>
  <c r="L1181" i="1"/>
  <c r="L1182" i="1"/>
  <c r="N1182" i="1" s="1"/>
  <c r="P1182" i="1" s="1"/>
  <c r="L1183" i="1"/>
  <c r="L1184" i="1"/>
  <c r="N1184" i="1" s="1"/>
  <c r="P1184" i="1" s="1"/>
  <c r="L1185" i="1"/>
  <c r="L1186" i="1"/>
  <c r="L1187" i="1"/>
  <c r="N1187" i="1" s="1"/>
  <c r="P1187" i="1" s="1"/>
  <c r="L1188" i="1"/>
  <c r="L1189" i="1"/>
  <c r="L1190" i="1"/>
  <c r="L1191" i="1"/>
  <c r="L1192" i="1"/>
  <c r="N1192" i="1" s="1"/>
  <c r="P1192" i="1" s="1"/>
  <c r="L1193" i="1"/>
  <c r="L1194" i="1"/>
  <c r="L1195" i="1"/>
  <c r="N1195" i="1" s="1"/>
  <c r="P1195" i="1" s="1"/>
  <c r="L1196" i="1"/>
  <c r="L1197" i="1"/>
  <c r="L1198" i="1"/>
  <c r="L1199" i="1"/>
  <c r="L1200" i="1"/>
  <c r="N1200" i="1" s="1"/>
  <c r="P1200" i="1" s="1"/>
  <c r="L1201" i="1"/>
  <c r="L1202" i="1"/>
  <c r="L1203" i="1"/>
  <c r="N1203" i="1" s="1"/>
  <c r="P1203" i="1" s="1"/>
  <c r="L1204" i="1"/>
  <c r="L1205" i="1"/>
  <c r="L1206" i="1"/>
  <c r="L1207" i="1"/>
  <c r="L1208" i="1"/>
  <c r="N1208" i="1" s="1"/>
  <c r="P1208" i="1" s="1"/>
  <c r="L1209" i="1"/>
  <c r="L1210" i="1"/>
  <c r="L1211" i="1"/>
  <c r="N1211" i="1" s="1"/>
  <c r="P1211" i="1" s="1"/>
  <c r="L1212" i="1"/>
  <c r="L1213" i="1"/>
  <c r="L1214" i="1"/>
  <c r="L1215" i="1"/>
  <c r="L1216" i="1"/>
  <c r="N1216" i="1" s="1"/>
  <c r="P1216" i="1" s="1"/>
  <c r="L1217" i="1"/>
  <c r="L1218" i="1"/>
  <c r="L1219" i="1"/>
  <c r="N1219" i="1" s="1"/>
  <c r="P1219" i="1" s="1"/>
  <c r="L1220" i="1"/>
  <c r="L1221" i="1"/>
  <c r="L1222" i="1"/>
  <c r="L1223" i="1"/>
  <c r="L1224" i="1"/>
  <c r="N1224" i="1" s="1"/>
  <c r="P1224" i="1" s="1"/>
  <c r="L1225" i="1"/>
  <c r="L1226" i="1"/>
  <c r="L1227" i="1"/>
  <c r="N1227" i="1" s="1"/>
  <c r="P1227" i="1" s="1"/>
  <c r="L1228" i="1"/>
  <c r="L1229" i="1"/>
  <c r="L1230" i="1"/>
  <c r="L1231" i="1"/>
  <c r="L1232" i="1"/>
  <c r="N1232" i="1" s="1"/>
  <c r="P1232" i="1" s="1"/>
  <c r="L1233" i="1"/>
  <c r="L1234" i="1"/>
  <c r="L1235" i="1"/>
  <c r="N1235" i="1" s="1"/>
  <c r="P1235" i="1" s="1"/>
  <c r="L1236" i="1"/>
  <c r="L1237" i="1"/>
  <c r="L1238" i="1"/>
  <c r="L1239" i="1"/>
  <c r="L1240" i="1"/>
  <c r="N1240" i="1" s="1"/>
  <c r="P1240" i="1" s="1"/>
  <c r="L1241" i="1"/>
  <c r="L1242" i="1"/>
  <c r="L1243" i="1"/>
  <c r="N1243" i="1" s="1"/>
  <c r="P1243" i="1" s="1"/>
  <c r="L1244" i="1"/>
  <c r="L1245" i="1"/>
  <c r="L1246" i="1"/>
  <c r="L1247" i="1"/>
  <c r="L1248" i="1"/>
  <c r="N1248" i="1" s="1"/>
  <c r="P1248" i="1" s="1"/>
  <c r="L1249" i="1"/>
  <c r="L1250" i="1"/>
  <c r="L1251" i="1"/>
  <c r="N1251" i="1" s="1"/>
  <c r="P1251" i="1" s="1"/>
  <c r="L1252" i="1"/>
  <c r="L1253" i="1"/>
  <c r="L1254" i="1"/>
  <c r="L1255" i="1"/>
  <c r="L1256" i="1"/>
  <c r="N1256" i="1" s="1"/>
  <c r="P1256" i="1" s="1"/>
  <c r="L1257" i="1"/>
  <c r="L1258" i="1"/>
  <c r="L1259" i="1"/>
  <c r="N1259" i="1" s="1"/>
  <c r="P1259" i="1" s="1"/>
  <c r="L1260" i="1"/>
  <c r="L1261" i="1"/>
  <c r="L1262" i="1"/>
  <c r="L1263" i="1"/>
  <c r="L1264" i="1"/>
  <c r="N1264" i="1" s="1"/>
  <c r="P1264" i="1" s="1"/>
  <c r="L1265" i="1"/>
  <c r="L1266" i="1"/>
  <c r="L1267" i="1"/>
  <c r="N1267" i="1" s="1"/>
  <c r="P1267" i="1" s="1"/>
  <c r="L1268" i="1"/>
  <c r="L1269" i="1"/>
  <c r="L1270" i="1"/>
  <c r="L1271" i="1"/>
  <c r="L1272" i="1"/>
  <c r="N1272" i="1" s="1"/>
  <c r="P1272" i="1" s="1"/>
  <c r="L1273" i="1"/>
  <c r="L1274" i="1"/>
  <c r="L1275" i="1"/>
  <c r="N1275" i="1" s="1"/>
  <c r="P1275" i="1" s="1"/>
  <c r="L1276" i="1"/>
  <c r="L1277" i="1"/>
  <c r="L1278" i="1"/>
  <c r="L1279" i="1"/>
  <c r="L1280" i="1"/>
  <c r="N1280" i="1" s="1"/>
  <c r="P1280" i="1" s="1"/>
  <c r="L1281" i="1"/>
  <c r="L1282" i="1"/>
  <c r="L1283" i="1"/>
  <c r="N1283" i="1" s="1"/>
  <c r="P1283" i="1" s="1"/>
  <c r="L1284" i="1"/>
  <c r="L1285" i="1"/>
  <c r="L1286" i="1"/>
  <c r="L1287" i="1"/>
  <c r="L1288" i="1"/>
  <c r="N1288" i="1" s="1"/>
  <c r="P1288" i="1" s="1"/>
  <c r="L1289" i="1"/>
  <c r="L1290" i="1"/>
  <c r="L1291" i="1"/>
  <c r="N1291" i="1" s="1"/>
  <c r="P1291" i="1" s="1"/>
  <c r="L1292" i="1"/>
  <c r="L1293" i="1"/>
  <c r="L1294" i="1"/>
  <c r="L1295" i="1"/>
  <c r="L1296" i="1"/>
  <c r="N1296" i="1" s="1"/>
  <c r="P1296" i="1" s="1"/>
  <c r="L1297" i="1"/>
  <c r="L1298" i="1"/>
  <c r="L1299" i="1"/>
  <c r="N1299" i="1" s="1"/>
  <c r="P1299" i="1" s="1"/>
  <c r="L1300" i="1"/>
  <c r="L1301" i="1"/>
  <c r="L1302" i="1"/>
  <c r="L1303" i="1"/>
  <c r="L1304" i="1"/>
  <c r="N1304" i="1" s="1"/>
  <c r="P1304" i="1" s="1"/>
  <c r="L1305" i="1"/>
  <c r="L1306" i="1"/>
  <c r="L1307" i="1"/>
  <c r="N1307" i="1" s="1"/>
  <c r="P1307" i="1" s="1"/>
  <c r="L1308" i="1"/>
  <c r="L1309" i="1"/>
  <c r="L1310" i="1"/>
  <c r="L1311" i="1"/>
  <c r="L1312" i="1"/>
  <c r="N1312" i="1" s="1"/>
  <c r="P1312" i="1" s="1"/>
  <c r="L1313" i="1"/>
  <c r="L1314" i="1"/>
  <c r="L1315" i="1"/>
  <c r="N1315" i="1" s="1"/>
  <c r="P1315" i="1" s="1"/>
  <c r="L1316" i="1"/>
  <c r="L1317" i="1"/>
  <c r="L1318" i="1"/>
  <c r="L1319" i="1"/>
  <c r="L1320" i="1"/>
  <c r="N1320" i="1" s="1"/>
  <c r="P1320" i="1" s="1"/>
  <c r="L1321" i="1"/>
  <c r="L1322" i="1"/>
  <c r="L1323" i="1"/>
  <c r="N1323" i="1" s="1"/>
  <c r="P1323" i="1" s="1"/>
  <c r="L1324" i="1"/>
  <c r="L1325" i="1"/>
  <c r="L1326" i="1"/>
  <c r="L1327" i="1"/>
  <c r="L1328" i="1"/>
  <c r="N1328" i="1" s="1"/>
  <c r="P1328" i="1" s="1"/>
  <c r="L1329" i="1"/>
  <c r="L1330" i="1"/>
  <c r="L1331" i="1"/>
  <c r="N1331" i="1" s="1"/>
  <c r="P1331" i="1" s="1"/>
  <c r="L1332" i="1"/>
  <c r="L1333" i="1"/>
  <c r="L1334" i="1"/>
  <c r="L1335" i="1"/>
  <c r="L1336" i="1"/>
  <c r="N1336" i="1" s="1"/>
  <c r="P1336" i="1" s="1"/>
  <c r="L1337" i="1"/>
  <c r="L1338" i="1"/>
  <c r="L1339" i="1"/>
  <c r="N1339" i="1" s="1"/>
  <c r="P1339" i="1" s="1"/>
  <c r="L1340" i="1"/>
  <c r="L1341" i="1"/>
  <c r="L1342" i="1"/>
  <c r="L1343" i="1"/>
  <c r="L1344" i="1"/>
  <c r="N1344" i="1" s="1"/>
  <c r="P1344" i="1" s="1"/>
  <c r="L1345" i="1"/>
  <c r="L1346" i="1"/>
  <c r="L1347" i="1"/>
  <c r="N1347" i="1" s="1"/>
  <c r="P1347" i="1" s="1"/>
  <c r="L1348" i="1"/>
  <c r="L1349" i="1"/>
  <c r="L1350" i="1"/>
  <c r="L1351" i="1"/>
  <c r="L1352" i="1"/>
  <c r="N1352" i="1" s="1"/>
  <c r="P1352" i="1" s="1"/>
  <c r="L1353" i="1"/>
  <c r="L1354" i="1"/>
  <c r="L1355" i="1"/>
  <c r="N1355" i="1" s="1"/>
  <c r="P1355" i="1" s="1"/>
  <c r="L1356" i="1"/>
  <c r="L1357" i="1"/>
  <c r="L1358" i="1"/>
  <c r="L1359" i="1"/>
  <c r="L1360" i="1"/>
  <c r="N1360" i="1" s="1"/>
  <c r="P1360" i="1" s="1"/>
  <c r="L1361" i="1"/>
  <c r="L1362" i="1"/>
  <c r="L1363" i="1"/>
  <c r="N1363" i="1" s="1"/>
  <c r="P1363" i="1" s="1"/>
  <c r="L1364" i="1"/>
  <c r="L1365" i="1"/>
  <c r="L1366" i="1"/>
  <c r="L1367" i="1"/>
  <c r="L1368" i="1"/>
  <c r="N1368" i="1" s="1"/>
  <c r="P1368" i="1" s="1"/>
  <c r="L1369" i="1"/>
  <c r="L1370" i="1"/>
  <c r="L1371" i="1"/>
  <c r="N1371" i="1" s="1"/>
  <c r="P1371" i="1" s="1"/>
  <c r="L1372" i="1"/>
  <c r="L1373" i="1"/>
  <c r="L1374" i="1"/>
  <c r="L1375" i="1"/>
  <c r="L1376" i="1"/>
  <c r="N1376" i="1" s="1"/>
  <c r="P1376" i="1" s="1"/>
  <c r="L1377" i="1"/>
  <c r="L1378" i="1"/>
  <c r="L57" i="1"/>
  <c r="L58" i="1"/>
  <c r="L59" i="1"/>
  <c r="N59" i="1" s="1"/>
  <c r="P59" i="1" s="1"/>
  <c r="L60" i="1"/>
  <c r="N60" i="1" s="1"/>
  <c r="P60" i="1" s="1"/>
  <c r="L61" i="1"/>
  <c r="L62" i="1"/>
  <c r="L63" i="1"/>
  <c r="N63" i="1" s="1"/>
  <c r="P63" i="1" s="1"/>
  <c r="L64" i="1"/>
  <c r="N64" i="1" s="1"/>
  <c r="P64" i="1" s="1"/>
  <c r="L65" i="1"/>
  <c r="L66" i="1"/>
  <c r="L67" i="1"/>
  <c r="N67" i="1" s="1"/>
  <c r="P67" i="1" s="1"/>
  <c r="L68" i="1"/>
  <c r="N68" i="1" s="1"/>
  <c r="P68" i="1" s="1"/>
  <c r="L69" i="1"/>
  <c r="L70" i="1"/>
  <c r="L71" i="1"/>
  <c r="N71" i="1" s="1"/>
  <c r="P71" i="1" s="1"/>
  <c r="L72" i="1"/>
  <c r="N72" i="1" s="1"/>
  <c r="P72" i="1" s="1"/>
  <c r="L73" i="1"/>
  <c r="L74" i="1"/>
  <c r="L75" i="1"/>
  <c r="N75" i="1" s="1"/>
  <c r="P75" i="1" s="1"/>
  <c r="L76" i="1"/>
  <c r="N76" i="1" s="1"/>
  <c r="P76" i="1" s="1"/>
  <c r="L77" i="1"/>
  <c r="L78" i="1"/>
  <c r="L79" i="1"/>
  <c r="N79" i="1" s="1"/>
  <c r="P79" i="1" s="1"/>
  <c r="L80" i="1"/>
  <c r="N80" i="1" s="1"/>
  <c r="P80" i="1" s="1"/>
  <c r="L81" i="1"/>
  <c r="L82" i="1"/>
  <c r="L20" i="1"/>
  <c r="N20" i="1" s="1"/>
  <c r="P20" i="1" s="1"/>
  <c r="L21" i="1"/>
  <c r="N21" i="1" s="1"/>
  <c r="P21" i="1" s="1"/>
  <c r="L22" i="1"/>
  <c r="N22" i="1" s="1"/>
  <c r="P22" i="1" s="1"/>
  <c r="L23" i="1"/>
  <c r="N23" i="1" s="1"/>
  <c r="P23" i="1" s="1"/>
  <c r="L24" i="1"/>
  <c r="N24" i="1" s="1"/>
  <c r="P24" i="1" s="1"/>
  <c r="L25" i="1"/>
  <c r="N25" i="1" s="1"/>
  <c r="P25" i="1" s="1"/>
  <c r="L26" i="1"/>
  <c r="N26" i="1" s="1"/>
  <c r="P26" i="1" s="1"/>
  <c r="L27" i="1"/>
  <c r="N27" i="1" s="1"/>
  <c r="P27" i="1" s="1"/>
  <c r="L28" i="1"/>
  <c r="N28" i="1" s="1"/>
  <c r="P28" i="1" s="1"/>
  <c r="L29" i="1"/>
  <c r="N29" i="1" s="1"/>
  <c r="P29" i="1" s="1"/>
  <c r="L30" i="1"/>
  <c r="N30" i="1" s="1"/>
  <c r="P30" i="1" s="1"/>
  <c r="L31" i="1"/>
  <c r="N31" i="1" s="1"/>
  <c r="P31" i="1" s="1"/>
  <c r="L32" i="1"/>
  <c r="N32" i="1" s="1"/>
  <c r="P32" i="1" s="1"/>
  <c r="L33" i="1"/>
  <c r="N33" i="1" s="1"/>
  <c r="P33" i="1" s="1"/>
  <c r="L34" i="1"/>
  <c r="N34" i="1" s="1"/>
  <c r="P34" i="1" s="1"/>
  <c r="L35" i="1"/>
  <c r="N35" i="1" s="1"/>
  <c r="P35" i="1" s="1"/>
  <c r="L36" i="1"/>
  <c r="N36" i="1" s="1"/>
  <c r="P36" i="1" s="1"/>
  <c r="L37" i="1"/>
  <c r="N37" i="1" s="1"/>
  <c r="P37" i="1" s="1"/>
  <c r="L38" i="1"/>
  <c r="N38" i="1" s="1"/>
  <c r="P38" i="1" s="1"/>
  <c r="L39" i="1"/>
  <c r="N39" i="1" s="1"/>
  <c r="P39" i="1" s="1"/>
  <c r="L40" i="1"/>
  <c r="N40" i="1" s="1"/>
  <c r="P40" i="1" s="1"/>
  <c r="L41" i="1"/>
  <c r="N41" i="1" s="1"/>
  <c r="P41" i="1" s="1"/>
  <c r="L42" i="1"/>
  <c r="N42" i="1" s="1"/>
  <c r="P42" i="1" s="1"/>
  <c r="L43" i="1"/>
  <c r="N43" i="1" s="1"/>
  <c r="P43" i="1" s="1"/>
  <c r="L44" i="1"/>
  <c r="N44" i="1" s="1"/>
  <c r="P44" i="1" s="1"/>
  <c r="L45" i="1"/>
  <c r="N45" i="1" s="1"/>
  <c r="P45" i="1" s="1"/>
  <c r="L46" i="1"/>
  <c r="N46" i="1" s="1"/>
  <c r="P46" i="1" s="1"/>
  <c r="L47" i="1"/>
  <c r="N47" i="1" s="1"/>
  <c r="P47" i="1" s="1"/>
  <c r="L48" i="1"/>
  <c r="N48" i="1" s="1"/>
  <c r="P48" i="1" s="1"/>
  <c r="L49" i="1"/>
  <c r="N49" i="1" s="1"/>
  <c r="P49" i="1" s="1"/>
  <c r="L50" i="1"/>
  <c r="N50" i="1" s="1"/>
  <c r="P50" i="1" s="1"/>
  <c r="L51" i="1"/>
  <c r="N51" i="1" s="1"/>
  <c r="P51" i="1" s="1"/>
  <c r="L52" i="1"/>
  <c r="N52" i="1" s="1"/>
  <c r="P52" i="1" s="1"/>
  <c r="L53" i="1"/>
  <c r="N53" i="1" s="1"/>
  <c r="P53" i="1" s="1"/>
  <c r="L54" i="1"/>
  <c r="N54" i="1" s="1"/>
  <c r="P54" i="1" s="1"/>
  <c r="L55" i="1"/>
  <c r="N55" i="1" s="1"/>
  <c r="P55" i="1" s="1"/>
  <c r="L56" i="1"/>
  <c r="N56" i="1" s="1"/>
  <c r="P56" i="1" s="1"/>
  <c r="L4" i="1"/>
  <c r="N4" i="1" s="1"/>
  <c r="P4" i="1" s="1"/>
  <c r="L5" i="1"/>
  <c r="N5" i="1" s="1"/>
  <c r="P5" i="1" s="1"/>
  <c r="L6" i="1"/>
  <c r="N6" i="1" s="1"/>
  <c r="P6" i="1" s="1"/>
  <c r="L7" i="1"/>
  <c r="N7" i="1" s="1"/>
  <c r="P7" i="1" s="1"/>
  <c r="L8" i="1"/>
  <c r="N8" i="1" s="1"/>
  <c r="P8" i="1" s="1"/>
  <c r="L9" i="1"/>
  <c r="N9" i="1" s="1"/>
  <c r="P9" i="1" s="1"/>
  <c r="L10" i="1"/>
  <c r="N10" i="1" s="1"/>
  <c r="P10" i="1" s="1"/>
  <c r="L11" i="1"/>
  <c r="N11" i="1" s="1"/>
  <c r="P11" i="1" s="1"/>
  <c r="L12" i="1"/>
  <c r="N12" i="1" s="1"/>
  <c r="P12" i="1" s="1"/>
  <c r="L13" i="1"/>
  <c r="N13" i="1" s="1"/>
  <c r="P13" i="1" s="1"/>
  <c r="L14" i="1"/>
  <c r="L15" i="1"/>
  <c r="N15" i="1" s="1"/>
  <c r="P15" i="1" s="1"/>
  <c r="L16" i="1"/>
  <c r="N16" i="1" s="1"/>
  <c r="P16" i="1" s="1"/>
  <c r="L17" i="1"/>
  <c r="L18" i="1"/>
  <c r="N18" i="1" s="1"/>
  <c r="P18" i="1" s="1"/>
  <c r="L19" i="1"/>
  <c r="N19" i="1" s="1"/>
  <c r="P19" i="1" s="1"/>
  <c r="L3" i="1"/>
  <c r="N3" i="1" s="1"/>
  <c r="P3" i="1" s="1"/>
  <c r="N1375" i="1" l="1"/>
  <c r="P1375" i="1" s="1"/>
  <c r="N1367" i="1"/>
  <c r="P1367" i="1" s="1"/>
  <c r="N1359" i="1"/>
  <c r="P1359" i="1" s="1"/>
  <c r="N1351" i="1"/>
  <c r="P1351" i="1" s="1"/>
  <c r="N1343" i="1"/>
  <c r="P1343" i="1" s="1"/>
  <c r="N1335" i="1"/>
  <c r="P1335" i="1" s="1"/>
  <c r="N1327" i="1"/>
  <c r="P1327" i="1" s="1"/>
  <c r="N1319" i="1"/>
  <c r="P1319" i="1" s="1"/>
  <c r="N1311" i="1"/>
  <c r="P1311" i="1" s="1"/>
  <c r="N1303" i="1"/>
  <c r="P1303" i="1" s="1"/>
  <c r="N1295" i="1"/>
  <c r="P1295" i="1" s="1"/>
  <c r="N1287" i="1"/>
  <c r="P1287" i="1" s="1"/>
  <c r="N1279" i="1"/>
  <c r="P1279" i="1" s="1"/>
  <c r="N1271" i="1"/>
  <c r="P1271" i="1" s="1"/>
  <c r="N1263" i="1"/>
  <c r="P1263" i="1" s="1"/>
  <c r="N1255" i="1"/>
  <c r="P1255" i="1" s="1"/>
  <c r="N1247" i="1"/>
  <c r="P1247" i="1" s="1"/>
  <c r="N1239" i="1"/>
  <c r="P1239" i="1" s="1"/>
  <c r="N1231" i="1"/>
  <c r="P1231" i="1" s="1"/>
  <c r="N1223" i="1"/>
  <c r="P1223" i="1" s="1"/>
  <c r="N1215" i="1"/>
  <c r="P1215" i="1" s="1"/>
  <c r="N1207" i="1"/>
  <c r="P1207" i="1" s="1"/>
  <c r="N1199" i="1"/>
  <c r="P1199" i="1" s="1"/>
  <c r="N1191" i="1"/>
  <c r="P1191" i="1" s="1"/>
  <c r="N1183" i="1"/>
  <c r="P1183" i="1" s="1"/>
  <c r="N1175" i="1"/>
  <c r="P1175" i="1" s="1"/>
  <c r="N1167" i="1"/>
  <c r="P1167" i="1" s="1"/>
  <c r="N1159" i="1"/>
  <c r="P1159" i="1" s="1"/>
  <c r="N1151" i="1"/>
  <c r="P1151" i="1" s="1"/>
  <c r="N1143" i="1"/>
  <c r="P1143" i="1" s="1"/>
  <c r="N1135" i="1"/>
  <c r="P1135" i="1" s="1"/>
  <c r="N1127" i="1"/>
  <c r="P1127" i="1" s="1"/>
  <c r="N1119" i="1"/>
  <c r="P1119" i="1" s="1"/>
  <c r="N1111" i="1"/>
  <c r="P1111" i="1" s="1"/>
  <c r="N1103" i="1"/>
  <c r="P1103" i="1" s="1"/>
  <c r="N1095" i="1"/>
  <c r="P1095" i="1" s="1"/>
  <c r="N1087" i="1"/>
  <c r="P1087" i="1" s="1"/>
  <c r="N1079" i="1"/>
  <c r="P1079" i="1" s="1"/>
  <c r="N1071" i="1"/>
  <c r="P1071" i="1" s="1"/>
  <c r="N1063" i="1"/>
  <c r="P1063" i="1" s="1"/>
  <c r="N1055" i="1"/>
  <c r="P1055" i="1" s="1"/>
  <c r="N1047" i="1"/>
  <c r="P1047" i="1" s="1"/>
  <c r="N1039" i="1"/>
  <c r="P1039" i="1" s="1"/>
  <c r="N1031" i="1"/>
  <c r="P1031" i="1" s="1"/>
  <c r="N1023" i="1"/>
  <c r="P1023" i="1" s="1"/>
  <c r="N1015" i="1"/>
  <c r="P1015" i="1" s="1"/>
  <c r="N1007" i="1"/>
  <c r="P1007" i="1" s="1"/>
  <c r="N999" i="1"/>
  <c r="P999" i="1" s="1"/>
  <c r="N991" i="1"/>
  <c r="P991" i="1" s="1"/>
  <c r="N983" i="1"/>
  <c r="P983" i="1" s="1"/>
  <c r="N975" i="1"/>
  <c r="P975" i="1" s="1"/>
  <c r="N967" i="1"/>
  <c r="P967" i="1" s="1"/>
  <c r="N959" i="1"/>
  <c r="P959" i="1" s="1"/>
  <c r="N951" i="1"/>
  <c r="P951" i="1" s="1"/>
  <c r="N943" i="1"/>
  <c r="P943" i="1" s="1"/>
  <c r="N935" i="1"/>
  <c r="P935" i="1" s="1"/>
  <c r="N927" i="1"/>
  <c r="P927" i="1" s="1"/>
  <c r="N919" i="1"/>
  <c r="P919" i="1" s="1"/>
  <c r="N911" i="1"/>
  <c r="P911" i="1" s="1"/>
  <c r="N903" i="1"/>
  <c r="P903" i="1" s="1"/>
  <c r="N895" i="1"/>
  <c r="P895" i="1" s="1"/>
  <c r="N887" i="1"/>
  <c r="P887" i="1" s="1"/>
  <c r="N879" i="1"/>
  <c r="P879" i="1" s="1"/>
  <c r="N871" i="1"/>
  <c r="P871" i="1" s="1"/>
  <c r="N863" i="1"/>
  <c r="P863" i="1" s="1"/>
  <c r="N855" i="1"/>
  <c r="P855" i="1" s="1"/>
  <c r="N847" i="1"/>
  <c r="P847" i="1" s="1"/>
  <c r="N839" i="1"/>
  <c r="P839" i="1" s="1"/>
  <c r="N831" i="1"/>
  <c r="P831" i="1" s="1"/>
  <c r="N823" i="1"/>
  <c r="P823" i="1" s="1"/>
  <c r="N815" i="1"/>
  <c r="P815" i="1" s="1"/>
  <c r="N807" i="1"/>
  <c r="P807" i="1" s="1"/>
  <c r="N799" i="1"/>
  <c r="P799" i="1" s="1"/>
  <c r="N791" i="1"/>
  <c r="P791" i="1" s="1"/>
  <c r="N783" i="1"/>
  <c r="P783" i="1" s="1"/>
  <c r="N775" i="1"/>
  <c r="P775" i="1" s="1"/>
  <c r="N767" i="1"/>
  <c r="P767" i="1" s="1"/>
  <c r="N759" i="1"/>
  <c r="P759" i="1" s="1"/>
  <c r="N1384" i="1"/>
  <c r="P1384" i="1" s="1"/>
  <c r="N82" i="1"/>
  <c r="P82" i="1" s="1"/>
  <c r="N74" i="1"/>
  <c r="P74" i="1" s="1"/>
  <c r="N66" i="1"/>
  <c r="P66" i="1" s="1"/>
  <c r="N58" i="1"/>
  <c r="P58" i="1" s="1"/>
  <c r="N751" i="1"/>
  <c r="P751" i="1" s="1"/>
  <c r="N743" i="1"/>
  <c r="P743" i="1" s="1"/>
  <c r="N735" i="1"/>
  <c r="P735" i="1" s="1"/>
  <c r="N727" i="1"/>
  <c r="P727" i="1" s="1"/>
  <c r="N719" i="1"/>
  <c r="P719" i="1" s="1"/>
  <c r="N711" i="1"/>
  <c r="P711" i="1" s="1"/>
  <c r="N703" i="1"/>
  <c r="P703" i="1" s="1"/>
  <c r="N695" i="1"/>
  <c r="P695" i="1" s="1"/>
  <c r="N687" i="1"/>
  <c r="P687" i="1" s="1"/>
  <c r="N679" i="1"/>
  <c r="P679" i="1" s="1"/>
  <c r="N671" i="1"/>
  <c r="P671" i="1" s="1"/>
  <c r="N663" i="1"/>
  <c r="P663" i="1" s="1"/>
  <c r="N655" i="1"/>
  <c r="P655" i="1" s="1"/>
  <c r="N647" i="1"/>
  <c r="P647" i="1" s="1"/>
  <c r="N639" i="1"/>
  <c r="P639" i="1" s="1"/>
  <c r="N631" i="1"/>
  <c r="P631" i="1" s="1"/>
  <c r="N623" i="1"/>
  <c r="P623" i="1" s="1"/>
  <c r="N615" i="1"/>
  <c r="P615" i="1" s="1"/>
  <c r="N607" i="1"/>
  <c r="P607" i="1" s="1"/>
  <c r="N599" i="1"/>
  <c r="P599" i="1" s="1"/>
  <c r="N591" i="1"/>
  <c r="P591" i="1" s="1"/>
  <c r="N583" i="1"/>
  <c r="P583" i="1" s="1"/>
  <c r="N575" i="1"/>
  <c r="P575" i="1" s="1"/>
  <c r="N567" i="1"/>
  <c r="P567" i="1" s="1"/>
  <c r="N559" i="1"/>
  <c r="P559" i="1" s="1"/>
  <c r="N551" i="1"/>
  <c r="P551" i="1" s="1"/>
  <c r="N543" i="1"/>
  <c r="P543" i="1" s="1"/>
  <c r="N535" i="1"/>
  <c r="P535" i="1" s="1"/>
  <c r="N527" i="1"/>
  <c r="P527" i="1" s="1"/>
  <c r="N519" i="1"/>
  <c r="P519" i="1" s="1"/>
  <c r="N511" i="1"/>
  <c r="P511" i="1" s="1"/>
  <c r="N503" i="1"/>
  <c r="P503" i="1" s="1"/>
  <c r="N495" i="1"/>
  <c r="P495" i="1" s="1"/>
  <c r="N487" i="1"/>
  <c r="P487" i="1" s="1"/>
  <c r="N479" i="1"/>
  <c r="P479" i="1" s="1"/>
  <c r="N471" i="1"/>
  <c r="P471" i="1" s="1"/>
  <c r="N463" i="1"/>
  <c r="P463" i="1" s="1"/>
  <c r="N455" i="1"/>
  <c r="P455" i="1" s="1"/>
  <c r="N447" i="1"/>
  <c r="P447" i="1" s="1"/>
  <c r="N439" i="1"/>
  <c r="P439" i="1" s="1"/>
  <c r="N431" i="1"/>
  <c r="P431" i="1" s="1"/>
  <c r="N423" i="1"/>
  <c r="P423" i="1" s="1"/>
  <c r="N415" i="1"/>
  <c r="P415" i="1" s="1"/>
  <c r="N407" i="1"/>
  <c r="P407" i="1" s="1"/>
  <c r="N399" i="1"/>
  <c r="P399" i="1" s="1"/>
  <c r="N391" i="1"/>
  <c r="P391" i="1" s="1"/>
  <c r="N383" i="1"/>
  <c r="P383" i="1" s="1"/>
  <c r="N375" i="1"/>
  <c r="P375" i="1" s="1"/>
  <c r="N367" i="1"/>
  <c r="P367" i="1" s="1"/>
  <c r="N359" i="1"/>
  <c r="P359" i="1" s="1"/>
  <c r="N351" i="1"/>
  <c r="P351" i="1" s="1"/>
  <c r="N343" i="1"/>
  <c r="P343" i="1" s="1"/>
  <c r="N335" i="1"/>
  <c r="P335" i="1" s="1"/>
  <c r="N327" i="1"/>
  <c r="P327" i="1" s="1"/>
  <c r="N319" i="1"/>
  <c r="P319" i="1" s="1"/>
  <c r="N311" i="1"/>
  <c r="P311" i="1" s="1"/>
  <c r="N303" i="1"/>
  <c r="P303" i="1" s="1"/>
  <c r="N295" i="1"/>
  <c r="P295" i="1" s="1"/>
  <c r="N287" i="1"/>
  <c r="P287" i="1" s="1"/>
  <c r="N279" i="1"/>
  <c r="P279" i="1" s="1"/>
  <c r="N271" i="1"/>
  <c r="P271" i="1" s="1"/>
  <c r="N263" i="1"/>
  <c r="P263" i="1" s="1"/>
  <c r="N255" i="1"/>
  <c r="P255" i="1" s="1"/>
  <c r="N247" i="1"/>
  <c r="P247" i="1" s="1"/>
  <c r="N239" i="1"/>
  <c r="P239" i="1" s="1"/>
  <c r="N231" i="1"/>
  <c r="P231" i="1" s="1"/>
  <c r="N223" i="1"/>
  <c r="P223" i="1" s="1"/>
  <c r="N215" i="1"/>
  <c r="P215" i="1" s="1"/>
  <c r="N207" i="1"/>
  <c r="P207" i="1" s="1"/>
  <c r="N199" i="1"/>
  <c r="P199" i="1" s="1"/>
  <c r="N191" i="1"/>
  <c r="P191" i="1" s="1"/>
  <c r="N183" i="1"/>
  <c r="P183" i="1" s="1"/>
  <c r="N175" i="1"/>
  <c r="P175" i="1" s="1"/>
  <c r="N167" i="1"/>
  <c r="P167" i="1" s="1"/>
  <c r="N159" i="1"/>
  <c r="P159" i="1" s="1"/>
  <c r="N151" i="1"/>
  <c r="P151" i="1" s="1"/>
  <c r="N143" i="1"/>
  <c r="P143" i="1" s="1"/>
  <c r="N135" i="1"/>
  <c r="P135" i="1" s="1"/>
  <c r="N127" i="1"/>
  <c r="P127" i="1" s="1"/>
  <c r="N119" i="1"/>
  <c r="P119" i="1" s="1"/>
  <c r="N111" i="1"/>
  <c r="P111" i="1" s="1"/>
  <c r="N103" i="1"/>
  <c r="P103" i="1" s="1"/>
  <c r="N95" i="1"/>
  <c r="P95" i="1" s="1"/>
  <c r="N87" i="1"/>
  <c r="P87" i="1" s="1"/>
  <c r="N1386" i="1"/>
  <c r="P1386" i="1" s="1"/>
  <c r="N1372" i="1"/>
  <c r="P1372" i="1" s="1"/>
  <c r="N1364" i="1"/>
  <c r="P1364" i="1" s="1"/>
  <c r="N1356" i="1"/>
  <c r="P1356" i="1" s="1"/>
  <c r="N1348" i="1"/>
  <c r="P1348" i="1" s="1"/>
  <c r="N1340" i="1"/>
  <c r="P1340" i="1" s="1"/>
  <c r="N1332" i="1"/>
  <c r="P1332" i="1" s="1"/>
  <c r="N1324" i="1"/>
  <c r="P1324" i="1" s="1"/>
  <c r="N1316" i="1"/>
  <c r="P1316" i="1" s="1"/>
  <c r="N1308" i="1"/>
  <c r="P1308" i="1" s="1"/>
  <c r="N1300" i="1"/>
  <c r="P1300" i="1" s="1"/>
  <c r="N1292" i="1"/>
  <c r="P1292" i="1" s="1"/>
  <c r="N1284" i="1"/>
  <c r="P1284" i="1" s="1"/>
  <c r="N1276" i="1"/>
  <c r="P1276" i="1" s="1"/>
  <c r="N1268" i="1"/>
  <c r="P1268" i="1" s="1"/>
  <c r="N1260" i="1"/>
  <c r="P1260" i="1" s="1"/>
  <c r="N1252" i="1"/>
  <c r="P1252" i="1" s="1"/>
  <c r="N1244" i="1"/>
  <c r="P1244" i="1" s="1"/>
  <c r="N1236" i="1"/>
  <c r="P1236" i="1" s="1"/>
  <c r="N1228" i="1"/>
  <c r="P1228" i="1" s="1"/>
  <c r="N1220" i="1"/>
  <c r="P1220" i="1" s="1"/>
  <c r="N1212" i="1"/>
  <c r="P1212" i="1" s="1"/>
  <c r="N1204" i="1"/>
  <c r="P1204" i="1" s="1"/>
  <c r="N1196" i="1"/>
  <c r="P1196" i="1" s="1"/>
  <c r="N1188" i="1"/>
  <c r="P1188" i="1" s="1"/>
  <c r="N1180" i="1"/>
  <c r="P1180" i="1" s="1"/>
  <c r="N1172" i="1"/>
  <c r="P1172" i="1" s="1"/>
  <c r="N1164" i="1"/>
  <c r="P1164" i="1" s="1"/>
  <c r="N1156" i="1"/>
  <c r="P1156" i="1" s="1"/>
  <c r="N1148" i="1"/>
  <c r="P1148" i="1" s="1"/>
  <c r="N1140" i="1"/>
  <c r="P1140" i="1" s="1"/>
  <c r="N1132" i="1"/>
  <c r="P1132" i="1" s="1"/>
  <c r="N1124" i="1"/>
  <c r="P1124" i="1" s="1"/>
  <c r="N1116" i="1"/>
  <c r="P1116" i="1" s="1"/>
  <c r="N1108" i="1"/>
  <c r="P1108" i="1" s="1"/>
  <c r="N1100" i="1"/>
  <c r="P1100" i="1" s="1"/>
  <c r="N1092" i="1"/>
  <c r="P1092" i="1" s="1"/>
  <c r="N1084" i="1"/>
  <c r="P1084" i="1" s="1"/>
  <c r="N1076" i="1"/>
  <c r="P1076" i="1" s="1"/>
  <c r="N1068" i="1"/>
  <c r="P1068" i="1" s="1"/>
  <c r="N1060" i="1"/>
  <c r="P1060" i="1" s="1"/>
  <c r="N1052" i="1"/>
  <c r="P1052" i="1" s="1"/>
  <c r="N1044" i="1"/>
  <c r="P1044" i="1" s="1"/>
  <c r="N1036" i="1"/>
  <c r="P1036" i="1" s="1"/>
  <c r="N1028" i="1"/>
  <c r="P1028" i="1" s="1"/>
  <c r="N1020" i="1"/>
  <c r="P1020" i="1" s="1"/>
  <c r="N1012" i="1"/>
  <c r="P1012" i="1" s="1"/>
  <c r="N1004" i="1"/>
  <c r="P1004" i="1" s="1"/>
  <c r="N996" i="1"/>
  <c r="P996" i="1" s="1"/>
  <c r="N988" i="1"/>
  <c r="P988" i="1" s="1"/>
  <c r="N980" i="1"/>
  <c r="P980" i="1" s="1"/>
  <c r="N972" i="1"/>
  <c r="P972" i="1" s="1"/>
  <c r="N964" i="1"/>
  <c r="P964" i="1" s="1"/>
  <c r="N956" i="1"/>
  <c r="P956" i="1" s="1"/>
  <c r="N948" i="1"/>
  <c r="P948" i="1" s="1"/>
  <c r="N940" i="1"/>
  <c r="P940" i="1" s="1"/>
  <c r="N932" i="1"/>
  <c r="P932" i="1" s="1"/>
  <c r="N924" i="1"/>
  <c r="P924" i="1" s="1"/>
  <c r="N916" i="1"/>
  <c r="P916" i="1" s="1"/>
  <c r="N908" i="1"/>
  <c r="P908" i="1" s="1"/>
  <c r="N900" i="1"/>
  <c r="P900" i="1" s="1"/>
  <c r="N892" i="1"/>
  <c r="P892" i="1" s="1"/>
  <c r="N884" i="1"/>
  <c r="P884" i="1" s="1"/>
  <c r="N876" i="1"/>
  <c r="P876" i="1" s="1"/>
  <c r="N868" i="1"/>
  <c r="P868" i="1" s="1"/>
  <c r="N860" i="1"/>
  <c r="P860" i="1" s="1"/>
  <c r="N852" i="1"/>
  <c r="P852" i="1" s="1"/>
  <c r="N844" i="1"/>
  <c r="P844" i="1" s="1"/>
  <c r="N836" i="1"/>
  <c r="P836" i="1" s="1"/>
  <c r="N828" i="1"/>
  <c r="P828" i="1" s="1"/>
  <c r="N820" i="1"/>
  <c r="P820" i="1" s="1"/>
  <c r="N812" i="1"/>
  <c r="P812" i="1" s="1"/>
  <c r="N804" i="1"/>
  <c r="P804" i="1" s="1"/>
  <c r="N796" i="1"/>
  <c r="P796" i="1" s="1"/>
  <c r="N788" i="1"/>
  <c r="P788" i="1" s="1"/>
  <c r="N780" i="1"/>
  <c r="P780" i="1" s="1"/>
  <c r="N772" i="1"/>
  <c r="P772" i="1" s="1"/>
  <c r="N764" i="1"/>
  <c r="P764" i="1" s="1"/>
  <c r="N756" i="1"/>
  <c r="P756" i="1" s="1"/>
  <c r="N748" i="1"/>
  <c r="P748" i="1" s="1"/>
  <c r="N740" i="1"/>
  <c r="P740" i="1" s="1"/>
  <c r="N732" i="1"/>
  <c r="P732" i="1" s="1"/>
  <c r="N724" i="1"/>
  <c r="P724" i="1" s="1"/>
  <c r="N716" i="1"/>
  <c r="P716" i="1" s="1"/>
  <c r="N708" i="1"/>
  <c r="P708" i="1" s="1"/>
  <c r="N700" i="1"/>
  <c r="P700" i="1" s="1"/>
  <c r="N692" i="1"/>
  <c r="P692" i="1" s="1"/>
  <c r="N684" i="1"/>
  <c r="P684" i="1" s="1"/>
  <c r="N676" i="1"/>
  <c r="P676" i="1" s="1"/>
  <c r="N668" i="1"/>
  <c r="P668" i="1" s="1"/>
  <c r="N660" i="1"/>
  <c r="P660" i="1" s="1"/>
  <c r="N652" i="1"/>
  <c r="P652" i="1" s="1"/>
  <c r="N644" i="1"/>
  <c r="P644" i="1" s="1"/>
  <c r="N636" i="1"/>
  <c r="P636" i="1" s="1"/>
  <c r="N628" i="1"/>
  <c r="P628" i="1" s="1"/>
  <c r="N620" i="1"/>
  <c r="P620" i="1" s="1"/>
  <c r="N612" i="1"/>
  <c r="P612" i="1" s="1"/>
  <c r="N604" i="1"/>
  <c r="P604" i="1" s="1"/>
  <c r="N596" i="1"/>
  <c r="P596" i="1" s="1"/>
  <c r="N588" i="1"/>
  <c r="P588" i="1" s="1"/>
  <c r="N580" i="1"/>
  <c r="P580" i="1" s="1"/>
  <c r="N572" i="1"/>
  <c r="P572" i="1" s="1"/>
  <c r="N564" i="1"/>
  <c r="P564" i="1" s="1"/>
  <c r="N556" i="1"/>
  <c r="P556" i="1" s="1"/>
  <c r="N548" i="1"/>
  <c r="P548" i="1" s="1"/>
  <c r="N540" i="1"/>
  <c r="P540" i="1" s="1"/>
  <c r="N532" i="1"/>
  <c r="P532" i="1" s="1"/>
  <c r="N524" i="1"/>
  <c r="P524" i="1" s="1"/>
  <c r="N516" i="1"/>
  <c r="P516" i="1" s="1"/>
  <c r="N508" i="1"/>
  <c r="P508" i="1" s="1"/>
  <c r="N500" i="1"/>
  <c r="P500" i="1" s="1"/>
  <c r="N492" i="1"/>
  <c r="P492" i="1" s="1"/>
  <c r="N484" i="1"/>
  <c r="P484" i="1" s="1"/>
  <c r="N476" i="1"/>
  <c r="P476" i="1" s="1"/>
  <c r="N468" i="1"/>
  <c r="P468" i="1" s="1"/>
  <c r="N460" i="1"/>
  <c r="P460" i="1" s="1"/>
  <c r="N452" i="1"/>
  <c r="P452" i="1" s="1"/>
  <c r="N444" i="1"/>
  <c r="P444" i="1" s="1"/>
  <c r="N1388" i="1"/>
  <c r="P1388" i="1" s="1"/>
  <c r="N1380" i="1"/>
  <c r="P1380" i="1" s="1"/>
  <c r="N1607" i="1"/>
  <c r="P1607" i="1" s="1"/>
  <c r="N1599" i="1"/>
  <c r="P1599" i="1" s="1"/>
  <c r="N1591" i="1"/>
  <c r="P1591" i="1" s="1"/>
  <c r="N1583" i="1"/>
  <c r="P1583" i="1" s="1"/>
  <c r="N1575" i="1"/>
  <c r="P1575" i="1" s="1"/>
  <c r="N1567" i="1"/>
  <c r="P1567" i="1" s="1"/>
  <c r="N1559" i="1"/>
  <c r="P1559" i="1" s="1"/>
  <c r="N1551" i="1"/>
  <c r="P1551" i="1" s="1"/>
  <c r="N1543" i="1"/>
  <c r="P1543" i="1" s="1"/>
  <c r="N1535" i="1"/>
  <c r="P1535" i="1" s="1"/>
  <c r="N1527" i="1"/>
  <c r="P1527" i="1" s="1"/>
  <c r="N1519" i="1"/>
  <c r="P1519" i="1" s="1"/>
  <c r="N1511" i="1"/>
  <c r="P1511" i="1" s="1"/>
  <c r="N1503" i="1"/>
  <c r="P1503" i="1" s="1"/>
  <c r="N1495" i="1"/>
  <c r="P1495" i="1" s="1"/>
  <c r="N1487" i="1"/>
  <c r="P1487" i="1" s="1"/>
  <c r="N1479" i="1"/>
  <c r="P1479" i="1" s="1"/>
  <c r="N1471" i="1"/>
  <c r="P1471" i="1" s="1"/>
  <c r="N1463" i="1"/>
  <c r="P1463" i="1" s="1"/>
  <c r="N1455" i="1"/>
  <c r="P1455" i="1" s="1"/>
  <c r="N1447" i="1"/>
  <c r="P1447" i="1" s="1"/>
  <c r="N1439" i="1"/>
  <c r="P1439" i="1" s="1"/>
  <c r="N1431" i="1"/>
  <c r="P1431" i="1" s="1"/>
  <c r="N1423" i="1"/>
  <c r="P1423" i="1" s="1"/>
  <c r="N1415" i="1"/>
  <c r="P1415" i="1" s="1"/>
  <c r="N1407" i="1"/>
  <c r="P1407" i="1" s="1"/>
  <c r="N1399" i="1"/>
  <c r="P1399" i="1" s="1"/>
  <c r="N1391" i="1"/>
  <c r="P1391" i="1" s="1"/>
  <c r="N1174" i="1"/>
  <c r="P1174" i="1" s="1"/>
  <c r="N1358" i="1"/>
  <c r="P1358" i="1" s="1"/>
  <c r="N1334" i="1"/>
  <c r="P1334" i="1" s="1"/>
  <c r="N1310" i="1"/>
  <c r="P1310" i="1" s="1"/>
  <c r="N1286" i="1"/>
  <c r="P1286" i="1" s="1"/>
  <c r="N1262" i="1"/>
  <c r="P1262" i="1" s="1"/>
  <c r="N1238" i="1"/>
  <c r="P1238" i="1" s="1"/>
  <c r="N1206" i="1"/>
  <c r="P1206" i="1" s="1"/>
  <c r="N1374" i="1"/>
  <c r="P1374" i="1" s="1"/>
  <c r="N1350" i="1"/>
  <c r="P1350" i="1" s="1"/>
  <c r="N1326" i="1"/>
  <c r="P1326" i="1" s="1"/>
  <c r="N1294" i="1"/>
  <c r="P1294" i="1" s="1"/>
  <c r="N1270" i="1"/>
  <c r="P1270" i="1" s="1"/>
  <c r="N1246" i="1"/>
  <c r="P1246" i="1" s="1"/>
  <c r="N1222" i="1"/>
  <c r="P1222" i="1" s="1"/>
  <c r="N1214" i="1"/>
  <c r="P1214" i="1" s="1"/>
  <c r="N1190" i="1"/>
  <c r="P1190" i="1" s="1"/>
  <c r="N1382" i="1"/>
  <c r="P1382" i="1" s="1"/>
  <c r="N1366" i="1"/>
  <c r="P1366" i="1" s="1"/>
  <c r="N1342" i="1"/>
  <c r="P1342" i="1" s="1"/>
  <c r="N1318" i="1"/>
  <c r="P1318" i="1" s="1"/>
  <c r="N1302" i="1"/>
  <c r="P1302" i="1" s="1"/>
  <c r="N1278" i="1"/>
  <c r="P1278" i="1" s="1"/>
  <c r="N1254" i="1"/>
  <c r="P1254" i="1" s="1"/>
  <c r="N1230" i="1"/>
  <c r="P1230" i="1" s="1"/>
  <c r="N1198" i="1"/>
  <c r="P1198" i="1" s="1"/>
  <c r="N78" i="1"/>
  <c r="P78" i="1" s="1"/>
  <c r="N70" i="1"/>
  <c r="P70" i="1" s="1"/>
  <c r="N62" i="1"/>
  <c r="P62" i="1" s="1"/>
  <c r="N1158" i="1"/>
  <c r="P1158" i="1" s="1"/>
  <c r="N1142" i="1"/>
  <c r="P1142" i="1" s="1"/>
  <c r="N1126" i="1"/>
  <c r="P1126" i="1" s="1"/>
  <c r="N1118" i="1"/>
  <c r="P1118" i="1" s="1"/>
  <c r="N1102" i="1"/>
  <c r="P1102" i="1" s="1"/>
  <c r="N1086" i="1"/>
  <c r="P1086" i="1" s="1"/>
  <c r="N1070" i="1"/>
  <c r="P1070" i="1" s="1"/>
  <c r="N1046" i="1"/>
  <c r="P1046" i="1" s="1"/>
  <c r="N1030" i="1"/>
  <c r="P1030" i="1" s="1"/>
  <c r="N1014" i="1"/>
  <c r="P1014" i="1" s="1"/>
  <c r="N998" i="1"/>
  <c r="P998" i="1" s="1"/>
  <c r="N990" i="1"/>
  <c r="P990" i="1" s="1"/>
  <c r="N974" i="1"/>
  <c r="P974" i="1" s="1"/>
  <c r="N958" i="1"/>
  <c r="P958" i="1" s="1"/>
  <c r="N942" i="1"/>
  <c r="P942" i="1" s="1"/>
  <c r="N926" i="1"/>
  <c r="P926" i="1" s="1"/>
  <c r="N910" i="1"/>
  <c r="P910" i="1" s="1"/>
  <c r="N894" i="1"/>
  <c r="P894" i="1" s="1"/>
  <c r="N878" i="1"/>
  <c r="P878" i="1" s="1"/>
  <c r="N862" i="1"/>
  <c r="P862" i="1" s="1"/>
  <c r="N846" i="1"/>
  <c r="P846" i="1" s="1"/>
  <c r="N822" i="1"/>
  <c r="P822" i="1" s="1"/>
  <c r="N806" i="1"/>
  <c r="P806" i="1" s="1"/>
  <c r="N790" i="1"/>
  <c r="P790" i="1" s="1"/>
  <c r="N774" i="1"/>
  <c r="P774" i="1" s="1"/>
  <c r="N758" i="1"/>
  <c r="P758" i="1" s="1"/>
  <c r="N742" i="1"/>
  <c r="P742" i="1" s="1"/>
  <c r="N726" i="1"/>
  <c r="P726" i="1" s="1"/>
  <c r="N710" i="1"/>
  <c r="P710" i="1" s="1"/>
  <c r="N694" i="1"/>
  <c r="P694" i="1" s="1"/>
  <c r="N678" i="1"/>
  <c r="P678" i="1" s="1"/>
  <c r="N662" i="1"/>
  <c r="P662" i="1" s="1"/>
  <c r="N638" i="1"/>
  <c r="P638" i="1" s="1"/>
  <c r="N622" i="1"/>
  <c r="P622" i="1" s="1"/>
  <c r="N606" i="1"/>
  <c r="P606" i="1" s="1"/>
  <c r="N590" i="1"/>
  <c r="P590" i="1" s="1"/>
  <c r="N574" i="1"/>
  <c r="P574" i="1" s="1"/>
  <c r="N558" i="1"/>
  <c r="P558" i="1" s="1"/>
  <c r="N542" i="1"/>
  <c r="P542" i="1" s="1"/>
  <c r="N526" i="1"/>
  <c r="P526" i="1" s="1"/>
  <c r="N510" i="1"/>
  <c r="P510" i="1" s="1"/>
  <c r="N486" i="1"/>
  <c r="P486" i="1" s="1"/>
  <c r="N470" i="1"/>
  <c r="P470" i="1" s="1"/>
  <c r="N454" i="1"/>
  <c r="P454" i="1" s="1"/>
  <c r="N438" i="1"/>
  <c r="P438" i="1" s="1"/>
  <c r="N422" i="1"/>
  <c r="P422" i="1" s="1"/>
  <c r="N406" i="1"/>
  <c r="P406" i="1" s="1"/>
  <c r="N390" i="1"/>
  <c r="P390" i="1" s="1"/>
  <c r="N374" i="1"/>
  <c r="P374" i="1" s="1"/>
  <c r="N358" i="1"/>
  <c r="P358" i="1" s="1"/>
  <c r="N342" i="1"/>
  <c r="P342" i="1" s="1"/>
  <c r="N326" i="1"/>
  <c r="P326" i="1" s="1"/>
  <c r="N310" i="1"/>
  <c r="P310" i="1" s="1"/>
  <c r="N294" i="1"/>
  <c r="P294" i="1" s="1"/>
  <c r="N278" i="1"/>
  <c r="P278" i="1" s="1"/>
  <c r="N262" i="1"/>
  <c r="P262" i="1" s="1"/>
  <c r="N246" i="1"/>
  <c r="P246" i="1" s="1"/>
  <c r="N230" i="1"/>
  <c r="P230" i="1" s="1"/>
  <c r="N214" i="1"/>
  <c r="P214" i="1" s="1"/>
  <c r="N190" i="1"/>
  <c r="P190" i="1" s="1"/>
  <c r="N174" i="1"/>
  <c r="P174" i="1" s="1"/>
  <c r="N158" i="1"/>
  <c r="P158" i="1" s="1"/>
  <c r="N142" i="1"/>
  <c r="P142" i="1" s="1"/>
  <c r="N126" i="1"/>
  <c r="P126" i="1" s="1"/>
  <c r="N110" i="1"/>
  <c r="P110" i="1" s="1"/>
  <c r="N94" i="1"/>
  <c r="P94" i="1" s="1"/>
  <c r="N1702" i="1"/>
  <c r="P1702" i="1" s="1"/>
  <c r="N1686" i="1"/>
  <c r="P1686" i="1" s="1"/>
  <c r="N1670" i="1"/>
  <c r="P1670" i="1" s="1"/>
  <c r="N1654" i="1"/>
  <c r="P1654" i="1" s="1"/>
  <c r="N1638" i="1"/>
  <c r="P1638" i="1" s="1"/>
  <c r="N1622" i="1"/>
  <c r="P1622" i="1" s="1"/>
  <c r="N1606" i="1"/>
  <c r="P1606" i="1" s="1"/>
  <c r="N1590" i="1"/>
  <c r="P1590" i="1" s="1"/>
  <c r="N1574" i="1"/>
  <c r="P1574" i="1" s="1"/>
  <c r="N1558" i="1"/>
  <c r="P1558" i="1" s="1"/>
  <c r="N1542" i="1"/>
  <c r="P1542" i="1" s="1"/>
  <c r="N1526" i="1"/>
  <c r="P1526" i="1" s="1"/>
  <c r="N1510" i="1"/>
  <c r="P1510" i="1" s="1"/>
  <c r="N1494" i="1"/>
  <c r="P1494" i="1" s="1"/>
  <c r="N1470" i="1"/>
  <c r="P1470" i="1" s="1"/>
  <c r="N1454" i="1"/>
  <c r="P1454" i="1" s="1"/>
  <c r="N1438" i="1"/>
  <c r="P1438" i="1" s="1"/>
  <c r="N1422" i="1"/>
  <c r="P1422" i="1" s="1"/>
  <c r="N1406" i="1"/>
  <c r="P1406" i="1" s="1"/>
  <c r="N1166" i="1"/>
  <c r="P1166" i="1" s="1"/>
  <c r="N1150" i="1"/>
  <c r="P1150" i="1" s="1"/>
  <c r="N1134" i="1"/>
  <c r="P1134" i="1" s="1"/>
  <c r="N1110" i="1"/>
  <c r="P1110" i="1" s="1"/>
  <c r="N1094" i="1"/>
  <c r="P1094" i="1" s="1"/>
  <c r="N1078" i="1"/>
  <c r="P1078" i="1" s="1"/>
  <c r="N1062" i="1"/>
  <c r="P1062" i="1" s="1"/>
  <c r="N1054" i="1"/>
  <c r="P1054" i="1" s="1"/>
  <c r="N1038" i="1"/>
  <c r="P1038" i="1" s="1"/>
  <c r="N1022" i="1"/>
  <c r="P1022" i="1" s="1"/>
  <c r="N1006" i="1"/>
  <c r="P1006" i="1" s="1"/>
  <c r="N982" i="1"/>
  <c r="P982" i="1" s="1"/>
  <c r="N966" i="1"/>
  <c r="P966" i="1" s="1"/>
  <c r="N950" i="1"/>
  <c r="P950" i="1" s="1"/>
  <c r="N934" i="1"/>
  <c r="P934" i="1" s="1"/>
  <c r="N918" i="1"/>
  <c r="P918" i="1" s="1"/>
  <c r="N902" i="1"/>
  <c r="P902" i="1" s="1"/>
  <c r="N886" i="1"/>
  <c r="P886" i="1" s="1"/>
  <c r="N870" i="1"/>
  <c r="P870" i="1" s="1"/>
  <c r="N854" i="1"/>
  <c r="P854" i="1" s="1"/>
  <c r="N838" i="1"/>
  <c r="P838" i="1" s="1"/>
  <c r="N830" i="1"/>
  <c r="P830" i="1" s="1"/>
  <c r="N814" i="1"/>
  <c r="P814" i="1" s="1"/>
  <c r="N798" i="1"/>
  <c r="P798" i="1" s="1"/>
  <c r="N782" i="1"/>
  <c r="P782" i="1" s="1"/>
  <c r="N766" i="1"/>
  <c r="P766" i="1" s="1"/>
  <c r="N750" i="1"/>
  <c r="P750" i="1" s="1"/>
  <c r="N734" i="1"/>
  <c r="P734" i="1" s="1"/>
  <c r="N718" i="1"/>
  <c r="P718" i="1" s="1"/>
  <c r="N702" i="1"/>
  <c r="P702" i="1" s="1"/>
  <c r="N686" i="1"/>
  <c r="P686" i="1" s="1"/>
  <c r="N670" i="1"/>
  <c r="P670" i="1" s="1"/>
  <c r="N654" i="1"/>
  <c r="P654" i="1" s="1"/>
  <c r="N646" i="1"/>
  <c r="P646" i="1" s="1"/>
  <c r="N630" i="1"/>
  <c r="P630" i="1" s="1"/>
  <c r="N614" i="1"/>
  <c r="P614" i="1" s="1"/>
  <c r="N598" i="1"/>
  <c r="P598" i="1" s="1"/>
  <c r="N582" i="1"/>
  <c r="P582" i="1" s="1"/>
  <c r="N566" i="1"/>
  <c r="P566" i="1" s="1"/>
  <c r="N550" i="1"/>
  <c r="P550" i="1" s="1"/>
  <c r="N534" i="1"/>
  <c r="P534" i="1" s="1"/>
  <c r="N518" i="1"/>
  <c r="P518" i="1" s="1"/>
  <c r="N502" i="1"/>
  <c r="P502" i="1" s="1"/>
  <c r="N494" i="1"/>
  <c r="P494" i="1" s="1"/>
  <c r="N478" i="1"/>
  <c r="P478" i="1" s="1"/>
  <c r="N462" i="1"/>
  <c r="P462" i="1" s="1"/>
  <c r="N446" i="1"/>
  <c r="P446" i="1" s="1"/>
  <c r="N430" i="1"/>
  <c r="P430" i="1" s="1"/>
  <c r="N414" i="1"/>
  <c r="P414" i="1" s="1"/>
  <c r="N398" i="1"/>
  <c r="P398" i="1" s="1"/>
  <c r="N382" i="1"/>
  <c r="P382" i="1" s="1"/>
  <c r="N366" i="1"/>
  <c r="P366" i="1" s="1"/>
  <c r="N350" i="1"/>
  <c r="P350" i="1" s="1"/>
  <c r="N334" i="1"/>
  <c r="P334" i="1" s="1"/>
  <c r="N318" i="1"/>
  <c r="P318" i="1" s="1"/>
  <c r="N302" i="1"/>
  <c r="P302" i="1" s="1"/>
  <c r="N286" i="1"/>
  <c r="P286" i="1" s="1"/>
  <c r="N270" i="1"/>
  <c r="P270" i="1" s="1"/>
  <c r="N254" i="1"/>
  <c r="P254" i="1" s="1"/>
  <c r="N238" i="1"/>
  <c r="P238" i="1" s="1"/>
  <c r="N222" i="1"/>
  <c r="P222" i="1" s="1"/>
  <c r="N206" i="1"/>
  <c r="P206" i="1" s="1"/>
  <c r="N198" i="1"/>
  <c r="P198" i="1" s="1"/>
  <c r="N182" i="1"/>
  <c r="P182" i="1" s="1"/>
  <c r="N166" i="1"/>
  <c r="P166" i="1" s="1"/>
  <c r="N150" i="1"/>
  <c r="P150" i="1" s="1"/>
  <c r="N134" i="1"/>
  <c r="P134" i="1" s="1"/>
  <c r="N118" i="1"/>
  <c r="P118" i="1" s="1"/>
  <c r="N102" i="1"/>
  <c r="P102" i="1" s="1"/>
  <c r="N86" i="1"/>
  <c r="P86" i="1" s="1"/>
  <c r="N1710" i="1"/>
  <c r="P1710" i="1" s="1"/>
  <c r="N1694" i="1"/>
  <c r="P1694" i="1" s="1"/>
  <c r="N1678" i="1"/>
  <c r="P1678" i="1" s="1"/>
  <c r="N1662" i="1"/>
  <c r="P1662" i="1" s="1"/>
  <c r="N1646" i="1"/>
  <c r="P1646" i="1" s="1"/>
  <c r="N1630" i="1"/>
  <c r="P1630" i="1" s="1"/>
  <c r="N1614" i="1"/>
  <c r="P1614" i="1" s="1"/>
  <c r="N1598" i="1"/>
  <c r="P1598" i="1" s="1"/>
  <c r="N1582" i="1"/>
  <c r="P1582" i="1" s="1"/>
  <c r="N1566" i="1"/>
  <c r="P1566" i="1" s="1"/>
  <c r="N1550" i="1"/>
  <c r="P1550" i="1" s="1"/>
  <c r="N1534" i="1"/>
  <c r="P1534" i="1" s="1"/>
  <c r="N1518" i="1"/>
  <c r="P1518" i="1" s="1"/>
  <c r="N1502" i="1"/>
  <c r="P1502" i="1" s="1"/>
  <c r="N1486" i="1"/>
  <c r="P1486" i="1" s="1"/>
  <c r="N1478" i="1"/>
  <c r="P1478" i="1" s="1"/>
  <c r="N1462" i="1"/>
  <c r="P1462" i="1" s="1"/>
  <c r="N1446" i="1"/>
  <c r="P1446" i="1" s="1"/>
  <c r="N1430" i="1"/>
  <c r="P1430" i="1" s="1"/>
  <c r="N1414" i="1"/>
  <c r="P1414" i="1" s="1"/>
  <c r="N1398" i="1"/>
  <c r="P1398" i="1" s="1"/>
  <c r="N1390" i="1"/>
  <c r="P1390" i="1" s="1"/>
  <c r="N14" i="1"/>
  <c r="P14" i="1" s="1"/>
  <c r="N1378" i="1"/>
  <c r="P1378" i="1" s="1"/>
  <c r="N1362" i="1"/>
  <c r="P1362" i="1" s="1"/>
  <c r="N1338" i="1"/>
  <c r="P1338" i="1" s="1"/>
  <c r="N1322" i="1"/>
  <c r="P1322" i="1" s="1"/>
  <c r="N1298" i="1"/>
  <c r="P1298" i="1" s="1"/>
  <c r="N1282" i="1"/>
  <c r="P1282" i="1" s="1"/>
  <c r="N1266" i="1"/>
  <c r="P1266" i="1" s="1"/>
  <c r="N1250" i="1"/>
  <c r="P1250" i="1" s="1"/>
  <c r="N1234" i="1"/>
  <c r="P1234" i="1" s="1"/>
  <c r="N1218" i="1"/>
  <c r="P1218" i="1" s="1"/>
  <c r="N1202" i="1"/>
  <c r="P1202" i="1" s="1"/>
  <c r="N1178" i="1"/>
  <c r="P1178" i="1" s="1"/>
  <c r="N1170" i="1"/>
  <c r="P1170" i="1" s="1"/>
  <c r="N1162" i="1"/>
  <c r="P1162" i="1" s="1"/>
  <c r="N1154" i="1"/>
  <c r="P1154" i="1" s="1"/>
  <c r="N1146" i="1"/>
  <c r="P1146" i="1" s="1"/>
  <c r="N1138" i="1"/>
  <c r="P1138" i="1" s="1"/>
  <c r="N1130" i="1"/>
  <c r="P1130" i="1" s="1"/>
  <c r="N1122" i="1"/>
  <c r="P1122" i="1" s="1"/>
  <c r="N1114" i="1"/>
  <c r="P1114" i="1" s="1"/>
  <c r="N1106" i="1"/>
  <c r="P1106" i="1" s="1"/>
  <c r="N1098" i="1"/>
  <c r="P1098" i="1" s="1"/>
  <c r="N1090" i="1"/>
  <c r="P1090" i="1" s="1"/>
  <c r="N1082" i="1"/>
  <c r="P1082" i="1" s="1"/>
  <c r="N1074" i="1"/>
  <c r="P1074" i="1" s="1"/>
  <c r="N1066" i="1"/>
  <c r="P1066" i="1" s="1"/>
  <c r="N1058" i="1"/>
  <c r="P1058" i="1" s="1"/>
  <c r="N1050" i="1"/>
  <c r="P1050" i="1" s="1"/>
  <c r="N1042" i="1"/>
  <c r="P1042" i="1" s="1"/>
  <c r="N1034" i="1"/>
  <c r="P1034" i="1" s="1"/>
  <c r="N1026" i="1"/>
  <c r="P1026" i="1" s="1"/>
  <c r="N1018" i="1"/>
  <c r="P1018" i="1" s="1"/>
  <c r="N1010" i="1"/>
  <c r="P1010" i="1" s="1"/>
  <c r="N1002" i="1"/>
  <c r="P1002" i="1" s="1"/>
  <c r="N994" i="1"/>
  <c r="P994" i="1" s="1"/>
  <c r="N986" i="1"/>
  <c r="P986" i="1" s="1"/>
  <c r="N978" i="1"/>
  <c r="P978" i="1" s="1"/>
  <c r="N970" i="1"/>
  <c r="P970" i="1" s="1"/>
  <c r="N962" i="1"/>
  <c r="P962" i="1" s="1"/>
  <c r="N954" i="1"/>
  <c r="P954" i="1" s="1"/>
  <c r="N946" i="1"/>
  <c r="P946" i="1" s="1"/>
  <c r="N938" i="1"/>
  <c r="P938" i="1" s="1"/>
  <c r="N930" i="1"/>
  <c r="P930" i="1" s="1"/>
  <c r="N922" i="1"/>
  <c r="P922" i="1" s="1"/>
  <c r="N914" i="1"/>
  <c r="P914" i="1" s="1"/>
  <c r="N906" i="1"/>
  <c r="P906" i="1" s="1"/>
  <c r="N898" i="1"/>
  <c r="P898" i="1" s="1"/>
  <c r="N890" i="1"/>
  <c r="P890" i="1" s="1"/>
  <c r="N882" i="1"/>
  <c r="P882" i="1" s="1"/>
  <c r="N874" i="1"/>
  <c r="P874" i="1" s="1"/>
  <c r="N866" i="1"/>
  <c r="P866" i="1" s="1"/>
  <c r="N858" i="1"/>
  <c r="P858" i="1" s="1"/>
  <c r="N850" i="1"/>
  <c r="P850" i="1" s="1"/>
  <c r="N842" i="1"/>
  <c r="P842" i="1" s="1"/>
  <c r="N834" i="1"/>
  <c r="P834" i="1" s="1"/>
  <c r="N826" i="1"/>
  <c r="P826" i="1" s="1"/>
  <c r="N818" i="1"/>
  <c r="P818" i="1" s="1"/>
  <c r="N810" i="1"/>
  <c r="P810" i="1" s="1"/>
  <c r="N802" i="1"/>
  <c r="P802" i="1" s="1"/>
  <c r="N794" i="1"/>
  <c r="P794" i="1" s="1"/>
  <c r="N786" i="1"/>
  <c r="P786" i="1" s="1"/>
  <c r="N778" i="1"/>
  <c r="P778" i="1" s="1"/>
  <c r="N770" i="1"/>
  <c r="P770" i="1" s="1"/>
  <c r="N762" i="1"/>
  <c r="P762" i="1" s="1"/>
  <c r="N754" i="1"/>
  <c r="P754" i="1" s="1"/>
  <c r="N746" i="1"/>
  <c r="P746" i="1" s="1"/>
  <c r="N738" i="1"/>
  <c r="P738" i="1" s="1"/>
  <c r="N730" i="1"/>
  <c r="P730" i="1" s="1"/>
  <c r="N722" i="1"/>
  <c r="P722" i="1" s="1"/>
  <c r="N714" i="1"/>
  <c r="P714" i="1" s="1"/>
  <c r="N706" i="1"/>
  <c r="P706" i="1" s="1"/>
  <c r="N698" i="1"/>
  <c r="P698" i="1" s="1"/>
  <c r="N690" i="1"/>
  <c r="P690" i="1" s="1"/>
  <c r="N682" i="1"/>
  <c r="P682" i="1" s="1"/>
  <c r="N674" i="1"/>
  <c r="P674" i="1" s="1"/>
  <c r="N666" i="1"/>
  <c r="P666" i="1" s="1"/>
  <c r="N658" i="1"/>
  <c r="P658" i="1" s="1"/>
  <c r="N650" i="1"/>
  <c r="P650" i="1" s="1"/>
  <c r="N642" i="1"/>
  <c r="P642" i="1" s="1"/>
  <c r="N634" i="1"/>
  <c r="P634" i="1" s="1"/>
  <c r="N626" i="1"/>
  <c r="P626" i="1" s="1"/>
  <c r="N618" i="1"/>
  <c r="P618" i="1" s="1"/>
  <c r="N610" i="1"/>
  <c r="P610" i="1" s="1"/>
  <c r="N602" i="1"/>
  <c r="P602" i="1" s="1"/>
  <c r="N594" i="1"/>
  <c r="P594" i="1" s="1"/>
  <c r="N586" i="1"/>
  <c r="P586" i="1" s="1"/>
  <c r="N578" i="1"/>
  <c r="P578" i="1" s="1"/>
  <c r="N570" i="1"/>
  <c r="P570" i="1" s="1"/>
  <c r="N562" i="1"/>
  <c r="P562" i="1" s="1"/>
  <c r="N554" i="1"/>
  <c r="P554" i="1" s="1"/>
  <c r="N546" i="1"/>
  <c r="P546" i="1" s="1"/>
  <c r="N538" i="1"/>
  <c r="P538" i="1" s="1"/>
  <c r="N530" i="1"/>
  <c r="P530" i="1" s="1"/>
  <c r="N522" i="1"/>
  <c r="P522" i="1" s="1"/>
  <c r="N514" i="1"/>
  <c r="P514" i="1" s="1"/>
  <c r="N506" i="1"/>
  <c r="P506" i="1" s="1"/>
  <c r="N498" i="1"/>
  <c r="P498" i="1" s="1"/>
  <c r="N490" i="1"/>
  <c r="P490" i="1" s="1"/>
  <c r="N482" i="1"/>
  <c r="P482" i="1" s="1"/>
  <c r="N474" i="1"/>
  <c r="P474" i="1" s="1"/>
  <c r="N466" i="1"/>
  <c r="P466" i="1" s="1"/>
  <c r="N458" i="1"/>
  <c r="P458" i="1" s="1"/>
  <c r="N450" i="1"/>
  <c r="P450" i="1" s="1"/>
  <c r="N1370" i="1"/>
  <c r="P1370" i="1" s="1"/>
  <c r="N1354" i="1"/>
  <c r="P1354" i="1" s="1"/>
  <c r="N1346" i="1"/>
  <c r="P1346" i="1" s="1"/>
  <c r="N1330" i="1"/>
  <c r="P1330" i="1" s="1"/>
  <c r="N1314" i="1"/>
  <c r="P1314" i="1" s="1"/>
  <c r="N1306" i="1"/>
  <c r="P1306" i="1" s="1"/>
  <c r="N1290" i="1"/>
  <c r="P1290" i="1" s="1"/>
  <c r="N1274" i="1"/>
  <c r="P1274" i="1" s="1"/>
  <c r="N1258" i="1"/>
  <c r="P1258" i="1" s="1"/>
  <c r="N1242" i="1"/>
  <c r="P1242" i="1" s="1"/>
  <c r="N1226" i="1"/>
  <c r="P1226" i="1" s="1"/>
  <c r="N1210" i="1"/>
  <c r="P1210" i="1" s="1"/>
  <c r="N1194" i="1"/>
  <c r="P1194" i="1" s="1"/>
  <c r="N1186" i="1"/>
  <c r="P1186" i="1" s="1"/>
  <c r="N442" i="1"/>
  <c r="P442" i="1" s="1"/>
  <c r="N434" i="1"/>
  <c r="P434" i="1" s="1"/>
  <c r="N426" i="1"/>
  <c r="P426" i="1" s="1"/>
  <c r="N418" i="1"/>
  <c r="P418" i="1" s="1"/>
  <c r="N410" i="1"/>
  <c r="P410" i="1" s="1"/>
  <c r="N402" i="1"/>
  <c r="P402" i="1" s="1"/>
  <c r="N394" i="1"/>
  <c r="P394" i="1" s="1"/>
  <c r="N386" i="1"/>
  <c r="P386" i="1" s="1"/>
  <c r="N378" i="1"/>
  <c r="P378" i="1" s="1"/>
  <c r="N370" i="1"/>
  <c r="P370" i="1" s="1"/>
  <c r="N362" i="1"/>
  <c r="P362" i="1" s="1"/>
  <c r="N354" i="1"/>
  <c r="P354" i="1" s="1"/>
  <c r="N346" i="1"/>
  <c r="P346" i="1" s="1"/>
  <c r="N338" i="1"/>
  <c r="P338" i="1" s="1"/>
  <c r="N330" i="1"/>
  <c r="P330" i="1" s="1"/>
  <c r="N322" i="1"/>
  <c r="P322" i="1" s="1"/>
  <c r="N314" i="1"/>
  <c r="P314" i="1" s="1"/>
  <c r="N306" i="1"/>
  <c r="P306" i="1" s="1"/>
  <c r="N298" i="1"/>
  <c r="P298" i="1" s="1"/>
  <c r="N290" i="1"/>
  <c r="P290" i="1" s="1"/>
  <c r="N282" i="1"/>
  <c r="P282" i="1" s="1"/>
  <c r="N274" i="1"/>
  <c r="P274" i="1" s="1"/>
  <c r="N258" i="1"/>
  <c r="P258" i="1" s="1"/>
  <c r="N250" i="1"/>
  <c r="P250" i="1" s="1"/>
  <c r="N242" i="1"/>
  <c r="P242" i="1" s="1"/>
  <c r="N234" i="1"/>
  <c r="P234" i="1" s="1"/>
  <c r="N226" i="1"/>
  <c r="P226" i="1" s="1"/>
  <c r="N218" i="1"/>
  <c r="P218" i="1" s="1"/>
  <c r="N210" i="1"/>
  <c r="P210" i="1" s="1"/>
  <c r="N202" i="1"/>
  <c r="P202" i="1" s="1"/>
  <c r="N194" i="1"/>
  <c r="P194" i="1" s="1"/>
  <c r="N186" i="1"/>
  <c r="P186" i="1" s="1"/>
  <c r="N178" i="1"/>
  <c r="P178" i="1" s="1"/>
  <c r="N170" i="1"/>
  <c r="P170" i="1" s="1"/>
  <c r="N162" i="1"/>
  <c r="P162" i="1" s="1"/>
  <c r="N154" i="1"/>
  <c r="P154" i="1" s="1"/>
  <c r="N146" i="1"/>
  <c r="P146" i="1" s="1"/>
  <c r="N138" i="1"/>
  <c r="P138" i="1" s="1"/>
  <c r="N130" i="1"/>
  <c r="P130" i="1" s="1"/>
  <c r="N122" i="1"/>
  <c r="P122" i="1" s="1"/>
  <c r="N114" i="1"/>
  <c r="P114" i="1" s="1"/>
  <c r="N106" i="1"/>
  <c r="P106" i="1" s="1"/>
  <c r="N98" i="1"/>
  <c r="P98" i="1" s="1"/>
  <c r="N90" i="1"/>
  <c r="P90" i="1" s="1"/>
  <c r="N1381" i="1"/>
  <c r="P1381" i="1" s="1"/>
  <c r="N1706" i="1"/>
  <c r="P1706" i="1" s="1"/>
  <c r="N1698" i="1"/>
  <c r="P1698" i="1" s="1"/>
  <c r="N1690" i="1"/>
  <c r="P1690" i="1" s="1"/>
  <c r="N1682" i="1"/>
  <c r="P1682" i="1" s="1"/>
  <c r="N1674" i="1"/>
  <c r="P1674" i="1" s="1"/>
  <c r="N1666" i="1"/>
  <c r="P1666" i="1" s="1"/>
  <c r="N1658" i="1"/>
  <c r="P1658" i="1" s="1"/>
  <c r="N1650" i="1"/>
  <c r="P1650" i="1" s="1"/>
  <c r="N1642" i="1"/>
  <c r="P1642" i="1" s="1"/>
  <c r="N1634" i="1"/>
  <c r="P1634" i="1" s="1"/>
  <c r="N1626" i="1"/>
  <c r="P1626" i="1" s="1"/>
  <c r="N1618" i="1"/>
  <c r="P1618" i="1" s="1"/>
  <c r="N1610" i="1"/>
  <c r="P1610" i="1" s="1"/>
  <c r="N1602" i="1"/>
  <c r="P1602" i="1" s="1"/>
  <c r="N1594" i="1"/>
  <c r="P1594" i="1" s="1"/>
  <c r="N1586" i="1"/>
  <c r="P1586" i="1" s="1"/>
  <c r="N1578" i="1"/>
  <c r="P1578" i="1" s="1"/>
  <c r="N1570" i="1"/>
  <c r="P1570" i="1" s="1"/>
  <c r="N1562" i="1"/>
  <c r="P1562" i="1" s="1"/>
  <c r="N1554" i="1"/>
  <c r="P1554" i="1" s="1"/>
  <c r="N1546" i="1"/>
  <c r="P1546" i="1" s="1"/>
  <c r="N1538" i="1"/>
  <c r="P1538" i="1" s="1"/>
  <c r="N1530" i="1"/>
  <c r="P1530" i="1" s="1"/>
  <c r="N1522" i="1"/>
  <c r="P1522" i="1" s="1"/>
  <c r="N1514" i="1"/>
  <c r="P1514" i="1" s="1"/>
  <c r="N1506" i="1"/>
  <c r="P1506" i="1" s="1"/>
  <c r="N1498" i="1"/>
  <c r="P1498" i="1" s="1"/>
  <c r="N1490" i="1"/>
  <c r="P1490" i="1" s="1"/>
  <c r="N1482" i="1"/>
  <c r="P1482" i="1" s="1"/>
  <c r="N1474" i="1"/>
  <c r="P1474" i="1" s="1"/>
  <c r="N1466" i="1"/>
  <c r="P1466" i="1" s="1"/>
  <c r="N1458" i="1"/>
  <c r="P1458" i="1" s="1"/>
  <c r="N1450" i="1"/>
  <c r="P1450" i="1" s="1"/>
  <c r="N1442" i="1"/>
  <c r="P1442" i="1" s="1"/>
  <c r="N1434" i="1"/>
  <c r="P1434" i="1" s="1"/>
  <c r="N1426" i="1"/>
  <c r="P1426" i="1" s="1"/>
  <c r="N1418" i="1"/>
  <c r="P1418" i="1" s="1"/>
  <c r="N1410" i="1"/>
  <c r="P1410" i="1" s="1"/>
  <c r="N1402" i="1"/>
  <c r="P1402" i="1" s="1"/>
  <c r="N1394" i="1"/>
  <c r="P1394" i="1" s="1"/>
  <c r="N436" i="1"/>
  <c r="P436" i="1" s="1"/>
  <c r="N428" i="1"/>
  <c r="P428" i="1" s="1"/>
  <c r="N420" i="1"/>
  <c r="P420" i="1" s="1"/>
  <c r="N412" i="1"/>
  <c r="P412" i="1" s="1"/>
  <c r="N404" i="1"/>
  <c r="P404" i="1" s="1"/>
  <c r="N396" i="1"/>
  <c r="P396" i="1" s="1"/>
  <c r="N388" i="1"/>
  <c r="P388" i="1" s="1"/>
  <c r="N380" i="1"/>
  <c r="P380" i="1" s="1"/>
  <c r="N372" i="1"/>
  <c r="P372" i="1" s="1"/>
  <c r="N364" i="1"/>
  <c r="P364" i="1" s="1"/>
  <c r="N356" i="1"/>
  <c r="P356" i="1" s="1"/>
  <c r="N348" i="1"/>
  <c r="P348" i="1" s="1"/>
  <c r="N340" i="1"/>
  <c r="P340" i="1" s="1"/>
  <c r="N332" i="1"/>
  <c r="P332" i="1" s="1"/>
  <c r="N324" i="1"/>
  <c r="P324" i="1" s="1"/>
  <c r="N316" i="1"/>
  <c r="P316" i="1" s="1"/>
  <c r="N308" i="1"/>
  <c r="P308" i="1" s="1"/>
  <c r="N300" i="1"/>
  <c r="P300" i="1" s="1"/>
  <c r="N292" i="1"/>
  <c r="P292" i="1" s="1"/>
  <c r="N284" i="1"/>
  <c r="P284" i="1" s="1"/>
  <c r="N276" i="1"/>
  <c r="P276" i="1" s="1"/>
  <c r="N260" i="1"/>
  <c r="P260" i="1" s="1"/>
  <c r="N252" i="1"/>
  <c r="P252" i="1" s="1"/>
  <c r="N244" i="1"/>
  <c r="P244" i="1" s="1"/>
  <c r="N236" i="1"/>
  <c r="P236" i="1" s="1"/>
  <c r="N228" i="1"/>
  <c r="P228" i="1" s="1"/>
  <c r="N220" i="1"/>
  <c r="P220" i="1" s="1"/>
  <c r="N212" i="1"/>
  <c r="P212" i="1" s="1"/>
  <c r="N204" i="1"/>
  <c r="P204" i="1" s="1"/>
  <c r="N196" i="1"/>
  <c r="P196" i="1" s="1"/>
  <c r="N188" i="1"/>
  <c r="P188" i="1" s="1"/>
  <c r="N180" i="1"/>
  <c r="P180" i="1" s="1"/>
  <c r="N172" i="1"/>
  <c r="P172" i="1" s="1"/>
  <c r="N164" i="1"/>
  <c r="P164" i="1" s="1"/>
  <c r="N156" i="1"/>
  <c r="P156" i="1" s="1"/>
  <c r="N148" i="1"/>
  <c r="P148" i="1" s="1"/>
  <c r="N140" i="1"/>
  <c r="P140" i="1" s="1"/>
  <c r="N132" i="1"/>
  <c r="P132" i="1" s="1"/>
  <c r="N124" i="1"/>
  <c r="P124" i="1" s="1"/>
  <c r="N116" i="1"/>
  <c r="P116" i="1" s="1"/>
  <c r="N108" i="1"/>
  <c r="P108" i="1" s="1"/>
  <c r="N100" i="1"/>
  <c r="P100" i="1" s="1"/>
  <c r="N92" i="1"/>
  <c r="P92" i="1" s="1"/>
  <c r="N84" i="1"/>
  <c r="P84" i="1" s="1"/>
  <c r="N1383" i="1"/>
  <c r="P1383" i="1" s="1"/>
  <c r="N1708" i="1"/>
  <c r="P1708" i="1" s="1"/>
  <c r="N1700" i="1"/>
  <c r="P1700" i="1" s="1"/>
  <c r="N1692" i="1"/>
  <c r="P1692" i="1" s="1"/>
  <c r="N1684" i="1"/>
  <c r="P1684" i="1" s="1"/>
  <c r="N1676" i="1"/>
  <c r="P1676" i="1" s="1"/>
  <c r="N1668" i="1"/>
  <c r="P1668" i="1" s="1"/>
  <c r="N1660" i="1"/>
  <c r="P1660" i="1" s="1"/>
  <c r="N1652" i="1"/>
  <c r="P1652" i="1" s="1"/>
  <c r="N1644" i="1"/>
  <c r="P1644" i="1" s="1"/>
  <c r="N1636" i="1"/>
  <c r="P1636" i="1" s="1"/>
  <c r="N1628" i="1"/>
  <c r="P1628" i="1" s="1"/>
  <c r="N1620" i="1"/>
  <c r="P1620" i="1" s="1"/>
  <c r="N1612" i="1"/>
  <c r="P1612" i="1" s="1"/>
  <c r="N1604" i="1"/>
  <c r="P1604" i="1" s="1"/>
  <c r="N1596" i="1"/>
  <c r="P1596" i="1" s="1"/>
  <c r="N1588" i="1"/>
  <c r="P1588" i="1" s="1"/>
  <c r="N1580" i="1"/>
  <c r="P1580" i="1" s="1"/>
  <c r="N1572" i="1"/>
  <c r="P1572" i="1" s="1"/>
  <c r="N1564" i="1"/>
  <c r="P1564" i="1" s="1"/>
  <c r="N1556" i="1"/>
  <c r="P1556" i="1" s="1"/>
  <c r="N1548" i="1"/>
  <c r="P1548" i="1" s="1"/>
  <c r="N1540" i="1"/>
  <c r="P1540" i="1" s="1"/>
  <c r="N1532" i="1"/>
  <c r="P1532" i="1" s="1"/>
  <c r="N1524" i="1"/>
  <c r="P1524" i="1" s="1"/>
  <c r="N1516" i="1"/>
  <c r="P1516" i="1" s="1"/>
  <c r="N1508" i="1"/>
  <c r="P1508" i="1" s="1"/>
  <c r="N1500" i="1"/>
  <c r="P1500" i="1" s="1"/>
  <c r="N1492" i="1"/>
  <c r="P1492" i="1" s="1"/>
  <c r="N1484" i="1"/>
  <c r="P1484" i="1" s="1"/>
  <c r="N1476" i="1"/>
  <c r="P1476" i="1" s="1"/>
  <c r="N1468" i="1"/>
  <c r="P1468" i="1" s="1"/>
  <c r="N1460" i="1"/>
  <c r="P1460" i="1" s="1"/>
  <c r="N1452" i="1"/>
  <c r="P1452" i="1" s="1"/>
  <c r="N1444" i="1"/>
  <c r="P1444" i="1" s="1"/>
  <c r="N1436" i="1"/>
  <c r="P1436" i="1" s="1"/>
  <c r="N1428" i="1"/>
  <c r="P1428" i="1" s="1"/>
  <c r="N1420" i="1"/>
  <c r="P1420" i="1" s="1"/>
  <c r="N1412" i="1"/>
  <c r="P1412" i="1" s="1"/>
  <c r="N1404" i="1"/>
  <c r="P1404" i="1" s="1"/>
  <c r="N1396" i="1"/>
  <c r="P1396" i="1" s="1"/>
  <c r="E19" i="8"/>
  <c r="F19" i="8"/>
  <c r="N17" i="1"/>
  <c r="P17" i="1" s="1"/>
  <c r="N81" i="1"/>
  <c r="P81" i="1" s="1"/>
  <c r="N77" i="1"/>
  <c r="P77" i="1" s="1"/>
  <c r="N73" i="1"/>
  <c r="P73" i="1" s="1"/>
  <c r="N69" i="1"/>
  <c r="P69" i="1" s="1"/>
  <c r="N65" i="1"/>
  <c r="P65" i="1" s="1"/>
  <c r="N61" i="1"/>
  <c r="P61" i="1" s="1"/>
  <c r="N57" i="1"/>
  <c r="P57" i="1" s="1"/>
  <c r="N1711" i="1"/>
  <c r="P1711" i="1" s="1"/>
  <c r="N1707" i="1"/>
  <c r="P1707" i="1" s="1"/>
  <c r="N1703" i="1"/>
  <c r="P1703" i="1" s="1"/>
  <c r="N1699" i="1"/>
  <c r="P1699" i="1" s="1"/>
  <c r="N1695" i="1"/>
  <c r="P1695" i="1" s="1"/>
  <c r="N1691" i="1"/>
  <c r="P1691" i="1" s="1"/>
  <c r="N1687" i="1"/>
  <c r="P1687" i="1" s="1"/>
  <c r="N1683" i="1"/>
  <c r="P1683" i="1" s="1"/>
  <c r="N1679" i="1"/>
  <c r="P1679" i="1" s="1"/>
  <c r="N1675" i="1"/>
  <c r="P1675" i="1" s="1"/>
  <c r="N1671" i="1"/>
  <c r="P1671" i="1" s="1"/>
  <c r="N1667" i="1"/>
  <c r="P1667" i="1" s="1"/>
  <c r="N1663" i="1"/>
  <c r="P1663" i="1" s="1"/>
  <c r="N1659" i="1"/>
  <c r="P1659" i="1" s="1"/>
  <c r="N1655" i="1"/>
  <c r="P1655" i="1" s="1"/>
  <c r="N1651" i="1"/>
  <c r="P1651" i="1" s="1"/>
  <c r="N1647" i="1"/>
  <c r="P1647" i="1" s="1"/>
  <c r="N1643" i="1"/>
  <c r="P1643" i="1" s="1"/>
  <c r="N1639" i="1"/>
  <c r="P1639" i="1" s="1"/>
  <c r="N1635" i="1"/>
  <c r="P1635" i="1" s="1"/>
  <c r="N1631" i="1"/>
  <c r="P1631" i="1" s="1"/>
  <c r="N1627" i="1"/>
  <c r="P1627" i="1" s="1"/>
  <c r="N1623" i="1"/>
  <c r="P1623" i="1" s="1"/>
  <c r="N1619" i="1"/>
  <c r="P1619" i="1" s="1"/>
  <c r="N1615" i="1"/>
  <c r="P1615" i="1" s="1"/>
  <c r="G19" i="8"/>
  <c r="E9" i="4" a="1"/>
  <c r="E9" i="4" s="1"/>
  <c r="E9" i="8" a="1"/>
  <c r="E9" i="8" s="1"/>
  <c r="N266" i="1"/>
  <c r="P266" i="1" s="1"/>
  <c r="O1397" i="1"/>
  <c r="N1397" i="1"/>
  <c r="P1397" i="1" s="1"/>
  <c r="O1389" i="1"/>
  <c r="N1389" i="1"/>
  <c r="P1389" i="1" s="1"/>
  <c r="O1373" i="1"/>
  <c r="N1373" i="1"/>
  <c r="P1373" i="1" s="1"/>
  <c r="O1365" i="1"/>
  <c r="N1365" i="1"/>
  <c r="P1365" i="1" s="1"/>
  <c r="O1357" i="1"/>
  <c r="N1357" i="1"/>
  <c r="P1357" i="1" s="1"/>
  <c r="O1349" i="1"/>
  <c r="N1349" i="1"/>
  <c r="P1349" i="1" s="1"/>
  <c r="O1341" i="1"/>
  <c r="N1341" i="1"/>
  <c r="P1341" i="1" s="1"/>
  <c r="O1333" i="1"/>
  <c r="N1333" i="1"/>
  <c r="P1333" i="1" s="1"/>
  <c r="O1329" i="1"/>
  <c r="N1329" i="1"/>
  <c r="P1329" i="1" s="1"/>
  <c r="O1321" i="1"/>
  <c r="N1321" i="1"/>
  <c r="P1321" i="1" s="1"/>
  <c r="O1313" i="1"/>
  <c r="N1313" i="1"/>
  <c r="P1313" i="1" s="1"/>
  <c r="O1305" i="1"/>
  <c r="N1305" i="1"/>
  <c r="P1305" i="1" s="1"/>
  <c r="O1297" i="1"/>
  <c r="N1297" i="1"/>
  <c r="P1297" i="1" s="1"/>
  <c r="O1289" i="1"/>
  <c r="N1289" i="1"/>
  <c r="P1289" i="1" s="1"/>
  <c r="O1281" i="1"/>
  <c r="N1281" i="1"/>
  <c r="P1281" i="1" s="1"/>
  <c r="O1273" i="1"/>
  <c r="N1273" i="1"/>
  <c r="P1273" i="1" s="1"/>
  <c r="O1265" i="1"/>
  <c r="N1265" i="1"/>
  <c r="P1265" i="1" s="1"/>
  <c r="O1257" i="1"/>
  <c r="N1257" i="1"/>
  <c r="P1257" i="1" s="1"/>
  <c r="O1249" i="1"/>
  <c r="N1249" i="1"/>
  <c r="P1249" i="1" s="1"/>
  <c r="O1241" i="1"/>
  <c r="N1241" i="1"/>
  <c r="P1241" i="1" s="1"/>
  <c r="O1233" i="1"/>
  <c r="N1233" i="1"/>
  <c r="P1233" i="1" s="1"/>
  <c r="O1225" i="1"/>
  <c r="N1225" i="1"/>
  <c r="P1225" i="1" s="1"/>
  <c r="O1217" i="1"/>
  <c r="N1217" i="1"/>
  <c r="P1217" i="1" s="1"/>
  <c r="O1213" i="1"/>
  <c r="N1213" i="1"/>
  <c r="P1213" i="1" s="1"/>
  <c r="O1209" i="1"/>
  <c r="N1209" i="1"/>
  <c r="P1209" i="1" s="1"/>
  <c r="O1201" i="1"/>
  <c r="N1201" i="1"/>
  <c r="P1201" i="1" s="1"/>
  <c r="O1193" i="1"/>
  <c r="N1193" i="1"/>
  <c r="P1193" i="1" s="1"/>
  <c r="O1185" i="1"/>
  <c r="N1185" i="1"/>
  <c r="P1185" i="1" s="1"/>
  <c r="O1177" i="1"/>
  <c r="N1177" i="1"/>
  <c r="P1177" i="1" s="1"/>
  <c r="O1169" i="1"/>
  <c r="N1169" i="1"/>
  <c r="P1169" i="1" s="1"/>
  <c r="O1161" i="1"/>
  <c r="N1161" i="1"/>
  <c r="P1161" i="1" s="1"/>
  <c r="O1153" i="1"/>
  <c r="N1153" i="1"/>
  <c r="P1153" i="1" s="1"/>
  <c r="O1145" i="1"/>
  <c r="N1145" i="1"/>
  <c r="P1145" i="1" s="1"/>
  <c r="O1141" i="1"/>
  <c r="N1141" i="1"/>
  <c r="P1141" i="1" s="1"/>
  <c r="O1129" i="1"/>
  <c r="N1129" i="1"/>
  <c r="P1129" i="1" s="1"/>
  <c r="O1121" i="1"/>
  <c r="N1121" i="1"/>
  <c r="P1121" i="1" s="1"/>
  <c r="O1117" i="1"/>
  <c r="N1117" i="1"/>
  <c r="P1117" i="1" s="1"/>
  <c r="O1109" i="1"/>
  <c r="N1109" i="1"/>
  <c r="P1109" i="1" s="1"/>
  <c r="O1101" i="1"/>
  <c r="N1101" i="1"/>
  <c r="P1101" i="1" s="1"/>
  <c r="O1093" i="1"/>
  <c r="N1093" i="1"/>
  <c r="P1093" i="1" s="1"/>
  <c r="O1085" i="1"/>
  <c r="N1085" i="1"/>
  <c r="P1085" i="1" s="1"/>
  <c r="O1077" i="1"/>
  <c r="N1077" i="1"/>
  <c r="P1077" i="1" s="1"/>
  <c r="O1069" i="1"/>
  <c r="N1069" i="1"/>
  <c r="P1069" i="1" s="1"/>
  <c r="O1061" i="1"/>
  <c r="N1061" i="1"/>
  <c r="P1061" i="1" s="1"/>
  <c r="O1053" i="1"/>
  <c r="N1053" i="1"/>
  <c r="P1053" i="1" s="1"/>
  <c r="O1045" i="1"/>
  <c r="N1045" i="1"/>
  <c r="P1045" i="1" s="1"/>
  <c r="O1033" i="1"/>
  <c r="N1033" i="1"/>
  <c r="P1033" i="1" s="1"/>
  <c r="O1025" i="1"/>
  <c r="N1025" i="1"/>
  <c r="P1025" i="1" s="1"/>
  <c r="O1017" i="1"/>
  <c r="N1017" i="1"/>
  <c r="P1017" i="1" s="1"/>
  <c r="O1009" i="1"/>
  <c r="N1009" i="1"/>
  <c r="P1009" i="1" s="1"/>
  <c r="O1001" i="1"/>
  <c r="N1001" i="1"/>
  <c r="P1001" i="1" s="1"/>
  <c r="O993" i="1"/>
  <c r="N993" i="1"/>
  <c r="P993" i="1" s="1"/>
  <c r="O985" i="1"/>
  <c r="N985" i="1"/>
  <c r="P985" i="1" s="1"/>
  <c r="O977" i="1"/>
  <c r="N977" i="1"/>
  <c r="P977" i="1" s="1"/>
  <c r="O969" i="1"/>
  <c r="N969" i="1"/>
  <c r="P969" i="1" s="1"/>
  <c r="O961" i="1"/>
  <c r="N961" i="1"/>
  <c r="P961" i="1" s="1"/>
  <c r="O953" i="1"/>
  <c r="N953" i="1"/>
  <c r="P953" i="1" s="1"/>
  <c r="O945" i="1"/>
  <c r="N945" i="1"/>
  <c r="P945" i="1" s="1"/>
  <c r="O937" i="1"/>
  <c r="N937" i="1"/>
  <c r="P937" i="1" s="1"/>
  <c r="O929" i="1"/>
  <c r="N929" i="1"/>
  <c r="P929" i="1" s="1"/>
  <c r="O917" i="1"/>
  <c r="N917" i="1"/>
  <c r="P917" i="1" s="1"/>
  <c r="O909" i="1"/>
  <c r="N909" i="1"/>
  <c r="P909" i="1" s="1"/>
  <c r="O901" i="1"/>
  <c r="N901" i="1"/>
  <c r="P901" i="1" s="1"/>
  <c r="O893" i="1"/>
  <c r="N893" i="1"/>
  <c r="P893" i="1" s="1"/>
  <c r="O889" i="1"/>
  <c r="N889" i="1"/>
  <c r="P889" i="1" s="1"/>
  <c r="O881" i="1"/>
  <c r="N881" i="1"/>
  <c r="P881" i="1" s="1"/>
  <c r="O857" i="1"/>
  <c r="N857" i="1"/>
  <c r="P857" i="1" s="1"/>
  <c r="D13" i="4" a="1"/>
  <c r="D13" i="4" s="1"/>
  <c r="D13" i="8" a="1"/>
  <c r="D13" i="8" s="1"/>
  <c r="D20" i="8" s="1"/>
  <c r="O265" i="1"/>
  <c r="N1697" i="1"/>
  <c r="P1697" i="1" s="1"/>
  <c r="N1681" i="1"/>
  <c r="P1681" i="1" s="1"/>
  <c r="N1665" i="1"/>
  <c r="P1665" i="1" s="1"/>
  <c r="N1649" i="1"/>
  <c r="P1649" i="1" s="1"/>
  <c r="N1633" i="1"/>
  <c r="P1633" i="1" s="1"/>
  <c r="N1617" i="1"/>
  <c r="P1617" i="1" s="1"/>
  <c r="N1601" i="1"/>
  <c r="P1601" i="1" s="1"/>
  <c r="N1585" i="1"/>
  <c r="P1585" i="1" s="1"/>
  <c r="N1569" i="1"/>
  <c r="P1569" i="1" s="1"/>
  <c r="N1553" i="1"/>
  <c r="P1553" i="1" s="1"/>
  <c r="N1537" i="1"/>
  <c r="P1537" i="1" s="1"/>
  <c r="N1521" i="1"/>
  <c r="P1521" i="1" s="1"/>
  <c r="N1505" i="1"/>
  <c r="P1505" i="1" s="1"/>
  <c r="N1489" i="1"/>
  <c r="P1489" i="1" s="1"/>
  <c r="N1473" i="1"/>
  <c r="P1473" i="1" s="1"/>
  <c r="N1457" i="1"/>
  <c r="P1457" i="1" s="1"/>
  <c r="N1441" i="1"/>
  <c r="P1441" i="1" s="1"/>
  <c r="N1425" i="1"/>
  <c r="P1425" i="1" s="1"/>
  <c r="N1409" i="1"/>
  <c r="P1409" i="1" s="1"/>
  <c r="O1401" i="1"/>
  <c r="N1401" i="1"/>
  <c r="P1401" i="1" s="1"/>
  <c r="O1393" i="1"/>
  <c r="N1393" i="1"/>
  <c r="P1393" i="1" s="1"/>
  <c r="O1377" i="1"/>
  <c r="N1377" i="1"/>
  <c r="P1377" i="1" s="1"/>
  <c r="O1369" i="1"/>
  <c r="N1369" i="1"/>
  <c r="P1369" i="1" s="1"/>
  <c r="O1361" i="1"/>
  <c r="N1361" i="1"/>
  <c r="P1361" i="1" s="1"/>
  <c r="O1353" i="1"/>
  <c r="N1353" i="1"/>
  <c r="P1353" i="1" s="1"/>
  <c r="O1345" i="1"/>
  <c r="N1345" i="1"/>
  <c r="P1345" i="1" s="1"/>
  <c r="O1337" i="1"/>
  <c r="N1337" i="1"/>
  <c r="P1337" i="1" s="1"/>
  <c r="O1325" i="1"/>
  <c r="N1325" i="1"/>
  <c r="P1325" i="1" s="1"/>
  <c r="O1317" i="1"/>
  <c r="N1317" i="1"/>
  <c r="P1317" i="1" s="1"/>
  <c r="O1309" i="1"/>
  <c r="N1309" i="1"/>
  <c r="P1309" i="1" s="1"/>
  <c r="O1301" i="1"/>
  <c r="N1301" i="1"/>
  <c r="P1301" i="1" s="1"/>
  <c r="O1293" i="1"/>
  <c r="N1293" i="1"/>
  <c r="P1293" i="1" s="1"/>
  <c r="O1285" i="1"/>
  <c r="N1285" i="1"/>
  <c r="P1285" i="1" s="1"/>
  <c r="O1277" i="1"/>
  <c r="N1277" i="1"/>
  <c r="P1277" i="1" s="1"/>
  <c r="O1269" i="1"/>
  <c r="N1269" i="1"/>
  <c r="P1269" i="1" s="1"/>
  <c r="O1261" i="1"/>
  <c r="N1261" i="1"/>
  <c r="P1261" i="1" s="1"/>
  <c r="O1253" i="1"/>
  <c r="N1253" i="1"/>
  <c r="P1253" i="1" s="1"/>
  <c r="O1245" i="1"/>
  <c r="N1245" i="1"/>
  <c r="P1245" i="1" s="1"/>
  <c r="O1237" i="1"/>
  <c r="N1237" i="1"/>
  <c r="P1237" i="1" s="1"/>
  <c r="O1229" i="1"/>
  <c r="N1229" i="1"/>
  <c r="P1229" i="1" s="1"/>
  <c r="O1221" i="1"/>
  <c r="N1221" i="1"/>
  <c r="P1221" i="1" s="1"/>
  <c r="O1205" i="1"/>
  <c r="N1205" i="1"/>
  <c r="P1205" i="1" s="1"/>
  <c r="O1197" i="1"/>
  <c r="N1197" i="1"/>
  <c r="P1197" i="1" s="1"/>
  <c r="O1189" i="1"/>
  <c r="N1189" i="1"/>
  <c r="P1189" i="1" s="1"/>
  <c r="O1181" i="1"/>
  <c r="N1181" i="1"/>
  <c r="P1181" i="1" s="1"/>
  <c r="O1173" i="1"/>
  <c r="N1173" i="1"/>
  <c r="P1173" i="1" s="1"/>
  <c r="O1165" i="1"/>
  <c r="N1165" i="1"/>
  <c r="P1165" i="1" s="1"/>
  <c r="O1157" i="1"/>
  <c r="N1157" i="1"/>
  <c r="P1157" i="1" s="1"/>
  <c r="O1149" i="1"/>
  <c r="N1149" i="1"/>
  <c r="P1149" i="1" s="1"/>
  <c r="O1137" i="1"/>
  <c r="N1137" i="1"/>
  <c r="P1137" i="1" s="1"/>
  <c r="O1133" i="1"/>
  <c r="N1133" i="1"/>
  <c r="P1133" i="1" s="1"/>
  <c r="O1125" i="1"/>
  <c r="N1125" i="1"/>
  <c r="P1125" i="1" s="1"/>
  <c r="O1113" i="1"/>
  <c r="N1113" i="1"/>
  <c r="P1113" i="1" s="1"/>
  <c r="O1105" i="1"/>
  <c r="N1105" i="1"/>
  <c r="P1105" i="1" s="1"/>
  <c r="O1097" i="1"/>
  <c r="N1097" i="1"/>
  <c r="P1097" i="1" s="1"/>
  <c r="O1089" i="1"/>
  <c r="N1089" i="1"/>
  <c r="P1089" i="1" s="1"/>
  <c r="O1081" i="1"/>
  <c r="N1081" i="1"/>
  <c r="P1081" i="1" s="1"/>
  <c r="O1073" i="1"/>
  <c r="N1073" i="1"/>
  <c r="P1073" i="1" s="1"/>
  <c r="O1065" i="1"/>
  <c r="N1065" i="1"/>
  <c r="P1065" i="1" s="1"/>
  <c r="O1057" i="1"/>
  <c r="N1057" i="1"/>
  <c r="P1057" i="1" s="1"/>
  <c r="O1049" i="1"/>
  <c r="N1049" i="1"/>
  <c r="P1049" i="1" s="1"/>
  <c r="O1041" i="1"/>
  <c r="N1041" i="1"/>
  <c r="P1041" i="1" s="1"/>
  <c r="O1037" i="1"/>
  <c r="N1037" i="1"/>
  <c r="P1037" i="1" s="1"/>
  <c r="O1029" i="1"/>
  <c r="N1029" i="1"/>
  <c r="P1029" i="1" s="1"/>
  <c r="O1021" i="1"/>
  <c r="N1021" i="1"/>
  <c r="P1021" i="1" s="1"/>
  <c r="O1013" i="1"/>
  <c r="N1013" i="1"/>
  <c r="P1013" i="1" s="1"/>
  <c r="O1005" i="1"/>
  <c r="N1005" i="1"/>
  <c r="P1005" i="1" s="1"/>
  <c r="O997" i="1"/>
  <c r="N997" i="1"/>
  <c r="P997" i="1" s="1"/>
  <c r="O989" i="1"/>
  <c r="N989" i="1"/>
  <c r="P989" i="1" s="1"/>
  <c r="O981" i="1"/>
  <c r="N981" i="1"/>
  <c r="P981" i="1" s="1"/>
  <c r="O973" i="1"/>
  <c r="N973" i="1"/>
  <c r="P973" i="1" s="1"/>
  <c r="O965" i="1"/>
  <c r="N965" i="1"/>
  <c r="P965" i="1" s="1"/>
  <c r="O957" i="1"/>
  <c r="N957" i="1"/>
  <c r="P957" i="1" s="1"/>
  <c r="O949" i="1"/>
  <c r="N949" i="1"/>
  <c r="P949" i="1" s="1"/>
  <c r="O941" i="1"/>
  <c r="N941" i="1"/>
  <c r="P941" i="1" s="1"/>
  <c r="O933" i="1"/>
  <c r="N933" i="1"/>
  <c r="P933" i="1" s="1"/>
  <c r="O925" i="1"/>
  <c r="N925" i="1"/>
  <c r="P925" i="1" s="1"/>
  <c r="O921" i="1"/>
  <c r="N921" i="1"/>
  <c r="P921" i="1" s="1"/>
  <c r="O913" i="1"/>
  <c r="N913" i="1"/>
  <c r="P913" i="1" s="1"/>
  <c r="O905" i="1"/>
  <c r="N905" i="1"/>
  <c r="P905" i="1" s="1"/>
  <c r="O897" i="1"/>
  <c r="N897" i="1"/>
  <c r="P897" i="1" s="1"/>
  <c r="O885" i="1"/>
  <c r="N885" i="1"/>
  <c r="P885" i="1" s="1"/>
  <c r="O877" i="1"/>
  <c r="N877" i="1"/>
  <c r="P877" i="1" s="1"/>
  <c r="O873" i="1"/>
  <c r="N873" i="1"/>
  <c r="P873" i="1" s="1"/>
  <c r="N869" i="1"/>
  <c r="P869" i="1" s="1"/>
  <c r="N865" i="1"/>
  <c r="P865" i="1" s="1"/>
  <c r="N861" i="1"/>
  <c r="P861" i="1" s="1"/>
  <c r="N853" i="1"/>
  <c r="P853" i="1" s="1"/>
  <c r="N849" i="1"/>
  <c r="P849" i="1" s="1"/>
  <c r="N1709" i="1"/>
  <c r="P1709" i="1" s="1"/>
  <c r="N1693" i="1"/>
  <c r="P1693" i="1" s="1"/>
  <c r="N1677" i="1"/>
  <c r="P1677" i="1" s="1"/>
  <c r="N1661" i="1"/>
  <c r="P1661" i="1" s="1"/>
  <c r="N1645" i="1"/>
  <c r="P1645" i="1" s="1"/>
  <c r="N1629" i="1"/>
  <c r="P1629" i="1" s="1"/>
  <c r="N1613" i="1"/>
  <c r="P1613" i="1" s="1"/>
  <c r="N1597" i="1"/>
  <c r="P1597" i="1" s="1"/>
  <c r="N1581" i="1"/>
  <c r="P1581" i="1" s="1"/>
  <c r="N1565" i="1"/>
  <c r="P1565" i="1" s="1"/>
  <c r="N1549" i="1"/>
  <c r="P1549" i="1" s="1"/>
  <c r="N1533" i="1"/>
  <c r="P1533" i="1" s="1"/>
  <c r="N1517" i="1"/>
  <c r="P1517" i="1" s="1"/>
  <c r="N1501" i="1"/>
  <c r="P1501" i="1" s="1"/>
  <c r="N1485" i="1"/>
  <c r="P1485" i="1" s="1"/>
  <c r="N1469" i="1"/>
  <c r="P1469" i="1" s="1"/>
  <c r="N1453" i="1"/>
  <c r="P1453" i="1" s="1"/>
  <c r="N1437" i="1"/>
  <c r="P1437" i="1" s="1"/>
  <c r="N1421" i="1"/>
  <c r="P1421" i="1" s="1"/>
  <c r="N1405" i="1"/>
  <c r="P1405" i="1" s="1"/>
  <c r="G9" i="4" a="1"/>
  <c r="G9" i="4" s="1"/>
  <c r="G9" i="8" a="1"/>
  <c r="G9" i="8" s="1"/>
  <c r="N268" i="1"/>
  <c r="P268" i="1" s="1"/>
  <c r="N1705" i="1"/>
  <c r="P1705" i="1" s="1"/>
  <c r="N1689" i="1"/>
  <c r="P1689" i="1" s="1"/>
  <c r="N1673" i="1"/>
  <c r="P1673" i="1" s="1"/>
  <c r="N1657" i="1"/>
  <c r="P1657" i="1" s="1"/>
  <c r="N1641" i="1"/>
  <c r="P1641" i="1" s="1"/>
  <c r="N1625" i="1"/>
  <c r="P1625" i="1" s="1"/>
  <c r="N1609" i="1"/>
  <c r="P1609" i="1" s="1"/>
  <c r="N1593" i="1"/>
  <c r="P1593" i="1" s="1"/>
  <c r="N1577" i="1"/>
  <c r="P1577" i="1" s="1"/>
  <c r="N1561" i="1"/>
  <c r="P1561" i="1" s="1"/>
  <c r="N1545" i="1"/>
  <c r="P1545" i="1" s="1"/>
  <c r="N1529" i="1"/>
  <c r="P1529" i="1" s="1"/>
  <c r="N1513" i="1"/>
  <c r="P1513" i="1" s="1"/>
  <c r="N1497" i="1"/>
  <c r="P1497" i="1" s="1"/>
  <c r="N1481" i="1"/>
  <c r="P1481" i="1" s="1"/>
  <c r="N1465" i="1"/>
  <c r="P1465" i="1" s="1"/>
  <c r="N1449" i="1"/>
  <c r="P1449" i="1" s="1"/>
  <c r="N1433" i="1"/>
  <c r="P1433" i="1" s="1"/>
  <c r="N1417" i="1"/>
  <c r="P1417" i="1" s="1"/>
  <c r="F9" i="8" a="1"/>
  <c r="F9" i="8" s="1"/>
  <c r="F9" i="4" a="1"/>
  <c r="F9" i="4" s="1"/>
  <c r="N267" i="1"/>
  <c r="P267" i="1" s="1"/>
  <c r="N1701" i="1"/>
  <c r="P1701" i="1" s="1"/>
  <c r="N1685" i="1"/>
  <c r="P1685" i="1" s="1"/>
  <c r="N1669" i="1"/>
  <c r="P1669" i="1" s="1"/>
  <c r="N1653" i="1"/>
  <c r="P1653" i="1" s="1"/>
  <c r="N1637" i="1"/>
  <c r="P1637" i="1" s="1"/>
  <c r="N1621" i="1"/>
  <c r="P1621" i="1" s="1"/>
  <c r="N1605" i="1"/>
  <c r="P1605" i="1" s="1"/>
  <c r="N1589" i="1"/>
  <c r="P1589" i="1" s="1"/>
  <c r="N1573" i="1"/>
  <c r="P1573" i="1" s="1"/>
  <c r="N1557" i="1"/>
  <c r="P1557" i="1" s="1"/>
  <c r="N1541" i="1"/>
  <c r="P1541" i="1" s="1"/>
  <c r="N1525" i="1"/>
  <c r="P1525" i="1" s="1"/>
  <c r="N1509" i="1"/>
  <c r="P1509" i="1" s="1"/>
  <c r="N1493" i="1"/>
  <c r="P1493" i="1" s="1"/>
  <c r="N1477" i="1"/>
  <c r="P1477" i="1" s="1"/>
  <c r="N1461" i="1"/>
  <c r="P1461" i="1" s="1"/>
  <c r="N1445" i="1"/>
  <c r="P1445" i="1" s="1"/>
  <c r="N1429" i="1"/>
  <c r="P1429" i="1" s="1"/>
  <c r="N1413" i="1"/>
  <c r="P1413" i="1" s="1"/>
  <c r="N845" i="1"/>
  <c r="P845" i="1" s="1"/>
  <c r="N841" i="1"/>
  <c r="P841" i="1" s="1"/>
  <c r="N837" i="1"/>
  <c r="P837" i="1" s="1"/>
  <c r="N833" i="1"/>
  <c r="P833" i="1" s="1"/>
  <c r="N829" i="1"/>
  <c r="P829" i="1" s="1"/>
  <c r="N825" i="1"/>
  <c r="P825" i="1" s="1"/>
  <c r="N821" i="1"/>
  <c r="P821" i="1" s="1"/>
  <c r="N817" i="1"/>
  <c r="P817" i="1" s="1"/>
  <c r="N813" i="1"/>
  <c r="P813" i="1" s="1"/>
  <c r="N809" i="1"/>
  <c r="P809" i="1" s="1"/>
  <c r="N805" i="1"/>
  <c r="P805" i="1" s="1"/>
  <c r="N801" i="1"/>
  <c r="P801" i="1" s="1"/>
  <c r="N797" i="1"/>
  <c r="P797" i="1" s="1"/>
  <c r="N793" i="1"/>
  <c r="P793" i="1" s="1"/>
  <c r="N789" i="1"/>
  <c r="P789" i="1" s="1"/>
  <c r="N785" i="1"/>
  <c r="P785" i="1" s="1"/>
  <c r="N781" i="1"/>
  <c r="P781" i="1" s="1"/>
  <c r="N777" i="1"/>
  <c r="P777" i="1" s="1"/>
  <c r="N773" i="1"/>
  <c r="P773" i="1" s="1"/>
  <c r="N769" i="1"/>
  <c r="P769" i="1" s="1"/>
  <c r="N765" i="1"/>
  <c r="P765" i="1" s="1"/>
  <c r="N761" i="1"/>
  <c r="P761" i="1" s="1"/>
  <c r="N757" i="1"/>
  <c r="P757" i="1" s="1"/>
  <c r="N753" i="1"/>
  <c r="P753" i="1" s="1"/>
  <c r="N749" i="1"/>
  <c r="P749" i="1" s="1"/>
  <c r="N745" i="1"/>
  <c r="P745" i="1" s="1"/>
  <c r="N741" i="1"/>
  <c r="P741" i="1" s="1"/>
  <c r="N737" i="1"/>
  <c r="P737" i="1" s="1"/>
  <c r="N733" i="1"/>
  <c r="P733" i="1" s="1"/>
  <c r="N729" i="1"/>
  <c r="P729" i="1" s="1"/>
  <c r="N725" i="1"/>
  <c r="P725" i="1" s="1"/>
  <c r="N721" i="1"/>
  <c r="P721" i="1" s="1"/>
  <c r="N717" i="1"/>
  <c r="P717" i="1" s="1"/>
  <c r="N713" i="1"/>
  <c r="P713" i="1" s="1"/>
  <c r="N709" i="1"/>
  <c r="P709" i="1" s="1"/>
  <c r="N705" i="1"/>
  <c r="P705" i="1" s="1"/>
  <c r="N701" i="1"/>
  <c r="P701" i="1" s="1"/>
  <c r="N697" i="1"/>
  <c r="P697" i="1" s="1"/>
  <c r="N693" i="1"/>
  <c r="P693" i="1" s="1"/>
  <c r="N689" i="1"/>
  <c r="P689" i="1" s="1"/>
  <c r="N685" i="1"/>
  <c r="P685" i="1" s="1"/>
  <c r="N681" i="1"/>
  <c r="P681" i="1" s="1"/>
  <c r="N677" i="1"/>
  <c r="P677" i="1" s="1"/>
  <c r="N673" i="1"/>
  <c r="P673" i="1" s="1"/>
  <c r="N669" i="1"/>
  <c r="P669" i="1" s="1"/>
  <c r="N665" i="1"/>
  <c r="P665" i="1" s="1"/>
  <c r="N661" i="1"/>
  <c r="P661" i="1" s="1"/>
  <c r="N657" i="1"/>
  <c r="P657" i="1" s="1"/>
  <c r="N653" i="1"/>
  <c r="P653" i="1" s="1"/>
  <c r="N649" i="1"/>
  <c r="P649" i="1" s="1"/>
  <c r="N645" i="1"/>
  <c r="P645" i="1" s="1"/>
  <c r="N641" i="1"/>
  <c r="P641" i="1" s="1"/>
  <c r="N637" i="1"/>
  <c r="P637" i="1" s="1"/>
  <c r="N633" i="1"/>
  <c r="P633" i="1" s="1"/>
  <c r="N629" i="1"/>
  <c r="P629" i="1" s="1"/>
  <c r="N625" i="1"/>
  <c r="P625" i="1" s="1"/>
  <c r="N621" i="1"/>
  <c r="P621" i="1" s="1"/>
  <c r="N617" i="1"/>
  <c r="P617" i="1" s="1"/>
  <c r="N613" i="1"/>
  <c r="P613" i="1" s="1"/>
  <c r="N609" i="1"/>
  <c r="P609" i="1" s="1"/>
  <c r="N605" i="1"/>
  <c r="P605" i="1" s="1"/>
  <c r="N601" i="1"/>
  <c r="P601" i="1" s="1"/>
  <c r="N597" i="1"/>
  <c r="P597" i="1" s="1"/>
  <c r="N593" i="1"/>
  <c r="P593" i="1" s="1"/>
  <c r="N589" i="1"/>
  <c r="P589" i="1" s="1"/>
  <c r="N585" i="1"/>
  <c r="P585" i="1" s="1"/>
  <c r="N581" i="1"/>
  <c r="P581" i="1" s="1"/>
  <c r="N577" i="1"/>
  <c r="P577" i="1" s="1"/>
  <c r="N573" i="1"/>
  <c r="P573" i="1" s="1"/>
  <c r="N569" i="1"/>
  <c r="P569" i="1" s="1"/>
  <c r="N565" i="1"/>
  <c r="P565" i="1" s="1"/>
  <c r="N561" i="1"/>
  <c r="P561" i="1" s="1"/>
  <c r="N557" i="1"/>
  <c r="P557" i="1" s="1"/>
  <c r="N553" i="1"/>
  <c r="P553" i="1" s="1"/>
  <c r="N549" i="1"/>
  <c r="P549" i="1" s="1"/>
  <c r="N545" i="1"/>
  <c r="P545" i="1" s="1"/>
  <c r="N541" i="1"/>
  <c r="P541" i="1" s="1"/>
  <c r="N537" i="1"/>
  <c r="P537" i="1" s="1"/>
  <c r="N533" i="1"/>
  <c r="P533" i="1" s="1"/>
  <c r="N529" i="1"/>
  <c r="P529" i="1" s="1"/>
  <c r="N525" i="1"/>
  <c r="P525" i="1" s="1"/>
  <c r="N521" i="1"/>
  <c r="P521" i="1" s="1"/>
  <c r="N517" i="1"/>
  <c r="P517" i="1" s="1"/>
  <c r="N513" i="1"/>
  <c r="P513" i="1" s="1"/>
  <c r="N509" i="1"/>
  <c r="P509" i="1" s="1"/>
  <c r="N505" i="1"/>
  <c r="P505" i="1" s="1"/>
  <c r="N501" i="1"/>
  <c r="P501" i="1" s="1"/>
  <c r="N497" i="1"/>
  <c r="P497" i="1" s="1"/>
  <c r="N493" i="1"/>
  <c r="P493" i="1" s="1"/>
  <c r="N489" i="1"/>
  <c r="P489" i="1" s="1"/>
  <c r="N485" i="1"/>
  <c r="P485" i="1" s="1"/>
  <c r="N481" i="1"/>
  <c r="P481" i="1" s="1"/>
  <c r="N477" i="1"/>
  <c r="P477" i="1" s="1"/>
  <c r="N473" i="1"/>
  <c r="P473" i="1" s="1"/>
  <c r="N469" i="1"/>
  <c r="P469" i="1" s="1"/>
  <c r="N465" i="1"/>
  <c r="P465" i="1" s="1"/>
  <c r="N461" i="1"/>
  <c r="P461" i="1" s="1"/>
  <c r="N457" i="1"/>
  <c r="P457" i="1" s="1"/>
  <c r="N453" i="1"/>
  <c r="P453" i="1" s="1"/>
  <c r="N449" i="1"/>
  <c r="P449" i="1" s="1"/>
  <c r="N445" i="1"/>
  <c r="P445" i="1" s="1"/>
  <c r="N441" i="1"/>
  <c r="P441" i="1" s="1"/>
  <c r="N437" i="1"/>
  <c r="P437" i="1" s="1"/>
  <c r="N433" i="1"/>
  <c r="P433" i="1" s="1"/>
  <c r="N429" i="1"/>
  <c r="P429" i="1" s="1"/>
  <c r="N425" i="1"/>
  <c r="P425" i="1" s="1"/>
  <c r="N421" i="1"/>
  <c r="P421" i="1" s="1"/>
  <c r="N417" i="1"/>
  <c r="P417" i="1" s="1"/>
  <c r="N413" i="1"/>
  <c r="P413" i="1" s="1"/>
  <c r="N409" i="1"/>
  <c r="P409" i="1" s="1"/>
  <c r="N405" i="1"/>
  <c r="P405" i="1" s="1"/>
  <c r="N401" i="1"/>
  <c r="P401" i="1" s="1"/>
  <c r="N397" i="1"/>
  <c r="P397" i="1" s="1"/>
  <c r="N393" i="1"/>
  <c r="P393" i="1" s="1"/>
  <c r="N389" i="1"/>
  <c r="P389" i="1" s="1"/>
  <c r="N385" i="1"/>
  <c r="P385" i="1" s="1"/>
  <c r="N381" i="1"/>
  <c r="P381" i="1" s="1"/>
  <c r="N377" i="1"/>
  <c r="P377" i="1" s="1"/>
  <c r="N373" i="1"/>
  <c r="P373" i="1" s="1"/>
  <c r="N369" i="1"/>
  <c r="P369" i="1" s="1"/>
  <c r="N365" i="1"/>
  <c r="P365" i="1" s="1"/>
  <c r="N361" i="1"/>
  <c r="P361" i="1" s="1"/>
  <c r="N357" i="1"/>
  <c r="P357" i="1" s="1"/>
  <c r="N353" i="1"/>
  <c r="P353" i="1" s="1"/>
  <c r="N349" i="1"/>
  <c r="P349" i="1" s="1"/>
  <c r="N345" i="1"/>
  <c r="P345" i="1" s="1"/>
  <c r="N341" i="1"/>
  <c r="P341" i="1" s="1"/>
  <c r="N337" i="1"/>
  <c r="P337" i="1" s="1"/>
  <c r="N333" i="1"/>
  <c r="P333" i="1" s="1"/>
  <c r="N329" i="1"/>
  <c r="P329" i="1" s="1"/>
  <c r="N325" i="1"/>
  <c r="P325" i="1" s="1"/>
  <c r="N321" i="1"/>
  <c r="P321" i="1" s="1"/>
  <c r="N317" i="1"/>
  <c r="P317" i="1" s="1"/>
  <c r="N313" i="1"/>
  <c r="P313" i="1" s="1"/>
  <c r="N309" i="1"/>
  <c r="P309" i="1" s="1"/>
  <c r="N305" i="1"/>
  <c r="P305" i="1" s="1"/>
  <c r="N301" i="1"/>
  <c r="P301" i="1" s="1"/>
  <c r="N297" i="1"/>
  <c r="P297" i="1" s="1"/>
  <c r="N293" i="1"/>
  <c r="P293" i="1" s="1"/>
  <c r="N289" i="1"/>
  <c r="P289" i="1" s="1"/>
  <c r="N285" i="1"/>
  <c r="P285" i="1" s="1"/>
  <c r="N281" i="1"/>
  <c r="P281" i="1" s="1"/>
  <c r="N277" i="1"/>
  <c r="P277" i="1" s="1"/>
  <c r="N273" i="1"/>
  <c r="P273" i="1" s="1"/>
  <c r="N269" i="1"/>
  <c r="P269" i="1" s="1"/>
  <c r="D9" i="8" a="1"/>
  <c r="D9" i="8" s="1"/>
  <c r="D9" i="4" a="1"/>
  <c r="D9" i="4" s="1"/>
  <c r="N265" i="1"/>
  <c r="P265" i="1" s="1"/>
  <c r="N261" i="1"/>
  <c r="P261" i="1" s="1"/>
  <c r="N257" i="1"/>
  <c r="P257" i="1" s="1"/>
  <c r="N253" i="1"/>
  <c r="P253" i="1" s="1"/>
  <c r="N249" i="1"/>
  <c r="P249" i="1" s="1"/>
  <c r="N245" i="1"/>
  <c r="P245" i="1" s="1"/>
  <c r="N241" i="1"/>
  <c r="P241" i="1" s="1"/>
  <c r="N237" i="1"/>
  <c r="P237" i="1" s="1"/>
  <c r="N233" i="1"/>
  <c r="P233" i="1" s="1"/>
  <c r="N229" i="1"/>
  <c r="P229" i="1" s="1"/>
  <c r="N225" i="1"/>
  <c r="P225" i="1" s="1"/>
  <c r="N221" i="1"/>
  <c r="P221" i="1" s="1"/>
  <c r="N217" i="1"/>
  <c r="P217" i="1" s="1"/>
  <c r="N213" i="1"/>
  <c r="P213" i="1" s="1"/>
  <c r="N209" i="1"/>
  <c r="P209" i="1" s="1"/>
  <c r="N205" i="1"/>
  <c r="P205" i="1" s="1"/>
  <c r="N201" i="1"/>
  <c r="P201" i="1" s="1"/>
  <c r="N197" i="1"/>
  <c r="P197" i="1" s="1"/>
  <c r="N193" i="1"/>
  <c r="P193" i="1" s="1"/>
  <c r="N189" i="1"/>
  <c r="P189" i="1" s="1"/>
  <c r="N185" i="1"/>
  <c r="P185" i="1" s="1"/>
  <c r="N181" i="1"/>
  <c r="P181" i="1" s="1"/>
  <c r="N177" i="1"/>
  <c r="P177" i="1" s="1"/>
  <c r="N173" i="1"/>
  <c r="P173" i="1" s="1"/>
  <c r="N169" i="1"/>
  <c r="P169" i="1" s="1"/>
  <c r="N165" i="1"/>
  <c r="P165" i="1" s="1"/>
  <c r="N161" i="1"/>
  <c r="P161" i="1" s="1"/>
  <c r="N157" i="1"/>
  <c r="P157" i="1" s="1"/>
  <c r="N153" i="1"/>
  <c r="P153" i="1" s="1"/>
  <c r="N149" i="1"/>
  <c r="P149" i="1" s="1"/>
  <c r="N145" i="1"/>
  <c r="P145" i="1" s="1"/>
  <c r="N141" i="1"/>
  <c r="P141" i="1" s="1"/>
  <c r="N137" i="1"/>
  <c r="P137" i="1" s="1"/>
  <c r="N133" i="1"/>
  <c r="P133" i="1" s="1"/>
  <c r="N129" i="1"/>
  <c r="P129" i="1" s="1"/>
  <c r="N125" i="1"/>
  <c r="P125" i="1" s="1"/>
  <c r="N121" i="1"/>
  <c r="P121" i="1" s="1"/>
  <c r="N117" i="1"/>
  <c r="P117" i="1" s="1"/>
  <c r="N113" i="1"/>
  <c r="P113" i="1" s="1"/>
  <c r="N109" i="1"/>
  <c r="P109" i="1" s="1"/>
  <c r="N105" i="1"/>
  <c r="P105" i="1" s="1"/>
  <c r="N101" i="1"/>
  <c r="P101" i="1" s="1"/>
  <c r="N97" i="1"/>
  <c r="P97" i="1" s="1"/>
  <c r="N93" i="1"/>
  <c r="P93" i="1" s="1"/>
  <c r="N89" i="1"/>
  <c r="P89" i="1" s="1"/>
  <c r="N85" i="1"/>
  <c r="P85" i="1" s="1"/>
  <c r="G13" i="4" a="1"/>
  <c r="G13" i="4" s="1"/>
  <c r="G13" i="8" a="1"/>
  <c r="G13" i="8" s="1"/>
  <c r="G20" i="8" s="1"/>
  <c r="O268" i="1"/>
  <c r="F13" i="8" a="1"/>
  <c r="F13" i="8" s="1"/>
  <c r="F20" i="8" s="1"/>
  <c r="F13" i="4" a="1"/>
  <c r="F13" i="4" s="1"/>
  <c r="O267" i="1"/>
  <c r="E13" i="8" a="1"/>
  <c r="E13" i="8" s="1"/>
  <c r="E20" i="8" s="1"/>
  <c r="E13" i="4" a="1"/>
  <c r="E13" i="4" s="1"/>
  <c r="O266" i="1"/>
  <c r="H29" i="8"/>
  <c r="E14" i="4" l="1"/>
  <c r="D21" i="8"/>
  <c r="D14" i="8"/>
  <c r="D14" i="4"/>
  <c r="G14" i="8"/>
  <c r="G21" i="8"/>
  <c r="G14" i="4"/>
  <c r="H34" i="8"/>
  <c r="H19" i="8"/>
  <c r="H7" i="8" s="1"/>
  <c r="H30" i="8"/>
  <c r="I30" i="8" s="1"/>
  <c r="H28" i="8"/>
  <c r="I28" i="8" s="1"/>
  <c r="I29" i="8"/>
  <c r="I19" i="8" s="1"/>
  <c r="F14" i="4"/>
  <c r="E14" i="8"/>
  <c r="E21" i="8"/>
  <c r="F14" i="8"/>
  <c r="F21" i="8"/>
  <c r="H39" i="8" l="1"/>
  <c r="H38" i="8" s="1"/>
  <c r="I38" i="8" s="1"/>
  <c r="H21" i="8"/>
  <c r="H14" i="8" s="1"/>
  <c r="I39" i="8"/>
  <c r="I21" i="8" s="1"/>
  <c r="H40" i="8"/>
  <c r="I40" i="8" s="1"/>
  <c r="I7" i="8"/>
  <c r="H35" i="8"/>
  <c r="I35" i="8" s="1"/>
  <c r="H33" i="8"/>
  <c r="I33" i="8" s="1"/>
  <c r="H20" i="8"/>
  <c r="H9" i="8" s="1"/>
  <c r="I34" i="8"/>
  <c r="I20" i="8" s="1"/>
  <c r="I9" i="8" l="1"/>
  <c r="I14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<sst xmlns="http://schemas.openxmlformats.org/spreadsheetml/2006/main" count="11597" uniqueCount="784">
  <si>
    <t>Ticker Symbol</t>
  </si>
  <si>
    <t>Years</t>
  </si>
  <si>
    <t>Period Ending</t>
  </si>
  <si>
    <t xml:space="preserve"> Total Revenue </t>
  </si>
  <si>
    <t xml:space="preserve"> Cost of Goods Sold </t>
  </si>
  <si>
    <t xml:space="preserve"> Sales, General and Admin. </t>
  </si>
  <si>
    <t xml:space="preserve"> Research and Development </t>
  </si>
  <si>
    <t xml:space="preserve"> Other Operating Items </t>
  </si>
  <si>
    <t>GICS Sector</t>
  </si>
  <si>
    <t>GICS Sub Industry</t>
  </si>
  <si>
    <t>AAL</t>
  </si>
  <si>
    <t>Year 1</t>
  </si>
  <si>
    <t>12/31/2012</t>
  </si>
  <si>
    <t xml:space="preserve"> $-   </t>
  </si>
  <si>
    <t>Industrials</t>
  </si>
  <si>
    <t>Airlines</t>
  </si>
  <si>
    <t>Year 2</t>
  </si>
  <si>
    <t>12/31/2013</t>
  </si>
  <si>
    <t>Year 3</t>
  </si>
  <si>
    <t>12/31/2014</t>
  </si>
  <si>
    <t>Year 4</t>
  </si>
  <si>
    <t>12/31/2015</t>
  </si>
  <si>
    <t>AAP</t>
  </si>
  <si>
    <t>12/29/2012</t>
  </si>
  <si>
    <t>Consumer Discretionary</t>
  </si>
  <si>
    <t>Automotive Retail</t>
  </si>
  <si>
    <t>12/28/2013</t>
  </si>
  <si>
    <t>1/3/2015</t>
  </si>
  <si>
    <t>1/2/2016</t>
  </si>
  <si>
    <t>AAPL</t>
  </si>
  <si>
    <t>9/28/2013</t>
  </si>
  <si>
    <t>Information Technology</t>
  </si>
  <si>
    <t>Computer Hardware</t>
  </si>
  <si>
    <t>9/27/2014</t>
  </si>
  <si>
    <t>9/26/2015</t>
  </si>
  <si>
    <t>9/24/2016</t>
  </si>
  <si>
    <t>ABBV</t>
  </si>
  <si>
    <t>Health Care</t>
  </si>
  <si>
    <t>Pharmaceuticals</t>
  </si>
  <si>
    <t>ABC</t>
  </si>
  <si>
    <t>9/30/2013</t>
  </si>
  <si>
    <t>Health Care Distributors</t>
  </si>
  <si>
    <t>9/30/2014</t>
  </si>
  <si>
    <t>9/30/2015</t>
  </si>
  <si>
    <t>9/30/2016</t>
  </si>
  <si>
    <t>ABT</t>
  </si>
  <si>
    <t>Health Care Equipment</t>
  </si>
  <si>
    <t>ADBE</t>
  </si>
  <si>
    <t>11/29/2013</t>
  </si>
  <si>
    <t>Application Software</t>
  </si>
  <si>
    <t>11/28/2014</t>
  </si>
  <si>
    <t>11/27/2015</t>
  </si>
  <si>
    <t>12/2/2016</t>
  </si>
  <si>
    <t>ADI</t>
  </si>
  <si>
    <t>11/2/2013</t>
  </si>
  <si>
    <t>Semiconductors</t>
  </si>
  <si>
    <t>11/1/2014</t>
  </si>
  <si>
    <t>10/31/2015</t>
  </si>
  <si>
    <t>10/29/2016</t>
  </si>
  <si>
    <t>ADM</t>
  </si>
  <si>
    <t>Consumer Staples</t>
  </si>
  <si>
    <t>Agricultural Products</t>
  </si>
  <si>
    <t>ADS</t>
  </si>
  <si>
    <t>Data Processing &amp; Outsourced Services</t>
  </si>
  <si>
    <t>ADSK</t>
  </si>
  <si>
    <t>1/31/2013</t>
  </si>
  <si>
    <t>1/31/2014</t>
  </si>
  <si>
    <t>1/31/2015</t>
  </si>
  <si>
    <t>1/31/2016</t>
  </si>
  <si>
    <t>AEE</t>
  </si>
  <si>
    <t>Utilities</t>
  </si>
  <si>
    <t>MultiUtilities</t>
  </si>
  <si>
    <t>AEP</t>
  </si>
  <si>
    <t>Electric Utilities</t>
  </si>
  <si>
    <t>AFL</t>
  </si>
  <si>
    <t>Financials</t>
  </si>
  <si>
    <t>Life &amp; Health Insurance</t>
  </si>
  <si>
    <t>AIG</t>
  </si>
  <si>
    <t>Property &amp; Casualty Insurance</t>
  </si>
  <si>
    <t>AIV</t>
  </si>
  <si>
    <t>Real Estate</t>
  </si>
  <si>
    <t>REITs</t>
  </si>
  <si>
    <t>AIZ</t>
  </si>
  <si>
    <t>Multi-line Insurance</t>
  </si>
  <si>
    <t>12/31/2016</t>
  </si>
  <si>
    <t>AKAM</t>
  </si>
  <si>
    <t>Internet Software &amp; Services</t>
  </si>
  <si>
    <t>ALB</t>
  </si>
  <si>
    <t>Materials</t>
  </si>
  <si>
    <t>Specialty Chemicals</t>
  </si>
  <si>
    <t>ALK</t>
  </si>
  <si>
    <t>ALL</t>
  </si>
  <si>
    <t>ALLE</t>
  </si>
  <si>
    <t>Building Products</t>
  </si>
  <si>
    <t>ALXN</t>
  </si>
  <si>
    <t>Biotechnology</t>
  </si>
  <si>
    <t>AMAT</t>
  </si>
  <si>
    <t>10/27/2013</t>
  </si>
  <si>
    <t>Semiconductor Equipment</t>
  </si>
  <si>
    <t>10/26/2014</t>
  </si>
  <si>
    <t>10/25/2015</t>
  </si>
  <si>
    <t>10/30/2016</t>
  </si>
  <si>
    <t>AME</t>
  </si>
  <si>
    <t>Electrical Components &amp; Equipment</t>
  </si>
  <si>
    <t>AMGN</t>
  </si>
  <si>
    <t>AMP</t>
  </si>
  <si>
    <t>Asset Management &amp; Custody Banks</t>
  </si>
  <si>
    <t>AMT</t>
  </si>
  <si>
    <t>Specialized REITs</t>
  </si>
  <si>
    <t>AMZN</t>
  </si>
  <si>
    <t>Internet &amp; Direct Marketing Retail</t>
  </si>
  <si>
    <t>AN</t>
  </si>
  <si>
    <t>Specialty Stores</t>
  </si>
  <si>
    <t>ANTM</t>
  </si>
  <si>
    <t>Managed Health Care</t>
  </si>
  <si>
    <t>APA</t>
  </si>
  <si>
    <t>Energy</t>
  </si>
  <si>
    <t>Oil &amp; Gas Exploration &amp; Production</t>
  </si>
  <si>
    <t>APC</t>
  </si>
  <si>
    <t>APD</t>
  </si>
  <si>
    <t>Industrial Gases</t>
  </si>
  <si>
    <t>APH</t>
  </si>
  <si>
    <t>Electronic Components</t>
  </si>
  <si>
    <t>ARNC</t>
  </si>
  <si>
    <t>Aerospace &amp; Defense</t>
  </si>
  <si>
    <t>ATVI</t>
  </si>
  <si>
    <t>Home Entertainment Software</t>
  </si>
  <si>
    <t>AVGO</t>
  </si>
  <si>
    <t>11/1/2015</t>
  </si>
  <si>
    <t>AVY</t>
  </si>
  <si>
    <t>Paper Packaging</t>
  </si>
  <si>
    <t>AWK</t>
  </si>
  <si>
    <t>Water Utilities</t>
  </si>
  <si>
    <t>AXP</t>
  </si>
  <si>
    <t>Consumer Finance</t>
  </si>
  <si>
    <t>AYI</t>
  </si>
  <si>
    <t>8/31/2013</t>
  </si>
  <si>
    <t>8/31/2014</t>
  </si>
  <si>
    <t>8/31/2015</t>
  </si>
  <si>
    <t>8/31/2016</t>
  </si>
  <si>
    <t>AZO</t>
  </si>
  <si>
    <t>8/30/2014</t>
  </si>
  <si>
    <t>8/29/2015</t>
  </si>
  <si>
    <t>8/27/2016</t>
  </si>
  <si>
    <t>BA</t>
  </si>
  <si>
    <t>BAC</t>
  </si>
  <si>
    <t>Banks</t>
  </si>
  <si>
    <t>BAX</t>
  </si>
  <si>
    <t>BBBY</t>
  </si>
  <si>
    <t>3/2/2013</t>
  </si>
  <si>
    <t>3/1/2014</t>
  </si>
  <si>
    <t>2/28/2015</t>
  </si>
  <si>
    <t>2/27/2016</t>
  </si>
  <si>
    <t>BBT</t>
  </si>
  <si>
    <t>BBY</t>
  </si>
  <si>
    <t>3/3/2012</t>
  </si>
  <si>
    <t>Computer &amp; Electronics Retail</t>
  </si>
  <si>
    <t>2/1/2014</t>
  </si>
  <si>
    <t>1/30/2016</t>
  </si>
  <si>
    <t>BCR</t>
  </si>
  <si>
    <t>BDX</t>
  </si>
  <si>
    <t>BHI</t>
  </si>
  <si>
    <t>Oil &amp; Gas Equipment &amp; Services</t>
  </si>
  <si>
    <t>BIIB</t>
  </si>
  <si>
    <t>BLL</t>
  </si>
  <si>
    <t>Metal &amp; Glass Containers</t>
  </si>
  <si>
    <t>BMY</t>
  </si>
  <si>
    <t>BSX</t>
  </si>
  <si>
    <t>BWA</t>
  </si>
  <si>
    <t>Auto Parts &amp; Equipment</t>
  </si>
  <si>
    <t>BXP</t>
  </si>
  <si>
    <t>CAG</t>
  </si>
  <si>
    <t>5/26/2013</t>
  </si>
  <si>
    <t>Packaged Foods &amp; Meats</t>
  </si>
  <si>
    <t>5/25/2014</t>
  </si>
  <si>
    <t>5/31/2015</t>
  </si>
  <si>
    <t>5/29/2016</t>
  </si>
  <si>
    <t>CAH</t>
  </si>
  <si>
    <t>6/30/2013</t>
  </si>
  <si>
    <t>6/30/2014</t>
  </si>
  <si>
    <t>6/30/2015</t>
  </si>
  <si>
    <t>6/30/2016</t>
  </si>
  <si>
    <t>CAT</t>
  </si>
  <si>
    <t>Construction &amp; Farm Machinery &amp; Heavy Trucks</t>
  </si>
  <si>
    <t>CB</t>
  </si>
  <si>
    <t>CBG</t>
  </si>
  <si>
    <t>Real Estate Services</t>
  </si>
  <si>
    <t>CCI</t>
  </si>
  <si>
    <t>CCL</t>
  </si>
  <si>
    <t>11/30/2013</t>
  </si>
  <si>
    <t>Hotels, Resorts &amp; Cruise Lines</t>
  </si>
  <si>
    <t>11/30/2014</t>
  </si>
  <si>
    <t>11/30/2015</t>
  </si>
  <si>
    <t>11/30/2016</t>
  </si>
  <si>
    <t>CELG</t>
  </si>
  <si>
    <t>CERN</t>
  </si>
  <si>
    <t>Health Care Technology</t>
  </si>
  <si>
    <t>CF</t>
  </si>
  <si>
    <t>Fertilizers &amp; Agricultural Chemicals</t>
  </si>
  <si>
    <t>CFG</t>
  </si>
  <si>
    <t>Regional Banks</t>
  </si>
  <si>
    <t>CHD</t>
  </si>
  <si>
    <t>Household Products</t>
  </si>
  <si>
    <t>CHK</t>
  </si>
  <si>
    <t>Integrated Oil &amp; Gas</t>
  </si>
  <si>
    <t>CHRW</t>
  </si>
  <si>
    <t>Air Freight &amp; Logistics</t>
  </si>
  <si>
    <t>CHTR</t>
  </si>
  <si>
    <t>Cable &amp; Satellite</t>
  </si>
  <si>
    <t>CI</t>
  </si>
  <si>
    <t>CINF</t>
  </si>
  <si>
    <t>CL</t>
  </si>
  <si>
    <t>CLX</t>
  </si>
  <si>
    <t>CMA</t>
  </si>
  <si>
    <t>CMG</t>
  </si>
  <si>
    <t>Restaurants</t>
  </si>
  <si>
    <t>CMI</t>
  </si>
  <si>
    <t>Industrial Machinery</t>
  </si>
  <si>
    <t>CMS</t>
  </si>
  <si>
    <t>CNC</t>
  </si>
  <si>
    <t>CNP</t>
  </si>
  <si>
    <t>COF</t>
  </si>
  <si>
    <t>COG</t>
  </si>
  <si>
    <t>COL</t>
  </si>
  <si>
    <t>Industrial Conglomerates</t>
  </si>
  <si>
    <t>COO</t>
  </si>
  <si>
    <t>10/31/2013</t>
  </si>
  <si>
    <t>Health Care Supplies</t>
  </si>
  <si>
    <t>10/31/2014</t>
  </si>
  <si>
    <t>10/31/2016</t>
  </si>
  <si>
    <t>COST</t>
  </si>
  <si>
    <t>9/1/2013</t>
  </si>
  <si>
    <t>Hypermarkets &amp; Super Centers</t>
  </si>
  <si>
    <t>8/30/2015</t>
  </si>
  <si>
    <t>8/28/2016</t>
  </si>
  <si>
    <t>COTY</t>
  </si>
  <si>
    <t>6/30/2003</t>
  </si>
  <si>
    <t>Personal Products</t>
  </si>
  <si>
    <t>6/30/2004</t>
  </si>
  <si>
    <t>2/28/2006</t>
  </si>
  <si>
    <t>2/28/2007</t>
  </si>
  <si>
    <t>CPB</t>
  </si>
  <si>
    <t>7/28/2013</t>
  </si>
  <si>
    <t>8/3/2014</t>
  </si>
  <si>
    <t>8/2/2015</t>
  </si>
  <si>
    <t>7/31/2016</t>
  </si>
  <si>
    <t>CRM</t>
  </si>
  <si>
    <t>CSCO</t>
  </si>
  <si>
    <t>7/27/2013</t>
  </si>
  <si>
    <t>Networking Equipment</t>
  </si>
  <si>
    <t>7/26/2014</t>
  </si>
  <si>
    <t>7/25/2015</t>
  </si>
  <si>
    <t>7/30/2016</t>
  </si>
  <si>
    <t>CSRA</t>
  </si>
  <si>
    <t>4/3/2015</t>
  </si>
  <si>
    <t>IT Consulting &amp; Other Services</t>
  </si>
  <si>
    <t>4/1/2016</t>
  </si>
  <si>
    <t>CSX</t>
  </si>
  <si>
    <t>Railroads</t>
  </si>
  <si>
    <t>12/26/2014</t>
  </si>
  <si>
    <t>12/25/2015</t>
  </si>
  <si>
    <t>12/30/2016</t>
  </si>
  <si>
    <t>CTAS</t>
  </si>
  <si>
    <t>5/31/2013</t>
  </si>
  <si>
    <t>Diversified Support Services</t>
  </si>
  <si>
    <t>5/31/2014</t>
  </si>
  <si>
    <t>5/31/2016</t>
  </si>
  <si>
    <t>CTL</t>
  </si>
  <si>
    <t>Telecommunications Services</t>
  </si>
  <si>
    <t>Integrated Telecommunications Services</t>
  </si>
  <si>
    <t>CTSH</t>
  </si>
  <si>
    <t>CTXS</t>
  </si>
  <si>
    <t>CVS</t>
  </si>
  <si>
    <t>Drug Retail</t>
  </si>
  <si>
    <t>CVX</t>
  </si>
  <si>
    <t>CXO</t>
  </si>
  <si>
    <t>D</t>
  </si>
  <si>
    <t>DAL</t>
  </si>
  <si>
    <t>DD</t>
  </si>
  <si>
    <t>Diversified Chemicals</t>
  </si>
  <si>
    <t>DE</t>
  </si>
  <si>
    <t>DFS</t>
  </si>
  <si>
    <t>11/30/2012</t>
  </si>
  <si>
    <t>DG</t>
  </si>
  <si>
    <t>2/1/2013</t>
  </si>
  <si>
    <t>General Merchandise Stores</t>
  </si>
  <si>
    <t>1/30/2015</t>
  </si>
  <si>
    <t>1/29/2016</t>
  </si>
  <si>
    <t>DGX</t>
  </si>
  <si>
    <t>Health Care Facilities</t>
  </si>
  <si>
    <t>DHI</t>
  </si>
  <si>
    <t>Homebuilding</t>
  </si>
  <si>
    <t>DHR</t>
  </si>
  <si>
    <t>DIS</t>
  </si>
  <si>
    <t>Broadcasting &amp; Cable TV</t>
  </si>
  <si>
    <t>10/3/2015</t>
  </si>
  <si>
    <t>10/1/2016</t>
  </si>
  <si>
    <t>DISCA</t>
  </si>
  <si>
    <t>DISCK</t>
  </si>
  <si>
    <t>DLPH</t>
  </si>
  <si>
    <t>DLR</t>
  </si>
  <si>
    <t>DLTR</t>
  </si>
  <si>
    <t>2/2/2013</t>
  </si>
  <si>
    <t>DNB</t>
  </si>
  <si>
    <t>Research &amp; Consulting Services</t>
  </si>
  <si>
    <t>DOV</t>
  </si>
  <si>
    <t>DPS</t>
  </si>
  <si>
    <t>Soft Drinks</t>
  </si>
  <si>
    <t>DRI</t>
  </si>
  <si>
    <t>DUK</t>
  </si>
  <si>
    <t>DVA</t>
  </si>
  <si>
    <t>DVN</t>
  </si>
  <si>
    <t>EA</t>
  </si>
  <si>
    <t>3/31/2013</t>
  </si>
  <si>
    <t>3/31/2014</t>
  </si>
  <si>
    <t>3/31/2015</t>
  </si>
  <si>
    <t>3/31/2016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</si>
  <si>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</si>
  <si>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</si>
  <si>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</si>
  <si>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</si>
  <si>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</si>
  <si>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</si>
  <si>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</si>
  <si>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</si>
  <si>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</si>
  <si>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</si>
  <si>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</si>
  <si>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</si>
  <si>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</si>
  <si>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</si>
  <si>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Residential REITs</t>
  </si>
  <si>
    <t>ETFC</t>
  </si>
  <si>
    <t>Investment Banking &amp; Brokerage</t>
  </si>
  <si>
    <t>ETN</t>
  </si>
  <si>
    <t>ETR</t>
  </si>
  <si>
    <t>EW</t>
  </si>
  <si>
    <t>EXC</t>
  </si>
  <si>
    <t>EXPD</t>
  </si>
  <si>
    <t>EXPE</t>
  </si>
  <si>
    <t>EXR</t>
  </si>
  <si>
    <t>F</t>
  </si>
  <si>
    <t>Automobile Manufacturers</t>
  </si>
  <si>
    <t>FAST</t>
  </si>
  <si>
    <t>FB</t>
  </si>
  <si>
    <t>FBHS</t>
  </si>
  <si>
    <t>FCX</t>
  </si>
  <si>
    <t>Copper</t>
  </si>
  <si>
    <t>FDX</t>
  </si>
  <si>
    <t>FE</t>
  </si>
  <si>
    <t>FFIV</t>
  </si>
  <si>
    <t>FIS</t>
  </si>
  <si>
    <t>FISV</t>
  </si>
  <si>
    <t>FL</t>
  </si>
  <si>
    <t>Apparel Retail</t>
  </si>
  <si>
    <t>FLIR</t>
  </si>
  <si>
    <t>Electronic Equipment &amp; Instruments</t>
  </si>
  <si>
    <t>FLR</t>
  </si>
  <si>
    <t>Diversified Commercial Services</t>
  </si>
  <si>
    <t>FLS</t>
  </si>
  <si>
    <t>FMC</t>
  </si>
  <si>
    <t>FRT</t>
  </si>
  <si>
    <t>Retail REITs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</si>
  <si>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</si>
  <si>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</si>
  <si>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</si>
  <si>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</si>
  <si>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</si>
  <si>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</si>
  <si>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</si>
  <si>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</si>
  <si>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</si>
  <si>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</si>
  <si>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</si>
  <si>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</si>
  <si>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Consumer Electronics</t>
  </si>
  <si>
    <t>12/27/2014</t>
  </si>
  <si>
    <t>12/26/2015</t>
  </si>
  <si>
    <t>GT</t>
  </si>
  <si>
    <t>Tires &amp; Rubber</t>
  </si>
  <si>
    <t>GWW</t>
  </si>
  <si>
    <t>Industrial Materials</t>
  </si>
  <si>
    <t>HAL</t>
  </si>
  <si>
    <t>HAR</t>
  </si>
  <si>
    <t>HAS</t>
  </si>
  <si>
    <t>Leisure Products</t>
  </si>
  <si>
    <t>12/29/2013</t>
  </si>
  <si>
    <t>12/28/2014</t>
  </si>
  <si>
    <t>12/27/2015</t>
  </si>
  <si>
    <t>HBAN</t>
  </si>
  <si>
    <t>HBI</t>
  </si>
  <si>
    <t>Apparel, Accessories &amp; Luxury Goods</t>
  </si>
  <si>
    <t>HCA</t>
  </si>
  <si>
    <t>HCN</t>
  </si>
  <si>
    <t>HCP</t>
  </si>
  <si>
    <t>HD</t>
  </si>
  <si>
    <t>2/3/2013</t>
  </si>
  <si>
    <t>Home Improvement Retail</t>
  </si>
  <si>
    <t>2/2/2014</t>
  </si>
  <si>
    <t>2/1/2015</t>
  </si>
  <si>
    <t>HES</t>
  </si>
  <si>
    <t>HIG</t>
  </si>
  <si>
    <t>HOG</t>
  </si>
  <si>
    <t>Motorcycle Manufacturers</t>
  </si>
  <si>
    <t>HOLX</t>
  </si>
  <si>
    <t>HON</t>
  </si>
  <si>
    <t>HP</t>
  </si>
  <si>
    <t>Oil &amp; Gas Drilling</t>
  </si>
  <si>
    <t>HPE</t>
  </si>
  <si>
    <t>Technology Hardware, Storage &amp; Peripherals</t>
  </si>
  <si>
    <t>HPQ</t>
  </si>
  <si>
    <t>HRB</t>
  </si>
  <si>
    <t>4/30/2013</t>
  </si>
  <si>
    <t>4/30/2014</t>
  </si>
  <si>
    <t>4/30/2015</t>
  </si>
  <si>
    <t>4/30/2016</t>
  </si>
  <si>
    <t>HRL</t>
  </si>
  <si>
    <t>HRS</t>
  </si>
  <si>
    <t>6/28/2013</t>
  </si>
  <si>
    <t>Telecommunications Equipment</t>
  </si>
  <si>
    <t>6/27/2014</t>
  </si>
  <si>
    <t>7/3/2015</t>
  </si>
  <si>
    <t>7/1/2016</t>
  </si>
  <si>
    <t>HSIC</t>
  </si>
  <si>
    <t>HST</t>
  </si>
  <si>
    <t>HSY</t>
  </si>
  <si>
    <t>HUM</t>
  </si>
  <si>
    <t>IBM</t>
  </si>
  <si>
    <t>IDXX</t>
  </si>
  <si>
    <t>IFF</t>
  </si>
  <si>
    <t>ILMN</t>
  </si>
  <si>
    <t>Life Sciences Tools &amp; Services</t>
  </si>
  <si>
    <t>1/3/2016</t>
  </si>
  <si>
    <t>1/1/2017</t>
  </si>
  <si>
    <t>INTC</t>
  </si>
  <si>
    <t>INTU</t>
  </si>
  <si>
    <t>7/31/2013</t>
  </si>
  <si>
    <t>7/31/2014</t>
  </si>
  <si>
    <t>7/31/2015</t>
  </si>
  <si>
    <t>IP</t>
  </si>
  <si>
    <t>IPG</t>
  </si>
  <si>
    <t>Advertising</t>
  </si>
  <si>
    <t>IRM</t>
  </si>
  <si>
    <t>ISRG</t>
  </si>
  <si>
    <t>ITW</t>
  </si>
  <si>
    <t>IVZ</t>
  </si>
  <si>
    <t>JBHT</t>
  </si>
  <si>
    <t>Trucking</t>
  </si>
  <si>
    <t>JEC</t>
  </si>
  <si>
    <t>9/27/2013</t>
  </si>
  <si>
    <t>9/26/2014</t>
  </si>
  <si>
    <t>10/2/2015</t>
  </si>
  <si>
    <t>JNPR</t>
  </si>
  <si>
    <t>JPM</t>
  </si>
  <si>
    <t>JWN</t>
  </si>
  <si>
    <t>Department Stores</t>
  </si>
  <si>
    <t>K</t>
  </si>
  <si>
    <t>KEY</t>
  </si>
  <si>
    <t>KIM</t>
  </si>
  <si>
    <t>KLAC</t>
  </si>
  <si>
    <t>KMB</t>
  </si>
  <si>
    <t>KMI</t>
  </si>
  <si>
    <t>Oil &amp; Gas Refining &amp; Marketing &amp; Transportation</t>
  </si>
  <si>
    <t>KMX</t>
  </si>
  <si>
    <t>2/28/2013</t>
  </si>
  <si>
    <t>2/28/2014</t>
  </si>
  <si>
    <t>2/29/2016</t>
  </si>
  <si>
    <t>KO</t>
  </si>
  <si>
    <t>KORS</t>
  </si>
  <si>
    <t>3/30/2013</t>
  </si>
  <si>
    <t>3/29/2014</t>
  </si>
  <si>
    <t>3/28/2015</t>
  </si>
  <si>
    <t>4/2/2016</t>
  </si>
  <si>
    <t>KR</t>
  </si>
  <si>
    <t>Food Retail</t>
  </si>
  <si>
    <t>KSS</t>
  </si>
  <si>
    <t>KSU</t>
  </si>
  <si>
    <t>LB</t>
  </si>
  <si>
    <t>LEG</t>
  </si>
  <si>
    <t>LEN</t>
  </si>
  <si>
    <t>LH</t>
  </si>
  <si>
    <t>LKQ</t>
  </si>
  <si>
    <t>Distributors</t>
  </si>
  <si>
    <t>LLL</t>
  </si>
  <si>
    <t>LLTC</t>
  </si>
  <si>
    <t>6/29/2014</t>
  </si>
  <si>
    <t>6/28/2015</t>
  </si>
  <si>
    <t>7/3/2016</t>
  </si>
  <si>
    <t>LLY</t>
  </si>
  <si>
    <t>LMT</t>
  </si>
  <si>
    <t>LNT</t>
  </si>
  <si>
    <t>LOW</t>
  </si>
  <si>
    <t>LRCX</t>
  </si>
  <si>
    <t>6/26/2016</t>
  </si>
  <si>
    <t>LUK</t>
  </si>
  <si>
    <t>Multi-Sector Holdings</t>
  </si>
  <si>
    <t>LUV</t>
  </si>
  <si>
    <t>LVLT</t>
  </si>
  <si>
    <t>Alternative Carriers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</si>
  <si>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</si>
  <si>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</si>
  <si>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</si>
  <si>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</si>
  <si>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</si>
  <si>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</si>
  <si>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</si>
  <si>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</si>
  <si>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</si>
  <si>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</si>
  <si>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</si>
  <si>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</si>
  <si>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Diversified Financial Services</t>
  </si>
  <si>
    <t>MDLZ</t>
  </si>
  <si>
    <t>MET</t>
  </si>
  <si>
    <t>MHK</t>
  </si>
  <si>
    <t>Home Furnishings</t>
  </si>
  <si>
    <t>MJN</t>
  </si>
  <si>
    <t>MKC</t>
  </si>
  <si>
    <t>MLM</t>
  </si>
  <si>
    <t>Construction Materials</t>
  </si>
  <si>
    <t>MMC</t>
  </si>
  <si>
    <t>Insurance Brokers</t>
  </si>
  <si>
    <t>MMM</t>
  </si>
  <si>
    <t>MNST</t>
  </si>
  <si>
    <t>MO</t>
  </si>
  <si>
    <t>Tobacco</t>
  </si>
  <si>
    <t>MON</t>
  </si>
  <si>
    <t>MOS</t>
  </si>
  <si>
    <t>MPC</t>
  </si>
  <si>
    <t>MRK</t>
  </si>
  <si>
    <t>MRO</t>
  </si>
  <si>
    <t>MSFT</t>
  </si>
  <si>
    <t>Systems Software</t>
  </si>
  <si>
    <t>MTB</t>
  </si>
  <si>
    <t>MTD</t>
  </si>
  <si>
    <t>MU</t>
  </si>
  <si>
    <t>8/29/2013</t>
  </si>
  <si>
    <t>8/28/2014</t>
  </si>
  <si>
    <t>9/3/2015</t>
  </si>
  <si>
    <t>9/1/2016</t>
  </si>
  <si>
    <t>MUR</t>
  </si>
  <si>
    <t>MYL</t>
  </si>
  <si>
    <t>NBL</t>
  </si>
  <si>
    <t>NDAQ</t>
  </si>
  <si>
    <t>NEE</t>
  </si>
  <si>
    <t>NEM</t>
  </si>
  <si>
    <t>Gold</t>
  </si>
  <si>
    <t>NFLX</t>
  </si>
  <si>
    <t>NFX</t>
  </si>
  <si>
    <t>NKE</t>
  </si>
  <si>
    <t>NLSN</t>
  </si>
  <si>
    <t>NOV</t>
  </si>
  <si>
    <t>NSC</t>
  </si>
  <si>
    <t>NTAP</t>
  </si>
  <si>
    <t>4/26/2013</t>
  </si>
  <si>
    <t>4/25/2014</t>
  </si>
  <si>
    <t>4/24/2015</t>
  </si>
  <si>
    <t>4/29/2016</t>
  </si>
  <si>
    <t>NUE</t>
  </si>
  <si>
    <t>Steel</t>
  </si>
  <si>
    <t>NVDA</t>
  </si>
  <si>
    <t>1/27/2013</t>
  </si>
  <si>
    <t>1/26/2014</t>
  </si>
  <si>
    <t>1/25/2015</t>
  </si>
  <si>
    <t>NWL</t>
  </si>
  <si>
    <t>Housewares &amp; Specialties</t>
  </si>
  <si>
    <t>O</t>
  </si>
  <si>
    <t>OKE</t>
  </si>
  <si>
    <t>OMC</t>
  </si>
  <si>
    <t>ORLY</t>
  </si>
  <si>
    <t>OXY</t>
  </si>
  <si>
    <t>PBCT</t>
  </si>
  <si>
    <t>Thrifts &amp; Mortgage Finance</t>
  </si>
  <si>
    <t>PBI</t>
  </si>
  <si>
    <t>Technology, Hardware, Software and Supplies</t>
  </si>
  <si>
    <t>PCAR</t>
  </si>
  <si>
    <t>PCG</t>
  </si>
  <si>
    <t>PCLN</t>
  </si>
  <si>
    <t>PDCO</t>
  </si>
  <si>
    <t>4/27/2013</t>
  </si>
  <si>
    <t>4/26/2014</t>
  </si>
  <si>
    <t>4/25/2015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</si>
  <si>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</si>
  <si>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</si>
  <si>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</si>
  <si>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</si>
  <si>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</si>
  <si>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</si>
  <si>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</si>
  <si>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</si>
  <si>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</si>
  <si>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12/30/2012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</si>
  <si>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</si>
  <si>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</si>
  <si>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</si>
  <si>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</si>
  <si>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</si>
  <si>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</si>
  <si>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</si>
  <si>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</si>
  <si>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</si>
  <si>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</si>
  <si>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</si>
  <si>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QCOM</t>
  </si>
  <si>
    <t>9/29/2013</t>
  </si>
  <si>
    <t>9/28/2014</t>
  </si>
  <si>
    <t>9/27/2015</t>
  </si>
  <si>
    <t>9/25/2016</t>
  </si>
  <si>
    <t>QRVO</t>
  </si>
  <si>
    <t>R</t>
  </si>
  <si>
    <t>RCL</t>
  </si>
  <si>
    <t>REGN</t>
  </si>
  <si>
    <t>RHI</t>
  </si>
  <si>
    <t>Human Resource &amp; Employment Services</t>
  </si>
  <si>
    <t>RHT</t>
  </si>
  <si>
    <t>RL</t>
  </si>
  <si>
    <t>ROK</t>
  </si>
  <si>
    <t>ROP</t>
  </si>
  <si>
    <t>ROST</t>
  </si>
  <si>
    <t>RRC</t>
  </si>
  <si>
    <t>RSG</t>
  </si>
  <si>
    <t>SBUX</t>
  </si>
  <si>
    <t>10/2/2016</t>
  </si>
  <si>
    <t>SCG</t>
  </si>
  <si>
    <t>SE</t>
  </si>
  <si>
    <t>SEE</t>
  </si>
  <si>
    <t>SHW</t>
  </si>
  <si>
    <t>SIG</t>
  </si>
  <si>
    <t>2/2/2015</t>
  </si>
  <si>
    <t>SJM</t>
  </si>
  <si>
    <t>SLG</t>
  </si>
  <si>
    <t>Office REITs</t>
  </si>
  <si>
    <t>SNA</t>
  </si>
  <si>
    <t>Household Appliances</t>
  </si>
  <si>
    <t>SNI</t>
  </si>
  <si>
    <t>SO</t>
  </si>
  <si>
    <t>SPG</t>
  </si>
  <si>
    <t>SPLS</t>
  </si>
  <si>
    <t>SRCL</t>
  </si>
  <si>
    <t>SRE</t>
  </si>
  <si>
    <t>STI</t>
  </si>
  <si>
    <t>STX</t>
  </si>
  <si>
    <t>Computer Storage &amp; Peripherals</t>
  </si>
  <si>
    <t>STZ</t>
  </si>
  <si>
    <t>Distillers &amp; Vintners</t>
  </si>
  <si>
    <t>SWK</t>
  </si>
  <si>
    <t>SWKS</t>
  </si>
  <si>
    <t>10/3/2014</t>
  </si>
  <si>
    <t>SWN</t>
  </si>
  <si>
    <t>SYF</t>
  </si>
  <si>
    <t>SYK</t>
  </si>
  <si>
    <t>SYMC</t>
  </si>
  <si>
    <t>3/29/2013</t>
  </si>
  <si>
    <t>3/28/2014</t>
  </si>
  <si>
    <t>SYY</t>
  </si>
  <si>
    <t>6/29/2013</t>
  </si>
  <si>
    <t>Food Distributors</t>
  </si>
  <si>
    <t>6/28/2014</t>
  </si>
  <si>
    <t>6/27/2015</t>
  </si>
  <si>
    <t>7/2/2016</t>
  </si>
  <si>
    <t>T</t>
  </si>
  <si>
    <t>TAP</t>
  </si>
  <si>
    <t>Brewers</t>
  </si>
  <si>
    <t>TDC</t>
  </si>
  <si>
    <t>TDG</t>
  </si>
  <si>
    <t>TEL</t>
  </si>
  <si>
    <t>Electronic Manufacturing Services</t>
  </si>
  <si>
    <t>9/25/2015</t>
  </si>
  <si>
    <t>TGNA</t>
  </si>
  <si>
    <t>Publishing</t>
  </si>
  <si>
    <t>TGT</t>
  </si>
  <si>
    <t>TIF</t>
  </si>
  <si>
    <t>TJX</t>
  </si>
  <si>
    <t>TMK</t>
  </si>
  <si>
    <t>TMO</t>
  </si>
  <si>
    <t>TRIP</t>
  </si>
  <si>
    <t>TRV</t>
  </si>
  <si>
    <t>TSCO</t>
  </si>
  <si>
    <t>Specialty Retail</t>
  </si>
  <si>
    <t>TSN</t>
  </si>
  <si>
    <t>10/3/2013</t>
  </si>
  <si>
    <t>TSO</t>
  </si>
  <si>
    <t>TSS</t>
  </si>
  <si>
    <t>TXN</t>
  </si>
  <si>
    <t>TXT</t>
  </si>
  <si>
    <t>UA</t>
  </si>
  <si>
    <t>UAA</t>
  </si>
  <si>
    <t>UAL</t>
  </si>
  <si>
    <t>UDR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</si>
  <si>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</si>
  <si>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</si>
  <si>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</si>
  <si>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</si>
  <si>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</si>
  <si>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</si>
  <si>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</si>
  <si>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</si>
  <si>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</si>
  <si>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</si>
  <si>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</si>
  <si>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</si>
  <si>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</si>
  <si>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</si>
  <si>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</si>
  <si>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</si>
  <si>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</si>
  <si>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</si>
  <si>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</si>
  <si>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</si>
  <si>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</si>
  <si>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</si>
  <si>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</si>
  <si>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</si>
  <si>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</si>
  <si>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</si>
  <si>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WM</t>
  </si>
  <si>
    <t>Environmental Services</t>
  </si>
  <si>
    <t>WMB</t>
  </si>
  <si>
    <t>WMT</t>
  </si>
  <si>
    <t>WRK</t>
  </si>
  <si>
    <t>WU</t>
  </si>
  <si>
    <t>WY</t>
  </si>
  <si>
    <t>WYN</t>
  </si>
  <si>
    <t>WYNN</t>
  </si>
  <si>
    <t>Casinos &amp; Gaming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</si>
  <si>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</si>
  <si>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</si>
  <si>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</si>
  <si>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</si>
  <si>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</si>
  <si>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</si>
  <si>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</si>
  <si>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</si>
  <si>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</si>
  <si>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</si>
  <si>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</si>
  <si>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</si>
  <si>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</si>
  <si>
    <t>Mean</t>
  </si>
  <si>
    <t>SD</t>
  </si>
  <si>
    <t xml:space="preserve">Median </t>
  </si>
  <si>
    <t>Range</t>
  </si>
  <si>
    <t>MAX</t>
  </si>
  <si>
    <t>MIN</t>
  </si>
  <si>
    <t>Profit &amp; loss Statement</t>
  </si>
  <si>
    <t>Historical</t>
  </si>
  <si>
    <t>Revenue</t>
  </si>
  <si>
    <t xml:space="preserve">  COGS</t>
  </si>
  <si>
    <t>Gross Profit</t>
  </si>
  <si>
    <t>Other operating expenses</t>
  </si>
  <si>
    <t>R&amp;D</t>
  </si>
  <si>
    <t>Total operating expenses</t>
  </si>
  <si>
    <t>Operating income/ EBIT</t>
  </si>
  <si>
    <t>Ticker symbol</t>
  </si>
  <si>
    <t>Row Labels</t>
  </si>
  <si>
    <t>(blank)</t>
  </si>
  <si>
    <t>Grand Total</t>
  </si>
  <si>
    <t>0</t>
  </si>
  <si>
    <t xml:space="preserve"> 0  </t>
  </si>
  <si>
    <t xml:space="preserve"> 0 </t>
  </si>
  <si>
    <t xml:space="preserve">Gross Profit </t>
  </si>
  <si>
    <t>Total Operating Expenses</t>
  </si>
  <si>
    <t>ProjectData-Nyse</t>
  </si>
  <si>
    <t>Operating Profit</t>
  </si>
  <si>
    <t>Gross Margin</t>
  </si>
  <si>
    <t>Operating Margin</t>
  </si>
  <si>
    <t xml:space="preserve"> Sales, General and Admin</t>
  </si>
  <si>
    <t>Forecast</t>
  </si>
  <si>
    <t>Year 5</t>
  </si>
  <si>
    <t>Year 6</t>
  </si>
  <si>
    <t>Operating statistics</t>
  </si>
  <si>
    <t>Revenue growth (%)</t>
  </si>
  <si>
    <t>Gross margin</t>
  </si>
  <si>
    <t>Operating margin</t>
  </si>
  <si>
    <t>Scenario</t>
  </si>
  <si>
    <t>Strong case</t>
  </si>
  <si>
    <t>Base case</t>
  </si>
  <si>
    <t>Weak case</t>
  </si>
  <si>
    <t>Operating Scenarios - sensitivity analysis</t>
  </si>
  <si>
    <t>Year6</t>
  </si>
  <si>
    <t>Senario one company: CERN Analysis</t>
  </si>
  <si>
    <t xml:space="preserve"> Total Revenue of Materials</t>
  </si>
  <si>
    <t xml:space="preserve"> sector in the 4 year</t>
  </si>
  <si>
    <t>materials sector statics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</si>
</sst>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_(&quot;SAR&quot;* #,##0.00_);_(&quot;SAR&quot;* \(#,##0.00\);_(&quot;SAR&quot;* &quot;-&quot;??_);_(@_)"/>
    <numFmt numFmtId="165" formatCode="[$$-409]#,##0.00"/>
    <numFmt numFmtId="166" formatCode="[$$-409]#,##0"/>
    <numFmt numFmtId="167" formatCode="_([$$-409]* #,##0.00_);_([$$-409]* \(#,##0.00\);_([$$-409]* &quot;-&quot;??_);_(@_)"/>
  </numFmts>
  <fonts count="22">
    <font>
      <sz val="10"/>
      <color indexed="8"/>
      <name val="Helvetica Neue"/>
    </font>
    <font>
      <sz val="11"/>
      <color theme="1"/>
      <name val="Helvetica Neue"/>
      <family val="2"/>
      <scheme val="minor"/>
    </font>
    <font>
      <sz val="12"/>
      <color theme="1"/>
      <name val="Helvetica Neue"/>
      <family val="2"/>
      <scheme val="minor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  <font>
      <sz val="10"/>
      <color indexed="8"/>
      <name val="Helvetica Neue"/>
      <family val="2"/>
    </font>
    <font>
      <b/>
      <sz val="13"/>
      <color theme="3"/>
      <name val="Helvetica Neue"/>
      <family val="2"/>
      <scheme val="minor"/>
    </font>
    <font>
      <b/>
      <sz val="12"/>
      <color theme="1"/>
      <name val="Helvetica Neue"/>
      <family val="2"/>
      <scheme val="minor"/>
    </font>
    <font>
      <sz val="12"/>
      <color rgb="FF000000"/>
      <name val="Helvetica Neue"/>
      <family val="2"/>
      <scheme val="minor"/>
    </font>
    <font>
      <b/>
      <sz val="12"/>
      <color rgb="FF000000"/>
      <name val="Helvetica Neue"/>
      <family val="2"/>
      <scheme val="minor"/>
    </font>
    <font>
      <b/>
      <sz val="12"/>
      <color rgb="FF000000"/>
      <name val="Arial Nova"/>
      <family val="2"/>
    </font>
    <font>
      <sz val="12"/>
      <color rgb="FF000000"/>
      <name val="Arial Nova"/>
      <family val="2"/>
    </font>
    <font>
      <b/>
      <sz val="12"/>
      <color theme="1"/>
      <name val="Arial Nova"/>
      <family val="2"/>
    </font>
    <font>
      <b/>
      <sz val="12"/>
      <color indexed="8"/>
      <name val="Arial Nova"/>
      <family val="2"/>
    </font>
    <font>
      <sz val="12"/>
      <color indexed="8"/>
      <name val="Arial Nova"/>
      <family val="2"/>
    </font>
    <font>
      <sz val="12"/>
      <color indexed="8"/>
      <name val="Helvetica Neue"/>
    </font>
    <font>
      <b/>
      <sz val="12"/>
      <color theme="3"/>
      <name val="Arial Nova"/>
      <family val="2"/>
    </font>
    <font>
      <b/>
      <sz val="11"/>
      <color theme="1"/>
      <name val="Helvetica Neue"/>
      <family val="2"/>
      <scheme val="minor"/>
    </font>
    <font>
      <b/>
      <sz val="12"/>
      <color rgb="FF000000"/>
      <name val="Helvetica Neue"/>
    </font>
    <font>
      <b/>
      <sz val="12"/>
      <color indexed="8"/>
      <name val="Helvetica Neue"/>
    </font>
    <font>
      <b/>
      <sz val="12"/>
      <color theme="1"/>
      <name val="Helvetica Neue"/>
      <scheme val="minor"/>
    </font>
  </fonts>
  <fills count="15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7" tint="0.59999389629810485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/>
      <bottom style="thick">
        <color theme="2"/>
      </bottom>
      <diagonal/>
    </border>
    <border>
      <left/>
      <right/>
      <top/>
      <bottom style="double">
        <color theme="1"/>
      </bottom>
      <diagonal/>
    </border>
  </borders>
  <cellStyleXfs count="7">
    <xf numFmtId="0" fontId="0" fillId="0" borderId="0" applyNumberFormat="0" applyFill="0" applyBorder="0" applyProtection="0">
      <alignment vertical="top" wrapText="1"/>
    </xf>
    <xf numFmtId="164" fontId="6" fillId="0" borderId="0" applyFont="0" applyFill="0" applyBorder="0" applyAlignment="0" applyProtection="0"/>
    <xf numFmtId="0" fontId="7" fillId="0" borderId="13" applyNumberFormat="0" applyFill="0" applyAlignment="0" applyProtection="0"/>
    <xf numFmtId="0" fontId="8" fillId="0" borderId="14" applyNumberFormat="0" applyFill="0" applyAlignment="0" applyProtection="0"/>
    <xf numFmtId="0" fontId="2" fillId="3" borderId="0" applyNumberFormat="0" applyBorder="0" applyAlignment="0" applyProtection="0"/>
    <xf numFmtId="0" fontId="4" fillId="0" borderId="0" applyFont="0" applyFill="0">
      <alignment horizontal="center" vertical="top" wrapText="1"/>
    </xf>
    <xf numFmtId="0" fontId="1" fillId="0" borderId="0"/>
  </cellStyleXfs>
  <cellXfs count="76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165" fontId="0" fillId="0" borderId="0" xfId="0" applyNumberFormat="1" applyFont="1" applyAlignment="1">
      <alignment vertical="top"/>
    </xf>
    <xf numFmtId="0" fontId="9" fillId="0" borderId="0" xfId="0" applyFont="1" applyAlignment="1"/>
    <xf numFmtId="0" fontId="10" fillId="0" borderId="0" xfId="0" applyFont="1" applyAlignment="1"/>
    <xf numFmtId="0" fontId="5" fillId="0" borderId="0" xfId="0" applyFont="1" applyAlignment="1">
      <alignment vertical="top" wrapText="1"/>
    </xf>
    <xf numFmtId="0" fontId="0" fillId="0" borderId="10" xfId="0" pivotButton="1" applyFont="1" applyBorder="1" applyAlignment="1">
      <alignment vertical="top" wrapText="1"/>
    </xf>
    <xf numFmtId="0" fontId="0" fillId="0" borderId="10" xfId="0" applyFont="1" applyBorder="1" applyAlignment="1">
      <alignment horizontal="left" vertical="top" wrapText="1"/>
    </xf>
    <xf numFmtId="0" fontId="0" fillId="0" borderId="12" xfId="0" applyFont="1" applyBorder="1" applyAlignment="1">
      <alignment horizontal="left" vertical="top" wrapText="1"/>
    </xf>
    <xf numFmtId="0" fontId="0" fillId="0" borderId="11" xfId="0" applyFont="1" applyBorder="1" applyAlignment="1">
      <alignment horizontal="left" vertical="top" wrapText="1"/>
    </xf>
    <xf numFmtId="0" fontId="1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167" fontId="0" fillId="0" borderId="0" xfId="0" applyNumberFormat="1" applyFont="1" applyAlignment="1">
      <alignment horizontal="center" vertical="top" wrapText="1"/>
    </xf>
    <xf numFmtId="167" fontId="0" fillId="0" borderId="0" xfId="1" applyNumberFormat="1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4" fillId="6" borderId="0" xfId="0" applyFont="1" applyFill="1" applyAlignment="1">
      <alignment vertical="top" wrapText="1"/>
    </xf>
    <xf numFmtId="167" fontId="0" fillId="7" borderId="0" xfId="0" applyNumberFormat="1" applyFont="1" applyFill="1" applyAlignment="1">
      <alignment horizontal="center" vertical="top" wrapText="1"/>
    </xf>
    <xf numFmtId="0" fontId="12" fillId="0" borderId="0" xfId="0" applyFont="1" applyAlignment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1" fillId="0" borderId="0" xfId="0" applyFont="1" applyAlignment="1"/>
    <xf numFmtId="0" fontId="12" fillId="10" borderId="9" xfId="0" applyFont="1" applyFill="1" applyBorder="1" applyAlignment="1"/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4" fillId="4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7" fillId="0" borderId="13" xfId="2" applyFont="1" applyAlignment="1"/>
    <xf numFmtId="0" fontId="17" fillId="0" borderId="13" xfId="2" applyFont="1" applyAlignment="1">
      <alignment vertical="top" wrapText="1"/>
    </xf>
    <xf numFmtId="167" fontId="15" fillId="0" borderId="0" xfId="0" applyNumberFormat="1" applyFont="1" applyAlignment="1">
      <alignment horizontal="center" vertical="top" wrapText="1"/>
    </xf>
    <xf numFmtId="167" fontId="15" fillId="0" borderId="0" xfId="0" applyNumberFormat="1" applyFont="1" applyAlignment="1">
      <alignment vertical="top" wrapText="1"/>
    </xf>
    <xf numFmtId="167" fontId="15" fillId="0" borderId="0" xfId="1" applyNumberFormat="1" applyFont="1" applyAlignment="1">
      <alignment horizontal="center" vertical="top" wrapText="1"/>
    </xf>
    <xf numFmtId="167" fontId="15" fillId="10" borderId="0" xfId="0" applyNumberFormat="1" applyFont="1" applyFill="1" applyAlignment="1">
      <alignment horizontal="center" vertical="top" wrapText="1"/>
    </xf>
    <xf numFmtId="167" fontId="15" fillId="10" borderId="0" xfId="0" applyNumberFormat="1" applyFont="1" applyFill="1" applyAlignment="1">
      <alignment vertical="top" wrapText="1"/>
    </xf>
    <xf numFmtId="0" fontId="16" fillId="5" borderId="0" xfId="0" applyFont="1" applyFill="1" applyAlignment="1">
      <alignment vertical="top" wrapText="1"/>
    </xf>
    <xf numFmtId="10" fontId="15" fillId="0" borderId="0" xfId="0" applyNumberFormat="1" applyFont="1" applyAlignment="1">
      <alignment vertical="top" wrapText="1"/>
    </xf>
    <xf numFmtId="0" fontId="18" fillId="14" borderId="0" xfId="6" applyFont="1" applyFill="1" applyAlignment="1">
      <alignment horizontal="left"/>
    </xf>
    <xf numFmtId="0" fontId="1" fillId="0" borderId="0" xfId="6"/>
    <xf numFmtId="0" fontId="18" fillId="14" borderId="0" xfId="6" applyFont="1" applyFill="1"/>
    <xf numFmtId="0" fontId="3" fillId="8" borderId="0" xfId="6" applyFont="1" applyFill="1" applyAlignment="1">
      <alignment vertical="top" wrapText="1"/>
    </xf>
    <xf numFmtId="6" fontId="1" fillId="0" borderId="0" xfId="6" applyNumberFormat="1" applyAlignment="1">
      <alignment horizontal="left"/>
    </xf>
    <xf numFmtId="0" fontId="16" fillId="0" borderId="0" xfId="0" applyNumberFormat="1" applyFont="1" applyAlignment="1">
      <alignment vertical="top"/>
    </xf>
    <xf numFmtId="0" fontId="20" fillId="9" borderId="1" xfId="0" applyFont="1" applyFill="1" applyBorder="1" applyAlignment="1">
      <alignment vertical="top"/>
    </xf>
    <xf numFmtId="49" fontId="20" fillId="9" borderId="1" xfId="0" applyNumberFormat="1" applyFont="1" applyFill="1" applyBorder="1" applyAlignment="1">
      <alignment vertical="top"/>
    </xf>
    <xf numFmtId="0" fontId="21" fillId="9" borderId="8" xfId="4" applyNumberFormat="1" applyFont="1" applyFill="1" applyBorder="1" applyAlignment="1">
      <alignment vertical="top"/>
    </xf>
    <xf numFmtId="0" fontId="20" fillId="2" borderId="2" xfId="0" applyNumberFormat="1" applyFont="1" applyFill="1" applyBorder="1" applyAlignment="1">
      <alignment vertical="top"/>
    </xf>
    <xf numFmtId="49" fontId="16" fillId="0" borderId="3" xfId="0" applyNumberFormat="1" applyFont="1" applyBorder="1" applyAlignment="1">
      <alignment vertical="top"/>
    </xf>
    <xf numFmtId="49" fontId="16" fillId="0" borderId="4" xfId="0" applyNumberFormat="1" applyFont="1" applyBorder="1" applyAlignment="1">
      <alignment vertical="top"/>
    </xf>
    <xf numFmtId="166" fontId="16" fillId="0" borderId="4" xfId="0" applyNumberFormat="1" applyFont="1" applyBorder="1" applyAlignment="1">
      <alignment vertical="top"/>
    </xf>
    <xf numFmtId="0" fontId="20" fillId="2" borderId="5" xfId="0" applyNumberFormat="1" applyFont="1" applyFill="1" applyBorder="1" applyAlignment="1">
      <alignment vertical="top"/>
    </xf>
    <xf numFmtId="49" fontId="16" fillId="0" borderId="6" xfId="0" applyNumberFormat="1" applyFont="1" applyBorder="1" applyAlignment="1">
      <alignment vertical="top"/>
    </xf>
    <xf numFmtId="49" fontId="16" fillId="0" borderId="7" xfId="0" applyNumberFormat="1" applyFont="1" applyBorder="1" applyAlignment="1">
      <alignment vertical="top"/>
    </xf>
    <xf numFmtId="166" fontId="16" fillId="0" borderId="7" xfId="0" applyNumberFormat="1" applyFont="1" applyBorder="1" applyAlignment="1">
      <alignment vertical="top"/>
    </xf>
    <xf numFmtId="0" fontId="20" fillId="9" borderId="5" xfId="0" applyNumberFormat="1" applyFont="1" applyFill="1" applyBorder="1" applyAlignment="1">
      <alignment vertical="top"/>
    </xf>
    <xf numFmtId="49" fontId="16" fillId="9" borderId="6" xfId="0" applyNumberFormat="1" applyFont="1" applyFill="1" applyBorder="1" applyAlignment="1">
      <alignment vertical="top"/>
    </xf>
    <xf numFmtId="49" fontId="16" fillId="9" borderId="7" xfId="0" applyNumberFormat="1" applyFont="1" applyFill="1" applyBorder="1" applyAlignment="1">
      <alignment vertical="top"/>
    </xf>
    <xf numFmtId="166" fontId="16" fillId="9" borderId="7" xfId="0" applyNumberFormat="1" applyFont="1" applyFill="1" applyBorder="1" applyAlignment="1">
      <alignment vertical="top"/>
    </xf>
    <xf numFmtId="0" fontId="16" fillId="9" borderId="0" xfId="0" applyNumberFormat="1" applyFont="1" applyFill="1" applyAlignment="1">
      <alignment vertical="top"/>
    </xf>
    <xf numFmtId="0" fontId="19" fillId="11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166" fontId="1" fillId="0" borderId="0" xfId="6" applyNumberFormat="1" applyAlignment="1">
      <alignment horizontal="center" vertical="top" wrapText="1"/>
    </xf>
    <xf numFmtId="0" fontId="3" fillId="14" borderId="0" xfId="6" applyFont="1" applyFill="1" applyAlignment="1">
      <alignment horizontal="center" vertical="top" wrapText="1"/>
    </xf>
    <xf numFmtId="0" fontId="1" fillId="0" borderId="0" xfId="6" applyAlignment="1">
      <alignment horizontal="center" vertical="top" wrapText="1"/>
    </xf>
    <xf numFmtId="0" fontId="9" fillId="0" borderId="0" xfId="0" applyFont="1" applyAlignment="1">
      <alignment horizontal="left"/>
    </xf>
    <xf numFmtId="0" fontId="10" fillId="13" borderId="0" xfId="0" applyFont="1" applyFill="1" applyAlignment="1">
      <alignment horizontal="left"/>
    </xf>
    <xf numFmtId="0" fontId="9" fillId="13" borderId="0" xfId="0" applyFont="1" applyFill="1" applyAlignment="1">
      <alignment horizontal="center"/>
    </xf>
    <xf numFmtId="0" fontId="9" fillId="0" borderId="9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9" fillId="0" borderId="0" xfId="0" applyFont="1" applyAlignment="1"/>
    <xf numFmtId="0" fontId="11" fillId="13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1" fillId="12" borderId="0" xfId="0" applyFont="1" applyFill="1" applyAlignment="1">
      <alignment horizontal="left"/>
    </xf>
    <xf numFmtId="0" fontId="13" fillId="0" borderId="14" xfId="3" applyFont="1" applyAlignment="1">
      <alignment horizontal="center" vertical="top" wrapText="1"/>
    </xf>
    <xf numFmtId="0" fontId="13" fillId="0" borderId="14" xfId="3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/>
  </cellXfs>
  <cellStyles count="7">
    <cellStyle name="40% - Accent4" xfId="4" builtinId="43"/>
    <cellStyle name="Currency" xfId="1" builtinId="4"/>
    <cellStyle name="Heading 2" xfId="2" builtinId="17" customBuiltin="1"/>
    <cellStyle name="Normal" xfId="0" builtinId="0"/>
    <cellStyle name="Normal 2" xfId="6" xr:uid="{9212FAE6-97D0-4C6E-9BEE-BE98366A8983}"/>
    <cellStyle name="Style 1" xfId="5" xr:uid="{00000000-0005-0000-0000-000004000000}"/>
    <cellStyle name="Total" xfId="3" builtinId="25" customBuiltin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73FB79"/>
      <color rgb="FFFFFD78"/>
      <color rgb="FF76D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400" b="0" i="0" baseline="0">
                <a:effectLst/>
              </a:rPr>
              <a:t>the total revenue of materials sector in the year 4</a:t>
            </a:r>
            <a:endParaRPr lang="en-US" sz="1100">
              <a:effectLst/>
            </a:endParaRPr>
          </a:p>
        </cx:rich>
      </cx:tx>
    </cx:title>
    <cx:plotArea>
      <cx:plotAreaRegion>
        <cx:series layoutId="boxWhisker" uniqueId="{155E6217-1680-4BCF-924B-F6844961BDED}">
          <cx:dataId val="0"/>
          <cx:layoutPr>
            <cx:visibility meanLine="1" meanMarker="1" nonoutliers="0" outliers="1"/>
            <cx:statistics quartileMethod="exclusive"/>
          </cx:layoutPr>
        </cx:series>
      </cx:plotAreaRegion>
      <cx:axis id="0">
        <cx:catScaling gapWidth="1"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rtl="0"/>
                <a:r>
                  <a:rPr lang="en-US" sz="900" b="0" i="0" baseline="0">
                    <a:effectLst/>
                  </a:rPr>
                  <a:t>Materials sector performance</a:t>
                </a:r>
                <a:endParaRPr lang="en-US" sz="200">
                  <a:effectLst/>
                </a:endParaRPr>
              </a:p>
            </cx:rich>
          </cx:tx>
        </cx:title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Revenue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7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1127760</xdr:colOff>
      <xdr:row>13</xdr:row>
      <xdr:rowOff>64770</xdr:rowOff>
    </xdr:from>
    <xdr:to>
      <xdr:col>12</xdr:col>
      <xdr:colOff>396240</xdr:colOff>
      <xdr:row>29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805417-B048-43D3-A6A6-E536B0C959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4960" y="2343150"/>
              <a:ext cx="4572000" cy="2899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rojectdata-ny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projectdata-nyse"/>
      <sheetName val="Tot income"/>
      <sheetName val="Task 1"/>
      <sheetName val="Task2"/>
      <sheetName val="LIST"/>
    </sheetNames>
    <sheetDataSet>
      <sheetData sheetId="0" refreshError="1"/>
      <sheetData sheetId="1">
        <row r="2">
          <cell r="B2" t="str">
            <v>AAL</v>
          </cell>
          <cell r="C2" t="str">
            <v>Year 1</v>
          </cell>
          <cell r="E2">
            <v>24855000000</v>
          </cell>
        </row>
        <row r="3">
          <cell r="B3" t="str">
            <v>AAL</v>
          </cell>
          <cell r="C3" t="str">
            <v>Year 2</v>
          </cell>
          <cell r="E3">
            <v>26743000000</v>
          </cell>
        </row>
        <row r="4">
          <cell r="B4" t="str">
            <v>AAL</v>
          </cell>
          <cell r="C4" t="str">
            <v>Year 3</v>
          </cell>
          <cell r="E4">
            <v>42650000000</v>
          </cell>
        </row>
        <row r="5">
          <cell r="B5" t="str">
            <v>AAL</v>
          </cell>
          <cell r="C5" t="str">
            <v>Year 4</v>
          </cell>
          <cell r="E5">
            <v>40990000000</v>
          </cell>
        </row>
        <row r="6">
          <cell r="B6" t="str">
            <v>AAP</v>
          </cell>
          <cell r="C6" t="str">
            <v>Year 1</v>
          </cell>
          <cell r="E6">
            <v>6205003000</v>
          </cell>
        </row>
        <row r="7">
          <cell r="B7" t="str">
            <v>AAP</v>
          </cell>
          <cell r="C7" t="str">
            <v>Year 2</v>
          </cell>
          <cell r="E7">
            <v>6493814000</v>
          </cell>
        </row>
        <row r="8">
          <cell r="B8" t="str">
            <v>AAP</v>
          </cell>
          <cell r="C8" t="str">
            <v>Year 3</v>
          </cell>
          <cell r="E8">
            <v>9843861000</v>
          </cell>
        </row>
        <row r="9">
          <cell r="B9" t="str">
            <v>AAP</v>
          </cell>
          <cell r="C9" t="str">
            <v>Year 4</v>
          </cell>
          <cell r="E9">
            <v>9737018000</v>
          </cell>
        </row>
        <row r="10">
          <cell r="B10" t="str">
            <v>AAPL</v>
          </cell>
          <cell r="C10" t="str">
            <v>Year 1</v>
          </cell>
          <cell r="E10">
            <v>170910000000</v>
          </cell>
        </row>
        <row r="11">
          <cell r="B11" t="str">
            <v>AAPL</v>
          </cell>
          <cell r="C11" t="str">
            <v>Year 2</v>
          </cell>
          <cell r="E11">
            <v>182795000000</v>
          </cell>
        </row>
        <row r="12">
          <cell r="B12" t="str">
            <v>AAPL</v>
          </cell>
          <cell r="C12" t="str">
            <v>Year 3</v>
          </cell>
          <cell r="E12">
            <v>233715000000</v>
          </cell>
        </row>
        <row r="13">
          <cell r="B13" t="str">
            <v>AAPL</v>
          </cell>
          <cell r="C13" t="str">
            <v>Year 4</v>
          </cell>
          <cell r="E13">
            <v>215639000000</v>
          </cell>
        </row>
        <row r="14">
          <cell r="B14" t="str">
            <v>ABBV</v>
          </cell>
          <cell r="C14" t="str">
            <v>Year 1</v>
          </cell>
          <cell r="E14">
            <v>18380000000</v>
          </cell>
        </row>
        <row r="15">
          <cell r="B15" t="str">
            <v>ABBV</v>
          </cell>
          <cell r="C15" t="str">
            <v>Year 2</v>
          </cell>
          <cell r="E15">
            <v>18790000000</v>
          </cell>
        </row>
        <row r="16">
          <cell r="B16" t="str">
            <v>ABBV</v>
          </cell>
          <cell r="C16" t="str">
            <v>Year 3</v>
          </cell>
          <cell r="E16">
            <v>19960000000</v>
          </cell>
        </row>
        <row r="17">
          <cell r="B17" t="str">
            <v>ABBV</v>
          </cell>
          <cell r="C17" t="str">
            <v>Year 4</v>
          </cell>
          <cell r="E17">
            <v>22859000000</v>
          </cell>
        </row>
        <row r="18">
          <cell r="B18" t="str">
            <v>ABC</v>
          </cell>
          <cell r="C18" t="str">
            <v>Year 1</v>
          </cell>
          <cell r="E18">
            <v>87959167000</v>
          </cell>
        </row>
        <row r="19">
          <cell r="B19" t="str">
            <v>ABC</v>
          </cell>
          <cell r="C19" t="str">
            <v>Year 2</v>
          </cell>
          <cell r="E19">
            <v>119569127000</v>
          </cell>
        </row>
        <row r="20">
          <cell r="B20" t="str">
            <v>ABC</v>
          </cell>
          <cell r="C20" t="str">
            <v>Year 3</v>
          </cell>
          <cell r="E20">
            <v>135961803000</v>
          </cell>
        </row>
        <row r="21">
          <cell r="B21" t="str">
            <v>ABC</v>
          </cell>
          <cell r="C21" t="str">
            <v>Year 4</v>
          </cell>
          <cell r="E21">
            <v>146849686000</v>
          </cell>
        </row>
        <row r="22">
          <cell r="B22" t="str">
            <v>ABT</v>
          </cell>
          <cell r="C22" t="str">
            <v>Year 1</v>
          </cell>
          <cell r="E22">
            <v>19050000000</v>
          </cell>
        </row>
        <row r="23">
          <cell r="B23" t="str">
            <v>ABT</v>
          </cell>
          <cell r="C23" t="str">
            <v>Year 2</v>
          </cell>
          <cell r="E23">
            <v>19657000000</v>
          </cell>
        </row>
        <row r="24">
          <cell r="B24" t="str">
            <v>ABT</v>
          </cell>
          <cell r="C24" t="str">
            <v>Year 3</v>
          </cell>
          <cell r="E24">
            <v>20247000000</v>
          </cell>
        </row>
        <row r="25">
          <cell r="B25" t="str">
            <v>ABT</v>
          </cell>
          <cell r="C25" t="str">
            <v>Year 4</v>
          </cell>
          <cell r="E25">
            <v>20405000000</v>
          </cell>
        </row>
        <row r="26">
          <cell r="B26" t="str">
            <v>ADBE</v>
          </cell>
          <cell r="C26" t="str">
            <v>Year 1</v>
          </cell>
          <cell r="E26">
            <v>4055240000</v>
          </cell>
        </row>
        <row r="27">
          <cell r="B27" t="str">
            <v>ADBE</v>
          </cell>
          <cell r="C27" t="str">
            <v>Year 2</v>
          </cell>
          <cell r="E27">
            <v>4147065000</v>
          </cell>
        </row>
        <row r="28">
          <cell r="B28" t="str">
            <v>ADBE</v>
          </cell>
          <cell r="C28" t="str">
            <v>Year 3</v>
          </cell>
          <cell r="E28">
            <v>4795511000</v>
          </cell>
        </row>
        <row r="29">
          <cell r="B29" t="str">
            <v>ADBE</v>
          </cell>
          <cell r="C29" t="str">
            <v>Year 4</v>
          </cell>
          <cell r="E29">
            <v>5854430000</v>
          </cell>
        </row>
        <row r="30">
          <cell r="B30" t="str">
            <v>ADI</v>
          </cell>
          <cell r="C30" t="str">
            <v>Year 1</v>
          </cell>
          <cell r="E30">
            <v>2633689000</v>
          </cell>
        </row>
        <row r="31">
          <cell r="B31" t="str">
            <v>ADI</v>
          </cell>
          <cell r="C31" t="str">
            <v>Year 2</v>
          </cell>
          <cell r="E31">
            <v>2864773000</v>
          </cell>
        </row>
        <row r="32">
          <cell r="B32" t="str">
            <v>ADI</v>
          </cell>
          <cell r="C32" t="str">
            <v>Year 3</v>
          </cell>
          <cell r="E32">
            <v>3435092000</v>
          </cell>
        </row>
        <row r="33">
          <cell r="B33" t="str">
            <v>ADI</v>
          </cell>
          <cell r="C33" t="str">
            <v>Year 4</v>
          </cell>
          <cell r="E33">
            <v>3421409000</v>
          </cell>
        </row>
        <row r="34">
          <cell r="B34" t="str">
            <v>ADM</v>
          </cell>
          <cell r="C34" t="str">
            <v>Year 1</v>
          </cell>
          <cell r="E34">
            <v>90559000000</v>
          </cell>
        </row>
        <row r="35">
          <cell r="B35" t="str">
            <v>ADM</v>
          </cell>
          <cell r="C35" t="str">
            <v>Year 2</v>
          </cell>
          <cell r="E35">
            <v>89804000000</v>
          </cell>
        </row>
        <row r="36">
          <cell r="B36" t="str">
            <v>ADM</v>
          </cell>
          <cell r="C36" t="str">
            <v>Year 3</v>
          </cell>
          <cell r="E36">
            <v>81201000000</v>
          </cell>
        </row>
        <row r="37">
          <cell r="B37" t="str">
            <v>ADM</v>
          </cell>
          <cell r="C37" t="str">
            <v>Year 4</v>
          </cell>
          <cell r="E37">
            <v>67702000000</v>
          </cell>
        </row>
        <row r="38">
          <cell r="B38" t="str">
            <v>ADS</v>
          </cell>
          <cell r="C38" t="str">
            <v>Year 1</v>
          </cell>
          <cell r="E38">
            <v>3641390000</v>
          </cell>
        </row>
        <row r="39">
          <cell r="B39" t="str">
            <v>ADS</v>
          </cell>
          <cell r="C39" t="str">
            <v>Year 2</v>
          </cell>
          <cell r="E39">
            <v>4319063000</v>
          </cell>
        </row>
        <row r="40">
          <cell r="B40" t="str">
            <v>ADS</v>
          </cell>
          <cell r="C40" t="str">
            <v>Year 3</v>
          </cell>
          <cell r="E40">
            <v>5302940000</v>
          </cell>
        </row>
        <row r="41">
          <cell r="B41" t="str">
            <v>ADS</v>
          </cell>
          <cell r="C41" t="str">
            <v>Year 4</v>
          </cell>
          <cell r="E41">
            <v>6439746000</v>
          </cell>
        </row>
        <row r="42">
          <cell r="B42" t="str">
            <v>ADSK</v>
          </cell>
          <cell r="C42" t="str">
            <v>Year 1</v>
          </cell>
          <cell r="E42">
            <v>2312200000</v>
          </cell>
        </row>
        <row r="43">
          <cell r="B43" t="str">
            <v>ADSK</v>
          </cell>
          <cell r="C43" t="str">
            <v>Year 2</v>
          </cell>
          <cell r="E43">
            <v>2273900000</v>
          </cell>
        </row>
        <row r="44">
          <cell r="B44" t="str">
            <v>ADSK</v>
          </cell>
          <cell r="C44" t="str">
            <v>Year 3</v>
          </cell>
          <cell r="E44">
            <v>2512200000</v>
          </cell>
        </row>
        <row r="45">
          <cell r="B45" t="str">
            <v>ADSK</v>
          </cell>
          <cell r="C45" t="str">
            <v>Year 4</v>
          </cell>
          <cell r="E45">
            <v>2504100000</v>
          </cell>
        </row>
        <row r="46">
          <cell r="B46" t="str">
            <v>AEE</v>
          </cell>
          <cell r="C46" t="str">
            <v>Year 1</v>
          </cell>
          <cell r="E46">
            <v>5781000000</v>
          </cell>
        </row>
        <row r="47">
          <cell r="B47" t="str">
            <v>AEE</v>
          </cell>
          <cell r="C47" t="str">
            <v>Year 2</v>
          </cell>
          <cell r="E47">
            <v>5838000000</v>
          </cell>
        </row>
        <row r="48">
          <cell r="B48" t="str">
            <v>AEE</v>
          </cell>
          <cell r="C48" t="str">
            <v>Year 3</v>
          </cell>
          <cell r="E48">
            <v>6053000000</v>
          </cell>
        </row>
        <row r="49">
          <cell r="B49" t="str">
            <v>AEE</v>
          </cell>
          <cell r="C49" t="str">
            <v>Year 4</v>
          </cell>
          <cell r="E49">
            <v>6098000000</v>
          </cell>
        </row>
        <row r="50">
          <cell r="B50" t="str">
            <v>AEP</v>
          </cell>
          <cell r="C50" t="str">
            <v>Year 1</v>
          </cell>
          <cell r="E50">
            <v>14945000000</v>
          </cell>
        </row>
        <row r="51">
          <cell r="B51" t="str">
            <v>AEP</v>
          </cell>
          <cell r="C51" t="str">
            <v>Year 2</v>
          </cell>
          <cell r="E51">
            <v>14813500000</v>
          </cell>
        </row>
        <row r="52">
          <cell r="B52" t="str">
            <v>AEP</v>
          </cell>
          <cell r="C52" t="str">
            <v>Year 3</v>
          </cell>
          <cell r="E52">
            <v>16378600000</v>
          </cell>
        </row>
        <row r="53">
          <cell r="B53" t="str">
            <v>AEP</v>
          </cell>
          <cell r="C53" t="str">
            <v>Year 4</v>
          </cell>
          <cell r="E53">
            <v>16453200000</v>
          </cell>
        </row>
        <row r="54">
          <cell r="B54" t="str">
            <v>AFL</v>
          </cell>
          <cell r="C54" t="str">
            <v>Year 1</v>
          </cell>
          <cell r="E54">
            <v>25364000000</v>
          </cell>
        </row>
        <row r="55">
          <cell r="B55" t="str">
            <v>AFL</v>
          </cell>
          <cell r="C55" t="str">
            <v>Year 2</v>
          </cell>
          <cell r="E55">
            <v>23939000000</v>
          </cell>
        </row>
        <row r="56">
          <cell r="B56" t="str">
            <v>AFL</v>
          </cell>
          <cell r="C56" t="str">
            <v>Year 3</v>
          </cell>
          <cell r="E56">
            <v>22728000000</v>
          </cell>
        </row>
        <row r="57">
          <cell r="B57" t="str">
            <v>AFL</v>
          </cell>
          <cell r="C57" t="str">
            <v>Year 4</v>
          </cell>
          <cell r="E57">
            <v>20872000000</v>
          </cell>
        </row>
        <row r="58">
          <cell r="B58" t="str">
            <v>AIG</v>
          </cell>
          <cell r="C58" t="str">
            <v>Year 1</v>
          </cell>
          <cell r="E58">
            <v>71214000000</v>
          </cell>
        </row>
        <row r="59">
          <cell r="B59" t="str">
            <v>AIG</v>
          </cell>
          <cell r="C59" t="str">
            <v>Year 2</v>
          </cell>
          <cell r="E59">
            <v>68874000000</v>
          </cell>
        </row>
        <row r="60">
          <cell r="B60" t="str">
            <v>AIG</v>
          </cell>
          <cell r="C60" t="str">
            <v>Year 3</v>
          </cell>
          <cell r="E60">
            <v>64406000000</v>
          </cell>
        </row>
        <row r="61">
          <cell r="B61" t="str">
            <v>AIG</v>
          </cell>
          <cell r="C61" t="str">
            <v>Year 4</v>
          </cell>
          <cell r="E61">
            <v>58327000000</v>
          </cell>
        </row>
        <row r="62">
          <cell r="B62" t="str">
            <v>AIV</v>
          </cell>
          <cell r="C62" t="str">
            <v>Year 1</v>
          </cell>
          <cell r="E62">
            <v>958511000</v>
          </cell>
        </row>
        <row r="63">
          <cell r="B63" t="str">
            <v>AIV</v>
          </cell>
          <cell r="C63" t="str">
            <v>Year 2</v>
          </cell>
          <cell r="E63">
            <v>974053000</v>
          </cell>
        </row>
        <row r="64">
          <cell r="B64" t="str">
            <v>AIV</v>
          </cell>
          <cell r="C64" t="str">
            <v>Year 3</v>
          </cell>
          <cell r="E64">
            <v>984363000</v>
          </cell>
        </row>
        <row r="65">
          <cell r="B65" t="str">
            <v>AIV</v>
          </cell>
          <cell r="C65" t="str">
            <v>Year 4</v>
          </cell>
          <cell r="E65">
            <v>981310000</v>
          </cell>
        </row>
        <row r="66">
          <cell r="B66" t="str">
            <v>AIZ</v>
          </cell>
          <cell r="C66" t="str">
            <v>Year 1</v>
          </cell>
          <cell r="E66">
            <v>9047657000</v>
          </cell>
        </row>
        <row r="67">
          <cell r="B67" t="str">
            <v>AIZ</v>
          </cell>
          <cell r="C67" t="str">
            <v>Year 2</v>
          </cell>
          <cell r="E67">
            <v>10381653000</v>
          </cell>
        </row>
        <row r="68">
          <cell r="B68" t="str">
            <v>AIZ</v>
          </cell>
          <cell r="C68" t="str">
            <v>Year 3</v>
          </cell>
          <cell r="E68">
            <v>10325494000</v>
          </cell>
        </row>
        <row r="69">
          <cell r="B69" t="str">
            <v>AIZ</v>
          </cell>
          <cell r="C69" t="str">
            <v>Year 4</v>
          </cell>
          <cell r="E69">
            <v>7531780000</v>
          </cell>
        </row>
        <row r="70">
          <cell r="B70" t="str">
            <v>AKAM</v>
          </cell>
          <cell r="C70" t="str">
            <v>Year 1</v>
          </cell>
          <cell r="E70">
            <v>1373947000</v>
          </cell>
        </row>
        <row r="71">
          <cell r="B71" t="str">
            <v>AKAM</v>
          </cell>
          <cell r="C71" t="str">
            <v>Year 2</v>
          </cell>
          <cell r="E71">
            <v>1577922000</v>
          </cell>
        </row>
        <row r="72">
          <cell r="B72" t="str">
            <v>AKAM</v>
          </cell>
          <cell r="C72" t="str">
            <v>Year 3</v>
          </cell>
          <cell r="E72">
            <v>1963874000</v>
          </cell>
        </row>
        <row r="73">
          <cell r="B73" t="str">
            <v>AKAM</v>
          </cell>
          <cell r="C73" t="str">
            <v>Year 4</v>
          </cell>
          <cell r="E73">
            <v>2197448000</v>
          </cell>
        </row>
        <row r="74">
          <cell r="B74" t="str">
            <v>ALB</v>
          </cell>
          <cell r="C74" t="str">
            <v>Year 1</v>
          </cell>
          <cell r="E74">
            <v>2519154000</v>
          </cell>
        </row>
        <row r="75">
          <cell r="B75" t="str">
            <v>ALB</v>
          </cell>
          <cell r="C75" t="str">
            <v>Year 2</v>
          </cell>
          <cell r="E75">
            <v>2394270000</v>
          </cell>
        </row>
        <row r="76">
          <cell r="B76" t="str">
            <v>ALB</v>
          </cell>
          <cell r="C76" t="str">
            <v>Year 3</v>
          </cell>
          <cell r="E76">
            <v>2445548000</v>
          </cell>
        </row>
        <row r="77">
          <cell r="B77" t="str">
            <v>ALB</v>
          </cell>
          <cell r="C77" t="str">
            <v>Year 4</v>
          </cell>
          <cell r="E77">
            <v>3651335000</v>
          </cell>
        </row>
        <row r="78">
          <cell r="B78" t="str">
            <v>ALK</v>
          </cell>
          <cell r="C78" t="str">
            <v>Year 1</v>
          </cell>
          <cell r="E78">
            <v>4657000000</v>
          </cell>
        </row>
        <row r="79">
          <cell r="B79" t="str">
            <v>ALK</v>
          </cell>
          <cell r="C79" t="str">
            <v>Year 2</v>
          </cell>
          <cell r="E79">
            <v>5156000000</v>
          </cell>
        </row>
        <row r="80">
          <cell r="B80" t="str">
            <v>ALK</v>
          </cell>
          <cell r="C80" t="str">
            <v>Year 3</v>
          </cell>
          <cell r="E80">
            <v>5368000000</v>
          </cell>
        </row>
        <row r="81">
          <cell r="B81" t="str">
            <v>ALK</v>
          </cell>
          <cell r="C81" t="str">
            <v>Year 4</v>
          </cell>
          <cell r="E81">
            <v>5598000000</v>
          </cell>
        </row>
        <row r="82">
          <cell r="B82" t="str">
            <v>ALL</v>
          </cell>
          <cell r="C82" t="str">
            <v>Year 1</v>
          </cell>
          <cell r="E82">
            <v>33315000000</v>
          </cell>
        </row>
        <row r="83">
          <cell r="B83" t="str">
            <v>ALL</v>
          </cell>
          <cell r="C83" t="str">
            <v>Year 2</v>
          </cell>
          <cell r="E83">
            <v>34507000000</v>
          </cell>
        </row>
        <row r="84">
          <cell r="B84" t="str">
            <v>ALL</v>
          </cell>
          <cell r="C84" t="str">
            <v>Year 3</v>
          </cell>
          <cell r="E84">
            <v>35239000000</v>
          </cell>
        </row>
        <row r="85">
          <cell r="B85" t="str">
            <v>ALL</v>
          </cell>
          <cell r="C85" t="str">
            <v>Year 4</v>
          </cell>
          <cell r="E85">
            <v>35653000000</v>
          </cell>
        </row>
        <row r="86">
          <cell r="B86" t="str">
            <v>ALLE</v>
          </cell>
          <cell r="C86" t="str">
            <v>Year 1</v>
          </cell>
          <cell r="E86">
            <v>2069600000</v>
          </cell>
        </row>
        <row r="87">
          <cell r="B87" t="str">
            <v>ALLE</v>
          </cell>
          <cell r="C87" t="str">
            <v>Year 2</v>
          </cell>
          <cell r="E87">
            <v>2118300000</v>
          </cell>
        </row>
        <row r="88">
          <cell r="B88" t="str">
            <v>ALLE</v>
          </cell>
          <cell r="C88" t="str">
            <v>Year 3</v>
          </cell>
          <cell r="E88">
            <v>2068100000</v>
          </cell>
        </row>
        <row r="89">
          <cell r="B89" t="str">
            <v>ALLE</v>
          </cell>
          <cell r="C89" t="str">
            <v>Year 4</v>
          </cell>
          <cell r="E89">
            <v>2238000000</v>
          </cell>
        </row>
        <row r="90">
          <cell r="B90" t="str">
            <v>ALXN</v>
          </cell>
          <cell r="C90" t="str">
            <v>Year 1</v>
          </cell>
          <cell r="E90">
            <v>1551346000</v>
          </cell>
        </row>
        <row r="91">
          <cell r="B91" t="str">
            <v>ALXN</v>
          </cell>
          <cell r="C91" t="str">
            <v>Year 2</v>
          </cell>
          <cell r="E91">
            <v>2234000000</v>
          </cell>
        </row>
        <row r="92">
          <cell r="B92" t="str">
            <v>ALXN</v>
          </cell>
          <cell r="C92" t="str">
            <v>Year 3</v>
          </cell>
          <cell r="E92">
            <v>2604000000</v>
          </cell>
        </row>
        <row r="93">
          <cell r="B93" t="str">
            <v>ALXN</v>
          </cell>
          <cell r="C93" t="str">
            <v>Year 4</v>
          </cell>
          <cell r="E93">
            <v>3084000000</v>
          </cell>
        </row>
        <row r="94">
          <cell r="B94" t="str">
            <v>AMAT</v>
          </cell>
          <cell r="C94" t="str">
            <v>Year 1</v>
          </cell>
          <cell r="E94">
            <v>7509000000</v>
          </cell>
        </row>
        <row r="95">
          <cell r="B95" t="str">
            <v>AMAT</v>
          </cell>
          <cell r="C95" t="str">
            <v>Year 2</v>
          </cell>
          <cell r="E95">
            <v>9072000000</v>
          </cell>
        </row>
        <row r="96">
          <cell r="B96" t="str">
            <v>AMAT</v>
          </cell>
          <cell r="C96" t="str">
            <v>Year 3</v>
          </cell>
          <cell r="E96">
            <v>9659000000</v>
          </cell>
        </row>
        <row r="97">
          <cell r="B97" t="str">
            <v>AMAT</v>
          </cell>
          <cell r="C97" t="str">
            <v>Year 4</v>
          </cell>
          <cell r="E97">
            <v>10825000000</v>
          </cell>
        </row>
        <row r="98">
          <cell r="B98" t="str">
            <v>AME</v>
          </cell>
          <cell r="C98" t="str">
            <v>Year 1</v>
          </cell>
          <cell r="E98">
            <v>3334213000</v>
          </cell>
        </row>
        <row r="99">
          <cell r="B99" t="str">
            <v>AME</v>
          </cell>
          <cell r="C99" t="str">
            <v>Year 2</v>
          </cell>
          <cell r="E99">
            <v>3594136000</v>
          </cell>
        </row>
        <row r="100">
          <cell r="B100" t="str">
            <v>AME</v>
          </cell>
          <cell r="C100" t="str">
            <v>Year 3</v>
          </cell>
          <cell r="E100">
            <v>4021964000</v>
          </cell>
        </row>
        <row r="101">
          <cell r="B101" t="str">
            <v>AME</v>
          </cell>
          <cell r="C101" t="str">
            <v>Year 4</v>
          </cell>
          <cell r="E101">
            <v>3974295000</v>
          </cell>
        </row>
        <row r="102">
          <cell r="B102" t="str">
            <v>AMGN</v>
          </cell>
          <cell r="C102" t="str">
            <v>Year 1</v>
          </cell>
          <cell r="E102">
            <v>18676000000</v>
          </cell>
        </row>
        <row r="103">
          <cell r="B103" t="str">
            <v>AMGN</v>
          </cell>
          <cell r="C103" t="str">
            <v>Year 2</v>
          </cell>
          <cell r="E103">
            <v>20063000000</v>
          </cell>
        </row>
        <row r="104">
          <cell r="B104" t="str">
            <v>AMGN</v>
          </cell>
          <cell r="C104" t="str">
            <v>Year 3</v>
          </cell>
          <cell r="E104">
            <v>21662000000</v>
          </cell>
        </row>
        <row r="105">
          <cell r="B105" t="str">
            <v>AMGN</v>
          </cell>
          <cell r="C105" t="str">
            <v>Year 4</v>
          </cell>
          <cell r="E105">
            <v>22991000000</v>
          </cell>
        </row>
        <row r="106">
          <cell r="B106" t="str">
            <v>AMP</v>
          </cell>
          <cell r="C106" t="str">
            <v>Year 1</v>
          </cell>
          <cell r="E106">
            <v>10259000000</v>
          </cell>
        </row>
        <row r="107">
          <cell r="B107" t="str">
            <v>AMP</v>
          </cell>
          <cell r="C107" t="str">
            <v>Year 2</v>
          </cell>
          <cell r="E107">
            <v>11230000000</v>
          </cell>
        </row>
        <row r="108">
          <cell r="B108" t="str">
            <v>AMP</v>
          </cell>
          <cell r="C108" t="str">
            <v>Year 3</v>
          </cell>
          <cell r="E108">
            <v>12296000000</v>
          </cell>
        </row>
        <row r="109">
          <cell r="B109" t="str">
            <v>AMP</v>
          </cell>
          <cell r="C109" t="str">
            <v>Year 4</v>
          </cell>
          <cell r="E109">
            <v>12200000000</v>
          </cell>
        </row>
        <row r="110">
          <cell r="B110" t="str">
            <v>AMT</v>
          </cell>
          <cell r="C110" t="str">
            <v>Year 1</v>
          </cell>
          <cell r="E110">
            <v>2875960000</v>
          </cell>
        </row>
        <row r="111">
          <cell r="B111" t="str">
            <v>AMT</v>
          </cell>
          <cell r="C111" t="str">
            <v>Year 2</v>
          </cell>
          <cell r="E111">
            <v>3361407000</v>
          </cell>
        </row>
        <row r="112">
          <cell r="B112" t="str">
            <v>AMT</v>
          </cell>
          <cell r="C112" t="str">
            <v>Year 3</v>
          </cell>
          <cell r="E112">
            <v>4100048000</v>
          </cell>
        </row>
        <row r="113">
          <cell r="B113" t="str">
            <v>AMT</v>
          </cell>
          <cell r="C113" t="str">
            <v>Year 4</v>
          </cell>
          <cell r="E113">
            <v>4771516000</v>
          </cell>
        </row>
        <row r="114">
          <cell r="B114" t="str">
            <v>AMZN</v>
          </cell>
          <cell r="C114" t="str">
            <v>Year 1</v>
          </cell>
          <cell r="E114">
            <v>74452000000</v>
          </cell>
        </row>
        <row r="115">
          <cell r="B115" t="str">
            <v>AMZN</v>
          </cell>
          <cell r="C115" t="str">
            <v>Year 2</v>
          </cell>
          <cell r="E115">
            <v>88988000000</v>
          </cell>
        </row>
        <row r="116">
          <cell r="B116" t="str">
            <v>AMZN</v>
          </cell>
          <cell r="C116" t="str">
            <v>Year 3</v>
          </cell>
          <cell r="E116">
            <v>107006000000</v>
          </cell>
        </row>
        <row r="117">
          <cell r="B117" t="str">
            <v>AMZN</v>
          </cell>
          <cell r="C117" t="str">
            <v>Year 4</v>
          </cell>
          <cell r="E117">
            <v>135987000000</v>
          </cell>
        </row>
        <row r="118">
          <cell r="B118" t="str">
            <v>AN</v>
          </cell>
          <cell r="C118" t="str">
            <v>Year 1</v>
          </cell>
          <cell r="E118">
            <v>17517600000</v>
          </cell>
        </row>
        <row r="119">
          <cell r="B119" t="str">
            <v>AN</v>
          </cell>
          <cell r="C119" t="str">
            <v>Year 2</v>
          </cell>
          <cell r="E119">
            <v>19108800000</v>
          </cell>
        </row>
        <row r="120">
          <cell r="B120" t="str">
            <v>AN</v>
          </cell>
          <cell r="C120" t="str">
            <v>Year 3</v>
          </cell>
          <cell r="E120">
            <v>20862000000</v>
          </cell>
        </row>
        <row r="121">
          <cell r="B121" t="str">
            <v>AN</v>
          </cell>
          <cell r="C121" t="str">
            <v>Year 4</v>
          </cell>
          <cell r="E121">
            <v>21609000000</v>
          </cell>
        </row>
        <row r="122">
          <cell r="B122" t="str">
            <v>ANTM</v>
          </cell>
          <cell r="C122" t="str">
            <v>Year 1</v>
          </cell>
          <cell r="E122">
            <v>61497200000</v>
          </cell>
        </row>
        <row r="123">
          <cell r="B123" t="str">
            <v>ANTM</v>
          </cell>
          <cell r="C123" t="str">
            <v>Year 2</v>
          </cell>
          <cell r="E123">
            <v>71023500000</v>
          </cell>
        </row>
        <row r="124">
          <cell r="B124" t="str">
            <v>ANTM</v>
          </cell>
          <cell r="C124" t="str">
            <v>Year 3</v>
          </cell>
          <cell r="E124">
            <v>73874100000</v>
          </cell>
        </row>
        <row r="125">
          <cell r="B125" t="str">
            <v>ANTM</v>
          </cell>
          <cell r="C125" t="str">
            <v>Year 4</v>
          </cell>
          <cell r="E125">
            <v>79156500000</v>
          </cell>
        </row>
        <row r="126">
          <cell r="B126" t="str">
            <v>APA</v>
          </cell>
          <cell r="C126" t="str">
            <v>Year 1</v>
          </cell>
          <cell r="E126">
            <v>16428000000</v>
          </cell>
        </row>
        <row r="127">
          <cell r="B127" t="str">
            <v>APA</v>
          </cell>
          <cell r="C127" t="str">
            <v>Year 2</v>
          </cell>
          <cell r="E127">
            <v>14771000000</v>
          </cell>
        </row>
        <row r="128">
          <cell r="B128" t="str">
            <v>APA</v>
          </cell>
          <cell r="C128" t="str">
            <v>Year 3</v>
          </cell>
          <cell r="E128">
            <v>12691000000</v>
          </cell>
        </row>
        <row r="129">
          <cell r="B129" t="str">
            <v>APA</v>
          </cell>
          <cell r="C129" t="str">
            <v>Year 4</v>
          </cell>
          <cell r="E129">
            <v>6383000000</v>
          </cell>
        </row>
        <row r="130">
          <cell r="B130" t="str">
            <v>APC</v>
          </cell>
          <cell r="C130" t="str">
            <v>Year 1</v>
          </cell>
          <cell r="E130">
            <v>14581000000</v>
          </cell>
        </row>
        <row r="131">
          <cell r="B131" t="str">
            <v>APC</v>
          </cell>
          <cell r="C131" t="str">
            <v>Year 2</v>
          </cell>
          <cell r="E131">
            <v>18470000000</v>
          </cell>
        </row>
        <row r="132">
          <cell r="B132" t="str">
            <v>APC</v>
          </cell>
          <cell r="C132" t="str">
            <v>Year 3</v>
          </cell>
          <cell r="E132">
            <v>8698000000</v>
          </cell>
        </row>
        <row r="133">
          <cell r="B133" t="str">
            <v>APC</v>
          </cell>
          <cell r="C133" t="str">
            <v>Year 4</v>
          </cell>
          <cell r="E133">
            <v>7869000000</v>
          </cell>
        </row>
        <row r="134">
          <cell r="B134" t="str">
            <v>APD</v>
          </cell>
          <cell r="C134" t="str">
            <v>Year 1</v>
          </cell>
          <cell r="E134">
            <v>10180400000</v>
          </cell>
        </row>
        <row r="135">
          <cell r="B135" t="str">
            <v>APD</v>
          </cell>
          <cell r="C135" t="str">
            <v>Year 2</v>
          </cell>
          <cell r="E135">
            <v>10439000000</v>
          </cell>
        </row>
        <row r="136">
          <cell r="B136" t="str">
            <v>APD</v>
          </cell>
          <cell r="C136" t="str">
            <v>Year 3</v>
          </cell>
          <cell r="E136">
            <v>9894900000</v>
          </cell>
        </row>
        <row r="137">
          <cell r="B137" t="str">
            <v>APD</v>
          </cell>
          <cell r="C137" t="str">
            <v>Year 4</v>
          </cell>
          <cell r="E137">
            <v>9524400000</v>
          </cell>
        </row>
        <row r="138">
          <cell r="B138" t="str">
            <v>APH</v>
          </cell>
          <cell r="C138" t="str">
            <v>Year 1</v>
          </cell>
          <cell r="E138">
            <v>4292100000</v>
          </cell>
        </row>
        <row r="139">
          <cell r="B139" t="str">
            <v>APH</v>
          </cell>
          <cell r="C139" t="str">
            <v>Year 2</v>
          </cell>
          <cell r="E139">
            <v>4614700000</v>
          </cell>
        </row>
        <row r="140">
          <cell r="B140" t="str">
            <v>APH</v>
          </cell>
          <cell r="C140" t="str">
            <v>Year 3</v>
          </cell>
          <cell r="E140">
            <v>5345500000</v>
          </cell>
        </row>
        <row r="141">
          <cell r="B141" t="str">
            <v>APH</v>
          </cell>
          <cell r="C141" t="str">
            <v>Year 4</v>
          </cell>
          <cell r="E141">
            <v>5568700000</v>
          </cell>
        </row>
        <row r="142">
          <cell r="B142" t="str">
            <v>ARNC</v>
          </cell>
          <cell r="C142" t="str">
            <v>Year 1</v>
          </cell>
          <cell r="E142">
            <v>23700000000</v>
          </cell>
        </row>
        <row r="143">
          <cell r="B143" t="str">
            <v>ARNC</v>
          </cell>
          <cell r="C143" t="str">
            <v>Year 2</v>
          </cell>
          <cell r="E143">
            <v>23032000000</v>
          </cell>
        </row>
        <row r="144">
          <cell r="B144" t="str">
            <v>ARNC</v>
          </cell>
          <cell r="C144" t="str">
            <v>Year 3</v>
          </cell>
          <cell r="E144">
            <v>23906000000</v>
          </cell>
        </row>
        <row r="145">
          <cell r="B145" t="str">
            <v>ARNC</v>
          </cell>
          <cell r="C145" t="str">
            <v>Year 4</v>
          </cell>
          <cell r="E145">
            <v>22534000000</v>
          </cell>
        </row>
        <row r="146">
          <cell r="B146" t="str">
            <v>ATVI</v>
          </cell>
          <cell r="C146" t="str">
            <v>Year 1</v>
          </cell>
          <cell r="E146">
            <v>4856000000</v>
          </cell>
        </row>
        <row r="147">
          <cell r="B147" t="str">
            <v>ATVI</v>
          </cell>
          <cell r="C147" t="str">
            <v>Year 2</v>
          </cell>
          <cell r="E147">
            <v>4583000000</v>
          </cell>
        </row>
        <row r="148">
          <cell r="B148" t="str">
            <v>ATVI</v>
          </cell>
          <cell r="C148" t="str">
            <v>Year 3</v>
          </cell>
          <cell r="E148">
            <v>4408000000</v>
          </cell>
        </row>
        <row r="149">
          <cell r="B149" t="str">
            <v>ATVI</v>
          </cell>
          <cell r="C149" t="str">
            <v>Year 4</v>
          </cell>
          <cell r="E149">
            <v>4664000000</v>
          </cell>
        </row>
        <row r="150">
          <cell r="B150" t="str">
            <v>AVGO</v>
          </cell>
          <cell r="C150" t="str">
            <v>Year 1</v>
          </cell>
          <cell r="E150">
            <v>6824000000</v>
          </cell>
        </row>
        <row r="151">
          <cell r="B151" t="str">
            <v>AVGO</v>
          </cell>
          <cell r="C151" t="str">
            <v>Year 2</v>
          </cell>
          <cell r="E151">
            <v>13240000000</v>
          </cell>
        </row>
        <row r="152">
          <cell r="B152" t="str">
            <v>AVY</v>
          </cell>
          <cell r="C152" t="str">
            <v>Year 1</v>
          </cell>
          <cell r="E152">
            <v>5863500000</v>
          </cell>
        </row>
        <row r="153">
          <cell r="B153" t="str">
            <v>AVY</v>
          </cell>
          <cell r="C153" t="str">
            <v>Year 2</v>
          </cell>
          <cell r="E153">
            <v>6140000000</v>
          </cell>
        </row>
        <row r="154">
          <cell r="B154" t="str">
            <v>AVY</v>
          </cell>
          <cell r="C154" t="str">
            <v>Year 3</v>
          </cell>
          <cell r="E154">
            <v>6330300000</v>
          </cell>
        </row>
        <row r="155">
          <cell r="B155" t="str">
            <v>AVY</v>
          </cell>
          <cell r="C155" t="str">
            <v>Year 4</v>
          </cell>
          <cell r="E155">
            <v>5966900000</v>
          </cell>
        </row>
        <row r="156">
          <cell r="B156" t="str">
            <v>AWK</v>
          </cell>
          <cell r="C156" t="str">
            <v>Year 1</v>
          </cell>
          <cell r="E156">
            <v>2853926000</v>
          </cell>
        </row>
        <row r="157">
          <cell r="B157" t="str">
            <v>AWK</v>
          </cell>
          <cell r="C157" t="str">
            <v>Year 2</v>
          </cell>
          <cell r="E157">
            <v>2879000000</v>
          </cell>
        </row>
        <row r="158">
          <cell r="B158" t="str">
            <v>AWK</v>
          </cell>
          <cell r="C158" t="str">
            <v>Year 3</v>
          </cell>
          <cell r="E158">
            <v>3011000000</v>
          </cell>
        </row>
        <row r="159">
          <cell r="B159" t="str">
            <v>AWK</v>
          </cell>
          <cell r="C159" t="str">
            <v>Year 4</v>
          </cell>
          <cell r="E159">
            <v>3159000000</v>
          </cell>
        </row>
        <row r="160">
          <cell r="B160" t="str">
            <v>AXP</v>
          </cell>
          <cell r="C160" t="str">
            <v>Year 1</v>
          </cell>
          <cell r="E160">
            <v>33781000000</v>
          </cell>
        </row>
        <row r="161">
          <cell r="B161" t="str">
            <v>AXP</v>
          </cell>
          <cell r="C161" t="str">
            <v>Year 2</v>
          </cell>
          <cell r="E161">
            <v>34828000000</v>
          </cell>
        </row>
        <row r="162">
          <cell r="B162" t="str">
            <v>AXP</v>
          </cell>
          <cell r="C162" t="str">
            <v>Year 3</v>
          </cell>
          <cell r="E162">
            <v>35895000000</v>
          </cell>
        </row>
        <row r="163">
          <cell r="B163" t="str">
            <v>AXP</v>
          </cell>
          <cell r="C163" t="str">
            <v>Year 4</v>
          </cell>
          <cell r="E163">
            <v>34441000000</v>
          </cell>
        </row>
        <row r="164">
          <cell r="B164" t="str">
            <v>AYI</v>
          </cell>
          <cell r="C164" t="str">
            <v>Year 1</v>
          </cell>
          <cell r="E164">
            <v>2089100000</v>
          </cell>
        </row>
        <row r="165">
          <cell r="B165" t="str">
            <v>AYI</v>
          </cell>
          <cell r="C165" t="str">
            <v>Year 2</v>
          </cell>
          <cell r="E165">
            <v>2393500000</v>
          </cell>
        </row>
        <row r="166">
          <cell r="B166" t="str">
            <v>AYI</v>
          </cell>
          <cell r="C166" t="str">
            <v>Year 3</v>
          </cell>
          <cell r="E166">
            <v>2706700000</v>
          </cell>
        </row>
        <row r="167">
          <cell r="B167" t="str">
            <v>AYI</v>
          </cell>
          <cell r="C167" t="str">
            <v>Year 4</v>
          </cell>
          <cell r="E167">
            <v>3291300000</v>
          </cell>
        </row>
        <row r="168">
          <cell r="B168" t="str">
            <v>AZO</v>
          </cell>
          <cell r="C168" t="str">
            <v>Year 1</v>
          </cell>
          <cell r="E168">
            <v>9147530000</v>
          </cell>
        </row>
        <row r="169">
          <cell r="B169" t="str">
            <v>AZO</v>
          </cell>
          <cell r="C169" t="str">
            <v>Year 2</v>
          </cell>
          <cell r="E169">
            <v>9475313000</v>
          </cell>
        </row>
        <row r="170">
          <cell r="B170" t="str">
            <v>AZO</v>
          </cell>
          <cell r="C170" t="str">
            <v>Year 3</v>
          </cell>
          <cell r="E170">
            <v>10187340000</v>
          </cell>
        </row>
        <row r="171">
          <cell r="B171" t="str">
            <v>AZO</v>
          </cell>
          <cell r="C171" t="str">
            <v>Year 4</v>
          </cell>
          <cell r="E171">
            <v>10635676000</v>
          </cell>
        </row>
        <row r="172">
          <cell r="B172" t="str">
            <v>BA</v>
          </cell>
          <cell r="C172" t="str">
            <v>Year 1</v>
          </cell>
          <cell r="E172">
            <v>86623000000</v>
          </cell>
        </row>
        <row r="173">
          <cell r="B173" t="str">
            <v>BA</v>
          </cell>
          <cell r="C173" t="str">
            <v>Year 2</v>
          </cell>
          <cell r="E173">
            <v>90762000000</v>
          </cell>
        </row>
        <row r="174">
          <cell r="B174" t="str">
            <v>BA</v>
          </cell>
          <cell r="C174" t="str">
            <v>Year 3</v>
          </cell>
          <cell r="E174">
            <v>96114000000</v>
          </cell>
        </row>
        <row r="175">
          <cell r="B175" t="str">
            <v>BA</v>
          </cell>
          <cell r="C175" t="str">
            <v>Year 4</v>
          </cell>
          <cell r="E175">
            <v>94571000000</v>
          </cell>
        </row>
        <row r="176">
          <cell r="B176" t="str">
            <v>BAC</v>
          </cell>
          <cell r="C176" t="str">
            <v>Year 1</v>
          </cell>
          <cell r="E176">
            <v>100078000000</v>
          </cell>
        </row>
        <row r="177">
          <cell r="B177" t="str">
            <v>BAC</v>
          </cell>
          <cell r="C177" t="str">
            <v>Year 2</v>
          </cell>
          <cell r="E177">
            <v>101697000000</v>
          </cell>
        </row>
        <row r="178">
          <cell r="B178" t="str">
            <v>BAC</v>
          </cell>
          <cell r="C178" t="str">
            <v>Year 3</v>
          </cell>
          <cell r="E178">
            <v>95181000000</v>
          </cell>
        </row>
        <row r="179">
          <cell r="B179" t="str">
            <v>BAC</v>
          </cell>
          <cell r="C179" t="str">
            <v>Year 4</v>
          </cell>
          <cell r="E179">
            <v>93056000000</v>
          </cell>
        </row>
        <row r="180">
          <cell r="B180" t="str">
            <v>BAX</v>
          </cell>
          <cell r="C180" t="str">
            <v>Year 1</v>
          </cell>
          <cell r="E180">
            <v>13936000000</v>
          </cell>
        </row>
        <row r="181">
          <cell r="B181" t="str">
            <v>BAX</v>
          </cell>
          <cell r="C181" t="str">
            <v>Year 2</v>
          </cell>
          <cell r="E181">
            <v>9413000000</v>
          </cell>
        </row>
        <row r="182">
          <cell r="B182" t="str">
            <v>BAX</v>
          </cell>
          <cell r="C182" t="str">
            <v>Year 3</v>
          </cell>
          <cell r="E182">
            <v>10719000000</v>
          </cell>
        </row>
        <row r="183">
          <cell r="B183" t="str">
            <v>BAX</v>
          </cell>
          <cell r="C183" t="str">
            <v>Year 4</v>
          </cell>
          <cell r="E183">
            <v>9968000000</v>
          </cell>
        </row>
        <row r="184">
          <cell r="B184" t="str">
            <v>BBBY</v>
          </cell>
          <cell r="C184" t="str">
            <v>Year 1</v>
          </cell>
          <cell r="E184">
            <v>10914585000</v>
          </cell>
        </row>
        <row r="185">
          <cell r="B185" t="str">
            <v>BBBY</v>
          </cell>
          <cell r="C185" t="str">
            <v>Year 2</v>
          </cell>
          <cell r="E185">
            <v>11503963000</v>
          </cell>
        </row>
        <row r="186">
          <cell r="B186" t="str">
            <v>BBBY</v>
          </cell>
          <cell r="C186" t="str">
            <v>Year 3</v>
          </cell>
          <cell r="E186">
            <v>11881176000</v>
          </cell>
        </row>
        <row r="187">
          <cell r="B187" t="str">
            <v>BBBY</v>
          </cell>
          <cell r="C187" t="str">
            <v>Year 4</v>
          </cell>
          <cell r="E187">
            <v>12103887000</v>
          </cell>
        </row>
        <row r="188">
          <cell r="B188" t="str">
            <v>BBT</v>
          </cell>
          <cell r="C188" t="str">
            <v>Year 1</v>
          </cell>
          <cell r="E188">
            <v>10737000000</v>
          </cell>
        </row>
        <row r="189">
          <cell r="B189" t="str">
            <v>BBT</v>
          </cell>
          <cell r="C189" t="str">
            <v>Year 2</v>
          </cell>
          <cell r="E189">
            <v>10543000000</v>
          </cell>
        </row>
        <row r="190">
          <cell r="B190" t="str">
            <v>BBT</v>
          </cell>
          <cell r="C190" t="str">
            <v>Year 3</v>
          </cell>
          <cell r="E190">
            <v>9998000000</v>
          </cell>
        </row>
        <row r="191">
          <cell r="B191" t="str">
            <v>BBT</v>
          </cell>
          <cell r="C191" t="str">
            <v>Year 4</v>
          </cell>
          <cell r="E191">
            <v>10346000000</v>
          </cell>
        </row>
        <row r="192">
          <cell r="B192" t="str">
            <v>BBY</v>
          </cell>
          <cell r="C192" t="str">
            <v>Year 1</v>
          </cell>
          <cell r="E192">
            <v>45457000000</v>
          </cell>
        </row>
        <row r="193">
          <cell r="B193" t="str">
            <v>BBY</v>
          </cell>
          <cell r="C193" t="str">
            <v>Year 2</v>
          </cell>
          <cell r="E193">
            <v>40611000000</v>
          </cell>
        </row>
        <row r="194">
          <cell r="B194" t="str">
            <v>BBY</v>
          </cell>
          <cell r="C194" t="str">
            <v>Year 3</v>
          </cell>
          <cell r="E194">
            <v>40339000000</v>
          </cell>
        </row>
        <row r="195">
          <cell r="B195" t="str">
            <v>BBY</v>
          </cell>
          <cell r="C195" t="str">
            <v>Year 4</v>
          </cell>
          <cell r="E195">
            <v>39528000000</v>
          </cell>
        </row>
        <row r="196">
          <cell r="B196" t="str">
            <v>BCR</v>
          </cell>
          <cell r="C196" t="str">
            <v>Year 1</v>
          </cell>
          <cell r="E196">
            <v>3049500000</v>
          </cell>
        </row>
        <row r="197">
          <cell r="B197" t="str">
            <v>BCR</v>
          </cell>
          <cell r="C197" t="str">
            <v>Year 2</v>
          </cell>
          <cell r="E197">
            <v>3323600000</v>
          </cell>
        </row>
        <row r="198">
          <cell r="B198" t="str">
            <v>BCR</v>
          </cell>
          <cell r="C198" t="str">
            <v>Year 3</v>
          </cell>
          <cell r="E198">
            <v>3416000000</v>
          </cell>
        </row>
        <row r="199">
          <cell r="B199" t="str">
            <v>BCR</v>
          </cell>
          <cell r="C199" t="str">
            <v>Year 4</v>
          </cell>
          <cell r="E199">
            <v>3714000000</v>
          </cell>
        </row>
        <row r="200">
          <cell r="B200" t="str">
            <v>BDX</v>
          </cell>
          <cell r="C200" t="str">
            <v>Year 1</v>
          </cell>
          <cell r="E200">
            <v>8054000000</v>
          </cell>
        </row>
        <row r="201">
          <cell r="B201" t="str">
            <v>BDX</v>
          </cell>
          <cell r="C201" t="str">
            <v>Year 2</v>
          </cell>
          <cell r="E201">
            <v>8446000000</v>
          </cell>
        </row>
        <row r="202">
          <cell r="B202" t="str">
            <v>BDX</v>
          </cell>
          <cell r="C202" t="str">
            <v>Year 3</v>
          </cell>
          <cell r="E202">
            <v>10282000000</v>
          </cell>
        </row>
        <row r="203">
          <cell r="B203" t="str">
            <v>BDX</v>
          </cell>
          <cell r="C203" t="str">
            <v>Year 4</v>
          </cell>
          <cell r="E203">
            <v>12483000000</v>
          </cell>
        </row>
        <row r="204">
          <cell r="B204" t="str">
            <v>BHI</v>
          </cell>
          <cell r="C204" t="str">
            <v>Year 1</v>
          </cell>
          <cell r="E204">
            <v>22364000000</v>
          </cell>
        </row>
        <row r="205">
          <cell r="B205" t="str">
            <v>BHI</v>
          </cell>
          <cell r="C205" t="str">
            <v>Year 2</v>
          </cell>
          <cell r="E205">
            <v>24551000000</v>
          </cell>
        </row>
        <row r="206">
          <cell r="B206" t="str">
            <v>BHI</v>
          </cell>
          <cell r="C206" t="str">
            <v>Year 3</v>
          </cell>
          <cell r="E206">
            <v>15742000000</v>
          </cell>
        </row>
        <row r="207">
          <cell r="B207" t="str">
            <v>BHI</v>
          </cell>
          <cell r="C207" t="str">
            <v>Year 4</v>
          </cell>
          <cell r="E207">
            <v>9841000000</v>
          </cell>
        </row>
        <row r="208">
          <cell r="B208" t="str">
            <v>BIIB</v>
          </cell>
          <cell r="C208" t="str">
            <v>Year 1</v>
          </cell>
          <cell r="E208">
            <v>6932200000</v>
          </cell>
        </row>
        <row r="209">
          <cell r="B209" t="str">
            <v>BIIB</v>
          </cell>
          <cell r="C209" t="str">
            <v>Year 2</v>
          </cell>
          <cell r="E209">
            <v>9703300000</v>
          </cell>
        </row>
        <row r="210">
          <cell r="B210" t="str">
            <v>BIIB</v>
          </cell>
          <cell r="C210" t="str">
            <v>Year 3</v>
          </cell>
          <cell r="E210">
            <v>10763800000</v>
          </cell>
        </row>
        <row r="211">
          <cell r="B211" t="str">
            <v>BIIB</v>
          </cell>
          <cell r="C211" t="str">
            <v>Year 4</v>
          </cell>
          <cell r="E211">
            <v>11448800000</v>
          </cell>
        </row>
        <row r="212">
          <cell r="B212" t="str">
            <v>BLL</v>
          </cell>
          <cell r="C212" t="str">
            <v>Year 1</v>
          </cell>
          <cell r="E212">
            <v>8735700000</v>
          </cell>
        </row>
        <row r="213">
          <cell r="B213" t="str">
            <v>BLL</v>
          </cell>
          <cell r="C213" t="str">
            <v>Year 2</v>
          </cell>
          <cell r="E213">
            <v>8468100000</v>
          </cell>
        </row>
        <row r="214">
          <cell r="B214" t="str">
            <v>BLL</v>
          </cell>
          <cell r="C214" t="str">
            <v>Year 3</v>
          </cell>
          <cell r="E214">
            <v>8570000000</v>
          </cell>
        </row>
        <row r="215">
          <cell r="B215" t="str">
            <v>BLL</v>
          </cell>
          <cell r="C215" t="str">
            <v>Year 4</v>
          </cell>
          <cell r="E215">
            <v>7997000000</v>
          </cell>
        </row>
        <row r="216">
          <cell r="B216" t="str">
            <v>BMY</v>
          </cell>
          <cell r="C216" t="str">
            <v>Year 1</v>
          </cell>
          <cell r="E216">
            <v>17621000000</v>
          </cell>
        </row>
        <row r="217">
          <cell r="B217" t="str">
            <v>BMY</v>
          </cell>
          <cell r="C217" t="str">
            <v>Year 2</v>
          </cell>
          <cell r="E217">
            <v>16385000000</v>
          </cell>
        </row>
        <row r="218">
          <cell r="B218" t="str">
            <v>BMY</v>
          </cell>
          <cell r="C218" t="str">
            <v>Year 3</v>
          </cell>
          <cell r="E218">
            <v>15879000000</v>
          </cell>
        </row>
        <row r="219">
          <cell r="B219" t="str">
            <v>BMY</v>
          </cell>
          <cell r="C219" t="str">
            <v>Year 4</v>
          </cell>
          <cell r="E219">
            <v>16560000000</v>
          </cell>
        </row>
        <row r="220">
          <cell r="B220" t="str">
            <v>BSX</v>
          </cell>
          <cell r="C220" t="str">
            <v>Year 1</v>
          </cell>
          <cell r="E220">
            <v>7249000000</v>
          </cell>
        </row>
        <row r="221">
          <cell r="B221" t="str">
            <v>BSX</v>
          </cell>
          <cell r="C221" t="str">
            <v>Year 2</v>
          </cell>
          <cell r="E221">
            <v>7143000000</v>
          </cell>
        </row>
        <row r="222">
          <cell r="B222" t="str">
            <v>BSX</v>
          </cell>
          <cell r="C222" t="str">
            <v>Year 3</v>
          </cell>
          <cell r="E222">
            <v>7380000000</v>
          </cell>
        </row>
        <row r="223">
          <cell r="B223" t="str">
            <v>BSX</v>
          </cell>
          <cell r="C223" t="str">
            <v>Year 4</v>
          </cell>
          <cell r="E223">
            <v>7477000000</v>
          </cell>
        </row>
        <row r="224">
          <cell r="B224" t="str">
            <v>BWA</v>
          </cell>
          <cell r="C224" t="str">
            <v>Year 1</v>
          </cell>
          <cell r="E224">
            <v>7436600000</v>
          </cell>
        </row>
        <row r="225">
          <cell r="B225" t="str">
            <v>BWA</v>
          </cell>
          <cell r="C225" t="str">
            <v>Year 2</v>
          </cell>
          <cell r="E225">
            <v>8305100000</v>
          </cell>
        </row>
        <row r="226">
          <cell r="B226" t="str">
            <v>BWA</v>
          </cell>
          <cell r="C226" t="str">
            <v>Year 3</v>
          </cell>
          <cell r="E226">
            <v>8023200000</v>
          </cell>
        </row>
        <row r="227">
          <cell r="B227" t="str">
            <v>BWA</v>
          </cell>
          <cell r="C227" t="str">
            <v>Year 4</v>
          </cell>
          <cell r="E227">
            <v>9071000000</v>
          </cell>
        </row>
        <row r="228">
          <cell r="B228" t="str">
            <v>BXP</v>
          </cell>
          <cell r="C228" t="str">
            <v>Year 1</v>
          </cell>
          <cell r="E228">
            <v>1847186000</v>
          </cell>
        </row>
        <row r="229">
          <cell r="B229" t="str">
            <v>BXP</v>
          </cell>
          <cell r="C229" t="str">
            <v>Year 2</v>
          </cell>
          <cell r="E229">
            <v>2135539000</v>
          </cell>
        </row>
        <row r="230">
          <cell r="B230" t="str">
            <v>BXP</v>
          </cell>
          <cell r="C230" t="str">
            <v>Year 3</v>
          </cell>
          <cell r="E230">
            <v>2396998000</v>
          </cell>
        </row>
        <row r="231">
          <cell r="B231" t="str">
            <v>BXP</v>
          </cell>
          <cell r="C231" t="str">
            <v>Year 4</v>
          </cell>
          <cell r="E231">
            <v>2490821000</v>
          </cell>
        </row>
        <row r="232">
          <cell r="B232" t="str">
            <v>CAG</v>
          </cell>
          <cell r="C232" t="str">
            <v>Year 1</v>
          </cell>
          <cell r="E232">
            <v>13469300000</v>
          </cell>
        </row>
        <row r="233">
          <cell r="B233" t="str">
            <v>CAG</v>
          </cell>
          <cell r="C233" t="str">
            <v>Year 2</v>
          </cell>
          <cell r="E233">
            <v>11838200000</v>
          </cell>
        </row>
        <row r="234">
          <cell r="B234" t="str">
            <v>CAG</v>
          </cell>
          <cell r="C234" t="str">
            <v>Year 3</v>
          </cell>
          <cell r="E234">
            <v>11937000000</v>
          </cell>
        </row>
        <row r="235">
          <cell r="B235" t="str">
            <v>CAG</v>
          </cell>
          <cell r="C235" t="str">
            <v>Year 4</v>
          </cell>
          <cell r="E235">
            <v>11642900000</v>
          </cell>
        </row>
        <row r="236">
          <cell r="B236" t="str">
            <v>CAH</v>
          </cell>
          <cell r="C236" t="str">
            <v>Year 1</v>
          </cell>
          <cell r="E236">
            <v>101093000000</v>
          </cell>
        </row>
        <row r="237">
          <cell r="B237" t="str">
            <v>CAH</v>
          </cell>
          <cell r="C237" t="str">
            <v>Year 2</v>
          </cell>
          <cell r="E237">
            <v>91084000000</v>
          </cell>
        </row>
        <row r="238">
          <cell r="B238" t="str">
            <v>CAH</v>
          </cell>
          <cell r="C238" t="str">
            <v>Year 3</v>
          </cell>
          <cell r="E238">
            <v>102531000000</v>
          </cell>
        </row>
        <row r="239">
          <cell r="B239" t="str">
            <v>CAH</v>
          </cell>
          <cell r="C239" t="str">
            <v>Year 4</v>
          </cell>
          <cell r="E239">
            <v>121546000000</v>
          </cell>
        </row>
        <row r="240">
          <cell r="B240" t="str">
            <v>CAT</v>
          </cell>
          <cell r="C240" t="str">
            <v>Year 1</v>
          </cell>
          <cell r="E240">
            <v>55656000000</v>
          </cell>
        </row>
        <row r="241">
          <cell r="B241" t="str">
            <v>CAT</v>
          </cell>
          <cell r="C241" t="str">
            <v>Year 2</v>
          </cell>
          <cell r="E241">
            <v>55184000000</v>
          </cell>
        </row>
        <row r="242">
          <cell r="B242" t="str">
            <v>CAT</v>
          </cell>
          <cell r="C242" t="str">
            <v>Year 3</v>
          </cell>
          <cell r="E242">
            <v>47011000000</v>
          </cell>
        </row>
        <row r="243">
          <cell r="B243" t="str">
            <v>CAT</v>
          </cell>
          <cell r="C243" t="str">
            <v>Year 4</v>
          </cell>
          <cell r="E243">
            <v>38537000000</v>
          </cell>
        </row>
        <row r="244">
          <cell r="B244" t="str">
            <v>CB</v>
          </cell>
          <cell r="C244" t="str">
            <v>Year 1</v>
          </cell>
          <cell r="E244">
            <v>17936000000</v>
          </cell>
        </row>
        <row r="245">
          <cell r="B245" t="str">
            <v>CB</v>
          </cell>
          <cell r="C245" t="str">
            <v>Year 2</v>
          </cell>
          <cell r="E245">
            <v>19261000000</v>
          </cell>
        </row>
        <row r="246">
          <cell r="B246" t="str">
            <v>CB</v>
          </cell>
          <cell r="C246" t="str">
            <v>Year 3</v>
          </cell>
          <cell r="E246">
            <v>19171000000</v>
          </cell>
        </row>
        <row r="247">
          <cell r="B247" t="str">
            <v>CB</v>
          </cell>
          <cell r="C247" t="str">
            <v>Year 4</v>
          </cell>
          <cell r="E247">
            <v>18987000000</v>
          </cell>
        </row>
        <row r="248">
          <cell r="B248" t="str">
            <v>CBG</v>
          </cell>
          <cell r="C248" t="str">
            <v>Year 1</v>
          </cell>
          <cell r="E248">
            <v>6514099000</v>
          </cell>
        </row>
        <row r="249">
          <cell r="B249" t="str">
            <v>CBG</v>
          </cell>
          <cell r="C249" t="str">
            <v>Year 2</v>
          </cell>
          <cell r="E249">
            <v>7184794000</v>
          </cell>
        </row>
        <row r="250">
          <cell r="B250" t="str">
            <v>CBG</v>
          </cell>
          <cell r="C250" t="str">
            <v>Year 3</v>
          </cell>
          <cell r="E250">
            <v>9049918000</v>
          </cell>
        </row>
        <row r="251">
          <cell r="B251" t="str">
            <v>CBG</v>
          </cell>
          <cell r="C251" t="str">
            <v>Year 4</v>
          </cell>
          <cell r="E251">
            <v>10855810000</v>
          </cell>
        </row>
        <row r="252">
          <cell r="B252" t="str">
            <v>CCI</v>
          </cell>
          <cell r="C252" t="str">
            <v>Year 1</v>
          </cell>
          <cell r="E252">
            <v>2432680000</v>
          </cell>
        </row>
        <row r="253">
          <cell r="B253" t="str">
            <v>CCI</v>
          </cell>
          <cell r="C253" t="str">
            <v>Year 2</v>
          </cell>
          <cell r="E253">
            <v>2865751000</v>
          </cell>
        </row>
        <row r="254">
          <cell r="B254" t="str">
            <v>CCI</v>
          </cell>
          <cell r="C254" t="str">
            <v>Year 3</v>
          </cell>
          <cell r="E254">
            <v>3538756000</v>
          </cell>
        </row>
        <row r="255">
          <cell r="B255" t="str">
            <v>CCI</v>
          </cell>
          <cell r="C255" t="str">
            <v>Year 4</v>
          </cell>
          <cell r="E255">
            <v>3663851000</v>
          </cell>
        </row>
        <row r="256">
          <cell r="B256" t="str">
            <v>CCL</v>
          </cell>
          <cell r="C256" t="str">
            <v>Year 1</v>
          </cell>
          <cell r="E256">
            <v>15456000000</v>
          </cell>
        </row>
        <row r="257">
          <cell r="B257" t="str">
            <v>CCL</v>
          </cell>
          <cell r="C257" t="str">
            <v>Year 2</v>
          </cell>
          <cell r="E257">
            <v>15884000000</v>
          </cell>
        </row>
        <row r="258">
          <cell r="B258" t="str">
            <v>CCL</v>
          </cell>
          <cell r="C258" t="str">
            <v>Year 3</v>
          </cell>
          <cell r="E258">
            <v>15714000000</v>
          </cell>
        </row>
        <row r="259">
          <cell r="B259" t="str">
            <v>CCL</v>
          </cell>
          <cell r="C259" t="str">
            <v>Year 4</v>
          </cell>
          <cell r="E259">
            <v>16389000000</v>
          </cell>
        </row>
        <row r="260">
          <cell r="B260" t="str">
            <v>CELG</v>
          </cell>
          <cell r="C260" t="str">
            <v>Year 1</v>
          </cell>
          <cell r="E260">
            <v>6493900000</v>
          </cell>
        </row>
        <row r="261">
          <cell r="B261" t="str">
            <v>CELG</v>
          </cell>
          <cell r="C261" t="str">
            <v>Year 2</v>
          </cell>
          <cell r="E261">
            <v>7670400000</v>
          </cell>
        </row>
        <row r="262">
          <cell r="B262" t="str">
            <v>CELG</v>
          </cell>
          <cell r="C262" t="str">
            <v>Year 3</v>
          </cell>
          <cell r="E262">
            <v>9256000000</v>
          </cell>
        </row>
        <row r="263">
          <cell r="B263" t="str">
            <v>CELG</v>
          </cell>
          <cell r="C263" t="str">
            <v>Year 4</v>
          </cell>
          <cell r="E263">
            <v>11229200000</v>
          </cell>
        </row>
        <row r="264">
          <cell r="B264" t="str">
            <v>CERN</v>
          </cell>
          <cell r="C264" t="str">
            <v>Year 1</v>
          </cell>
          <cell r="E264">
            <v>2910748000</v>
          </cell>
        </row>
        <row r="265">
          <cell r="B265" t="str">
            <v>CERN</v>
          </cell>
          <cell r="C265" t="str">
            <v>Year 2</v>
          </cell>
          <cell r="E265">
            <v>3402703000</v>
          </cell>
        </row>
        <row r="266">
          <cell r="B266" t="str">
            <v>CERN</v>
          </cell>
          <cell r="C266" t="str">
            <v>Year 3</v>
          </cell>
          <cell r="E266">
            <v>4425267000</v>
          </cell>
        </row>
        <row r="267">
          <cell r="B267" t="str">
            <v>CERN</v>
          </cell>
          <cell r="C267" t="str">
            <v>Year 4</v>
          </cell>
          <cell r="E267">
            <v>4796473000</v>
          </cell>
        </row>
        <row r="268">
          <cell r="B268" t="str">
            <v>CF</v>
          </cell>
          <cell r="C268" t="str">
            <v>Year 1</v>
          </cell>
          <cell r="E268">
            <v>6104000000</v>
          </cell>
        </row>
        <row r="269">
          <cell r="B269" t="str">
            <v>CF</v>
          </cell>
          <cell r="C269" t="str">
            <v>Year 2</v>
          </cell>
          <cell r="E269">
            <v>5474700000</v>
          </cell>
        </row>
        <row r="270">
          <cell r="B270" t="str">
            <v>CF</v>
          </cell>
          <cell r="C270" t="str">
            <v>Year 3</v>
          </cell>
          <cell r="E270">
            <v>4743200000</v>
          </cell>
        </row>
        <row r="271">
          <cell r="B271" t="str">
            <v>CF</v>
          </cell>
          <cell r="C271" t="str">
            <v>Year 4</v>
          </cell>
          <cell r="E271">
            <v>4308300000</v>
          </cell>
        </row>
        <row r="272">
          <cell r="B272" t="str">
            <v>CFG</v>
          </cell>
          <cell r="C272" t="str">
            <v>Year 1</v>
          </cell>
          <cell r="E272">
            <v>5513000000</v>
          </cell>
        </row>
        <row r="273">
          <cell r="B273" t="str">
            <v>CFG</v>
          </cell>
          <cell r="C273" t="str">
            <v>Year 2</v>
          </cell>
          <cell r="E273">
            <v>5133000000</v>
          </cell>
        </row>
        <row r="274">
          <cell r="B274" t="str">
            <v>CFG</v>
          </cell>
          <cell r="C274" t="str">
            <v>Year 3</v>
          </cell>
          <cell r="E274">
            <v>5342000000</v>
          </cell>
        </row>
        <row r="275">
          <cell r="B275" t="str">
            <v>CFG</v>
          </cell>
          <cell r="C275" t="str">
            <v>Year 4</v>
          </cell>
          <cell r="E275">
            <v>5276000000</v>
          </cell>
        </row>
        <row r="276">
          <cell r="B276" t="str">
            <v>CHD</v>
          </cell>
          <cell r="C276" t="str">
            <v>Year 1</v>
          </cell>
          <cell r="E276">
            <v>2921900000</v>
          </cell>
        </row>
        <row r="277">
          <cell r="B277" t="str">
            <v>CHD</v>
          </cell>
          <cell r="C277" t="str">
            <v>Year 2</v>
          </cell>
          <cell r="E277">
            <v>3194300000</v>
          </cell>
        </row>
        <row r="278">
          <cell r="B278" t="str">
            <v>CHD</v>
          </cell>
          <cell r="C278" t="str">
            <v>Year 3</v>
          </cell>
          <cell r="E278">
            <v>3297600000</v>
          </cell>
        </row>
        <row r="279">
          <cell r="B279" t="str">
            <v>CHD</v>
          </cell>
          <cell r="C279" t="str">
            <v>Year 4</v>
          </cell>
          <cell r="E279">
            <v>3394800000</v>
          </cell>
        </row>
        <row r="280">
          <cell r="B280" t="str">
            <v>CHK</v>
          </cell>
          <cell r="C280" t="str">
            <v>Year 1</v>
          </cell>
          <cell r="E280">
            <v>12316000000</v>
          </cell>
        </row>
        <row r="281">
          <cell r="B281" t="str">
            <v>CHK</v>
          </cell>
          <cell r="C281" t="str">
            <v>Year 2</v>
          </cell>
          <cell r="E281">
            <v>19080000000</v>
          </cell>
        </row>
        <row r="282">
          <cell r="B282" t="str">
            <v>CHK</v>
          </cell>
          <cell r="C282" t="str">
            <v>Year 3</v>
          </cell>
          <cell r="E282">
            <v>23125000000</v>
          </cell>
        </row>
        <row r="283">
          <cell r="B283" t="str">
            <v>CHK</v>
          </cell>
          <cell r="C283" t="str">
            <v>Year 4</v>
          </cell>
          <cell r="E283">
            <v>12764000000</v>
          </cell>
        </row>
        <row r="284">
          <cell r="B284" t="str">
            <v>CHRW</v>
          </cell>
          <cell r="C284" t="str">
            <v>Year 1</v>
          </cell>
          <cell r="E284">
            <v>11359113000</v>
          </cell>
        </row>
        <row r="285">
          <cell r="B285" t="str">
            <v>CHRW</v>
          </cell>
          <cell r="C285" t="str">
            <v>Year 2</v>
          </cell>
          <cell r="E285">
            <v>12752076000</v>
          </cell>
        </row>
        <row r="286">
          <cell r="B286" t="str">
            <v>CHRW</v>
          </cell>
          <cell r="C286" t="str">
            <v>Year 3</v>
          </cell>
          <cell r="E286">
            <v>13470067000</v>
          </cell>
        </row>
        <row r="287">
          <cell r="B287" t="str">
            <v>CHRW</v>
          </cell>
          <cell r="C287" t="str">
            <v>Year 4</v>
          </cell>
          <cell r="E287">
            <v>13476084000</v>
          </cell>
        </row>
        <row r="288">
          <cell r="B288" t="str">
            <v>CHTR</v>
          </cell>
          <cell r="C288" t="str">
            <v>Year 1</v>
          </cell>
          <cell r="E288">
            <v>8155000000</v>
          </cell>
        </row>
        <row r="289">
          <cell r="B289" t="str">
            <v>CHTR</v>
          </cell>
          <cell r="C289" t="str">
            <v>Year 2</v>
          </cell>
          <cell r="E289">
            <v>9108000000</v>
          </cell>
        </row>
        <row r="290">
          <cell r="B290" t="str">
            <v>CHTR</v>
          </cell>
          <cell r="C290" t="str">
            <v>Year 3</v>
          </cell>
          <cell r="E290">
            <v>9754000000</v>
          </cell>
        </row>
        <row r="291">
          <cell r="B291" t="str">
            <v>CHTR</v>
          </cell>
          <cell r="C291" t="str">
            <v>Year 4</v>
          </cell>
          <cell r="E291">
            <v>29003000000</v>
          </cell>
        </row>
        <row r="292">
          <cell r="B292" t="str">
            <v>CI</v>
          </cell>
          <cell r="C292" t="str">
            <v>Year 1</v>
          </cell>
          <cell r="E292">
            <v>29119000000</v>
          </cell>
        </row>
        <row r="293">
          <cell r="B293" t="str">
            <v>CI</v>
          </cell>
          <cell r="C293" t="str">
            <v>Year 2</v>
          </cell>
          <cell r="E293">
            <v>32380000000</v>
          </cell>
        </row>
        <row r="294">
          <cell r="B294" t="str">
            <v>CI</v>
          </cell>
          <cell r="C294" t="str">
            <v>Year 3</v>
          </cell>
          <cell r="E294">
            <v>34914000000</v>
          </cell>
        </row>
        <row r="295">
          <cell r="B295" t="str">
            <v>CI</v>
          </cell>
          <cell r="C295" t="str">
            <v>Year 4</v>
          </cell>
          <cell r="E295">
            <v>37876000000</v>
          </cell>
        </row>
        <row r="296">
          <cell r="B296" t="str">
            <v>CINF</v>
          </cell>
          <cell r="C296" t="str">
            <v>Year 1</v>
          </cell>
          <cell r="E296">
            <v>4111000000</v>
          </cell>
        </row>
        <row r="297">
          <cell r="B297" t="str">
            <v>CINF</v>
          </cell>
          <cell r="C297" t="str">
            <v>Year 2</v>
          </cell>
          <cell r="E297">
            <v>4531000000</v>
          </cell>
        </row>
        <row r="298">
          <cell r="B298" t="str">
            <v>CINF</v>
          </cell>
          <cell r="C298" t="str">
            <v>Year 3</v>
          </cell>
          <cell r="E298">
            <v>4945000000</v>
          </cell>
        </row>
        <row r="299">
          <cell r="B299" t="str">
            <v>CINF</v>
          </cell>
          <cell r="C299" t="str">
            <v>Year 4</v>
          </cell>
          <cell r="E299">
            <v>5142000000</v>
          </cell>
        </row>
        <row r="300">
          <cell r="B300" t="str">
            <v>CL</v>
          </cell>
          <cell r="C300" t="str">
            <v>Year 1</v>
          </cell>
          <cell r="E300">
            <v>17085000000</v>
          </cell>
        </row>
        <row r="301">
          <cell r="B301" t="str">
            <v>CL</v>
          </cell>
          <cell r="C301" t="str">
            <v>Year 2</v>
          </cell>
          <cell r="E301">
            <v>17420000000</v>
          </cell>
        </row>
        <row r="302">
          <cell r="B302" t="str">
            <v>CL</v>
          </cell>
          <cell r="C302" t="str">
            <v>Year 3</v>
          </cell>
          <cell r="E302">
            <v>17277000000</v>
          </cell>
        </row>
        <row r="303">
          <cell r="B303" t="str">
            <v>CL</v>
          </cell>
          <cell r="C303" t="str">
            <v>Year 4</v>
          </cell>
          <cell r="E303">
            <v>16034000000</v>
          </cell>
        </row>
        <row r="304">
          <cell r="B304" t="str">
            <v>CLX</v>
          </cell>
          <cell r="C304" t="str">
            <v>Year 1</v>
          </cell>
          <cell r="E304">
            <v>5533000000</v>
          </cell>
        </row>
        <row r="305">
          <cell r="B305" t="str">
            <v>CLX</v>
          </cell>
          <cell r="C305" t="str">
            <v>Year 2</v>
          </cell>
          <cell r="E305">
            <v>5514000000</v>
          </cell>
        </row>
        <row r="306">
          <cell r="B306" t="str">
            <v>CLX</v>
          </cell>
          <cell r="C306" t="str">
            <v>Year 3</v>
          </cell>
          <cell r="E306">
            <v>5655000000</v>
          </cell>
        </row>
        <row r="307">
          <cell r="B307" t="str">
            <v>CLX</v>
          </cell>
          <cell r="C307" t="str">
            <v>Year 4</v>
          </cell>
          <cell r="E307">
            <v>5761000000</v>
          </cell>
        </row>
        <row r="308">
          <cell r="B308" t="str">
            <v>CMA</v>
          </cell>
          <cell r="C308" t="str">
            <v>Year 1</v>
          </cell>
          <cell r="E308">
            <v>2666000000</v>
          </cell>
        </row>
        <row r="309">
          <cell r="B309" t="str">
            <v>CMA</v>
          </cell>
          <cell r="C309" t="str">
            <v>Year 2</v>
          </cell>
          <cell r="E309">
            <v>2607000000</v>
          </cell>
        </row>
        <row r="310">
          <cell r="B310" t="str">
            <v>CMA</v>
          </cell>
          <cell r="C310" t="str">
            <v>Year 3</v>
          </cell>
          <cell r="E310">
            <v>2819000000</v>
          </cell>
        </row>
        <row r="311">
          <cell r="B311" t="str">
            <v>CMA</v>
          </cell>
          <cell r="C311" t="str">
            <v>Year 4</v>
          </cell>
          <cell r="E311">
            <v>2960000000</v>
          </cell>
        </row>
        <row r="312">
          <cell r="B312" t="str">
            <v>CMG</v>
          </cell>
          <cell r="C312" t="str">
            <v>Year 1</v>
          </cell>
          <cell r="E312">
            <v>3214591000</v>
          </cell>
        </row>
        <row r="313">
          <cell r="B313" t="str">
            <v>CMG</v>
          </cell>
          <cell r="C313" t="str">
            <v>Year 2</v>
          </cell>
          <cell r="E313">
            <v>4108269000</v>
          </cell>
        </row>
        <row r="314">
          <cell r="B314" t="str">
            <v>CMG</v>
          </cell>
          <cell r="C314" t="str">
            <v>Year 3</v>
          </cell>
          <cell r="E314">
            <v>4501223000</v>
          </cell>
        </row>
        <row r="315">
          <cell r="B315" t="str">
            <v>CMG</v>
          </cell>
          <cell r="C315" t="str">
            <v>Year 4</v>
          </cell>
          <cell r="E315">
            <v>3904384000</v>
          </cell>
        </row>
        <row r="316">
          <cell r="B316" t="str">
            <v>CMI</v>
          </cell>
          <cell r="C316" t="str">
            <v>Year 1</v>
          </cell>
          <cell r="E316">
            <v>17301000000</v>
          </cell>
        </row>
        <row r="317">
          <cell r="B317" t="str">
            <v>CMI</v>
          </cell>
          <cell r="C317" t="str">
            <v>Year 2</v>
          </cell>
          <cell r="E317">
            <v>19221000000</v>
          </cell>
        </row>
        <row r="318">
          <cell r="B318" t="str">
            <v>CMI</v>
          </cell>
          <cell r="C318" t="str">
            <v>Year 3</v>
          </cell>
          <cell r="E318">
            <v>19110000000</v>
          </cell>
        </row>
        <row r="319">
          <cell r="B319" t="str">
            <v>CMI</v>
          </cell>
          <cell r="C319" t="str">
            <v>Year 4</v>
          </cell>
          <cell r="E319">
            <v>17509000000</v>
          </cell>
        </row>
        <row r="320">
          <cell r="B320" t="str">
            <v>CMS</v>
          </cell>
          <cell r="C320" t="str">
            <v>Year 1</v>
          </cell>
          <cell r="E320">
            <v>6566000000</v>
          </cell>
        </row>
        <row r="321">
          <cell r="B321" t="str">
            <v>CMS</v>
          </cell>
          <cell r="C321" t="str">
            <v>Year 2</v>
          </cell>
          <cell r="E321">
            <v>7179000000</v>
          </cell>
        </row>
        <row r="322">
          <cell r="B322" t="str">
            <v>CMS</v>
          </cell>
          <cell r="C322" t="str">
            <v>Year 3</v>
          </cell>
          <cell r="E322">
            <v>6456000000</v>
          </cell>
        </row>
        <row r="323">
          <cell r="B323" t="str">
            <v>CMS</v>
          </cell>
          <cell r="C323" t="str">
            <v>Year 4</v>
          </cell>
          <cell r="E323">
            <v>6399000000</v>
          </cell>
        </row>
        <row r="324">
          <cell r="B324" t="str">
            <v>CNC</v>
          </cell>
          <cell r="C324" t="str">
            <v>Year 1</v>
          </cell>
          <cell r="E324">
            <v>8110000000</v>
          </cell>
        </row>
        <row r="325">
          <cell r="B325" t="str">
            <v>CNC</v>
          </cell>
          <cell r="C325" t="str">
            <v>Year 2</v>
          </cell>
          <cell r="E325">
            <v>10863000000</v>
          </cell>
        </row>
        <row r="326">
          <cell r="B326" t="str">
            <v>CNC</v>
          </cell>
          <cell r="C326" t="str">
            <v>Year 3</v>
          </cell>
          <cell r="E326">
            <v>16560000000</v>
          </cell>
        </row>
        <row r="327">
          <cell r="B327" t="str">
            <v>CNC</v>
          </cell>
          <cell r="C327" t="str">
            <v>Year 4</v>
          </cell>
          <cell r="E327">
            <v>22760000000</v>
          </cell>
        </row>
        <row r="328">
          <cell r="B328" t="str">
            <v>CNP</v>
          </cell>
          <cell r="C328" t="str">
            <v>Year 1</v>
          </cell>
          <cell r="E328">
            <v>7452000000</v>
          </cell>
        </row>
        <row r="329">
          <cell r="B329" t="str">
            <v>CNP</v>
          </cell>
          <cell r="C329" t="str">
            <v>Year 2</v>
          </cell>
          <cell r="E329">
            <v>8106000000</v>
          </cell>
        </row>
        <row r="330">
          <cell r="B330" t="str">
            <v>CNP</v>
          </cell>
          <cell r="C330" t="str">
            <v>Year 3</v>
          </cell>
          <cell r="E330">
            <v>9226000000</v>
          </cell>
        </row>
        <row r="331">
          <cell r="B331" t="str">
            <v>CNP</v>
          </cell>
          <cell r="C331" t="str">
            <v>Year 4</v>
          </cell>
          <cell r="E331">
            <v>7386000000</v>
          </cell>
        </row>
        <row r="332">
          <cell r="B332" t="str">
            <v>COF</v>
          </cell>
          <cell r="C332" t="str">
            <v>Year 1</v>
          </cell>
          <cell r="E332">
            <v>23771000000</v>
          </cell>
        </row>
        <row r="333">
          <cell r="B333" t="str">
            <v>COF</v>
          </cell>
          <cell r="C333" t="str">
            <v>Year 2</v>
          </cell>
          <cell r="E333">
            <v>24176000000</v>
          </cell>
        </row>
        <row r="334">
          <cell r="B334" t="str">
            <v>COF</v>
          </cell>
          <cell r="C334" t="str">
            <v>Year 3</v>
          </cell>
          <cell r="E334">
            <v>23869000000</v>
          </cell>
        </row>
        <row r="335">
          <cell r="B335" t="str">
            <v>COF</v>
          </cell>
          <cell r="C335" t="str">
            <v>Year 4</v>
          </cell>
          <cell r="E335">
            <v>25038000000</v>
          </cell>
        </row>
        <row r="336">
          <cell r="B336" t="str">
            <v>COG</v>
          </cell>
          <cell r="C336" t="str">
            <v>Year 1</v>
          </cell>
          <cell r="E336">
            <v>1204546000</v>
          </cell>
        </row>
        <row r="337">
          <cell r="B337" t="str">
            <v>COG</v>
          </cell>
          <cell r="C337" t="str">
            <v>Year 2</v>
          </cell>
          <cell r="E337">
            <v>1746278000</v>
          </cell>
        </row>
        <row r="338">
          <cell r="B338" t="str">
            <v>COG</v>
          </cell>
          <cell r="C338" t="str">
            <v>Year 3</v>
          </cell>
          <cell r="E338">
            <v>2173011000</v>
          </cell>
        </row>
        <row r="339">
          <cell r="B339" t="str">
            <v>COG</v>
          </cell>
          <cell r="C339" t="str">
            <v>Year 4</v>
          </cell>
          <cell r="E339">
            <v>1357150000</v>
          </cell>
        </row>
        <row r="340">
          <cell r="B340" t="str">
            <v>COL</v>
          </cell>
          <cell r="C340" t="str">
            <v>Year 1</v>
          </cell>
          <cell r="E340">
            <v>4474000000</v>
          </cell>
        </row>
        <row r="341">
          <cell r="B341" t="str">
            <v>COL</v>
          </cell>
          <cell r="C341" t="str">
            <v>Year 2</v>
          </cell>
          <cell r="E341">
            <v>4979000000</v>
          </cell>
        </row>
        <row r="342">
          <cell r="B342" t="str">
            <v>COL</v>
          </cell>
          <cell r="C342" t="str">
            <v>Year 3</v>
          </cell>
          <cell r="E342">
            <v>5244000000</v>
          </cell>
        </row>
        <row r="343">
          <cell r="B343" t="str">
            <v>COL</v>
          </cell>
          <cell r="C343" t="str">
            <v>Year 4</v>
          </cell>
          <cell r="E343">
            <v>5259000000</v>
          </cell>
        </row>
        <row r="344">
          <cell r="B344" t="str">
            <v>COO</v>
          </cell>
          <cell r="C344" t="str">
            <v>Year 1</v>
          </cell>
          <cell r="E344">
            <v>1587725000</v>
          </cell>
        </row>
        <row r="345">
          <cell r="B345" t="str">
            <v>COO</v>
          </cell>
          <cell r="C345" t="str">
            <v>Year 2</v>
          </cell>
          <cell r="E345">
            <v>1717776000</v>
          </cell>
        </row>
        <row r="346">
          <cell r="B346" t="str">
            <v>COO</v>
          </cell>
          <cell r="C346" t="str">
            <v>Year 3</v>
          </cell>
          <cell r="E346">
            <v>1797060000</v>
          </cell>
        </row>
        <row r="347">
          <cell r="B347" t="str">
            <v>COO</v>
          </cell>
          <cell r="C347" t="str">
            <v>Year 4</v>
          </cell>
          <cell r="E347">
            <v>1966814000</v>
          </cell>
        </row>
        <row r="348">
          <cell r="B348" t="str">
            <v>COST</v>
          </cell>
          <cell r="C348" t="str">
            <v>Year 1</v>
          </cell>
          <cell r="E348">
            <v>105156000000</v>
          </cell>
        </row>
        <row r="349">
          <cell r="B349" t="str">
            <v>COST</v>
          </cell>
          <cell r="C349" t="str">
            <v>Year 2</v>
          </cell>
          <cell r="E349">
            <v>112640000000</v>
          </cell>
        </row>
        <row r="350">
          <cell r="B350" t="str">
            <v>COST</v>
          </cell>
          <cell r="C350" t="str">
            <v>Year 3</v>
          </cell>
          <cell r="E350">
            <v>116199000000</v>
          </cell>
        </row>
        <row r="351">
          <cell r="B351" t="str">
            <v>COST</v>
          </cell>
          <cell r="C351" t="str">
            <v>Year 4</v>
          </cell>
          <cell r="E351">
            <v>118719000000</v>
          </cell>
        </row>
        <row r="352">
          <cell r="B352" t="str">
            <v>COTY</v>
          </cell>
          <cell r="C352" t="str">
            <v>Year 1</v>
          </cell>
          <cell r="E352">
            <v>1577000</v>
          </cell>
        </row>
        <row r="353">
          <cell r="B353" t="str">
            <v>COTY</v>
          </cell>
          <cell r="C353" t="str">
            <v>Year 2</v>
          </cell>
          <cell r="E353">
            <v>1514000</v>
          </cell>
        </row>
        <row r="354">
          <cell r="B354" t="str">
            <v>COTY</v>
          </cell>
          <cell r="C354" t="str">
            <v>Year 3</v>
          </cell>
          <cell r="E354">
            <v>79562000</v>
          </cell>
        </row>
        <row r="355">
          <cell r="B355" t="str">
            <v>COTY</v>
          </cell>
          <cell r="C355" t="str">
            <v>Year 4</v>
          </cell>
          <cell r="E355">
            <v>99642000</v>
          </cell>
        </row>
        <row r="356">
          <cell r="B356" t="str">
            <v>CPB</v>
          </cell>
          <cell r="C356" t="str">
            <v>Year 1</v>
          </cell>
          <cell r="E356">
            <v>8052000000</v>
          </cell>
        </row>
        <row r="357">
          <cell r="B357" t="str">
            <v>CPB</v>
          </cell>
          <cell r="C357" t="str">
            <v>Year 2</v>
          </cell>
          <cell r="E357">
            <v>8268000000</v>
          </cell>
        </row>
        <row r="358">
          <cell r="B358" t="str">
            <v>CPB</v>
          </cell>
          <cell r="C358" t="str">
            <v>Year 3</v>
          </cell>
          <cell r="E358">
            <v>8082000000</v>
          </cell>
        </row>
        <row r="359">
          <cell r="B359" t="str">
            <v>CPB</v>
          </cell>
          <cell r="C359" t="str">
            <v>Year 4</v>
          </cell>
          <cell r="E359">
            <v>7961000000</v>
          </cell>
        </row>
        <row r="360">
          <cell r="B360" t="str">
            <v>CRM</v>
          </cell>
          <cell r="C360" t="str">
            <v>Year 1</v>
          </cell>
          <cell r="E360">
            <v>3050195000</v>
          </cell>
        </row>
        <row r="361">
          <cell r="B361" t="str">
            <v>CRM</v>
          </cell>
          <cell r="C361" t="str">
            <v>Year 2</v>
          </cell>
          <cell r="E361">
            <v>4071003000</v>
          </cell>
        </row>
        <row r="362">
          <cell r="B362" t="str">
            <v>CRM</v>
          </cell>
          <cell r="C362" t="str">
            <v>Year 3</v>
          </cell>
          <cell r="E362">
            <v>5373586000</v>
          </cell>
        </row>
        <row r="363">
          <cell r="B363" t="str">
            <v>CRM</v>
          </cell>
          <cell r="C363" t="str">
            <v>Year 4</v>
          </cell>
          <cell r="E363">
            <v>6667216000</v>
          </cell>
        </row>
        <row r="364">
          <cell r="B364" t="str">
            <v>CSCO</v>
          </cell>
          <cell r="C364" t="str">
            <v>Year 1</v>
          </cell>
          <cell r="E364">
            <v>48607000000</v>
          </cell>
        </row>
        <row r="365">
          <cell r="B365" t="str">
            <v>CSCO</v>
          </cell>
          <cell r="C365" t="str">
            <v>Year 2</v>
          </cell>
          <cell r="E365">
            <v>47142000000</v>
          </cell>
        </row>
        <row r="366">
          <cell r="B366" t="str">
            <v>CSCO</v>
          </cell>
          <cell r="C366" t="str">
            <v>Year 3</v>
          </cell>
          <cell r="E366">
            <v>49161000000</v>
          </cell>
        </row>
        <row r="367">
          <cell r="B367" t="str">
            <v>CSCO</v>
          </cell>
          <cell r="C367" t="str">
            <v>Year 4</v>
          </cell>
          <cell r="E367">
            <v>49247000000</v>
          </cell>
        </row>
        <row r="368">
          <cell r="B368" t="str">
            <v>CSRA</v>
          </cell>
          <cell r="C368" t="str">
            <v>Year 1</v>
          </cell>
          <cell r="E368">
            <v>4069746000</v>
          </cell>
        </row>
        <row r="369">
          <cell r="B369" t="str">
            <v>CSRA</v>
          </cell>
          <cell r="C369" t="str">
            <v>Year 2</v>
          </cell>
          <cell r="E369">
            <v>4250447000</v>
          </cell>
        </row>
        <row r="370">
          <cell r="B370" t="str">
            <v>CSX</v>
          </cell>
          <cell r="C370" t="str">
            <v>Year 1</v>
          </cell>
          <cell r="E370">
            <v>12026000000</v>
          </cell>
        </row>
        <row r="371">
          <cell r="B371" t="str">
            <v>CSX</v>
          </cell>
          <cell r="C371" t="str">
            <v>Year 2</v>
          </cell>
          <cell r="E371">
            <v>12669000000</v>
          </cell>
        </row>
        <row r="372">
          <cell r="B372" t="str">
            <v>CSX</v>
          </cell>
          <cell r="C372" t="str">
            <v>Year 3</v>
          </cell>
          <cell r="E372">
            <v>11811000000</v>
          </cell>
        </row>
        <row r="373">
          <cell r="B373" t="str">
            <v>CSX</v>
          </cell>
          <cell r="C373" t="str">
            <v>Year 4</v>
          </cell>
          <cell r="E373">
            <v>11069000000</v>
          </cell>
        </row>
        <row r="374">
          <cell r="B374" t="str">
            <v>CTAS</v>
          </cell>
          <cell r="C374" t="str">
            <v>Year 1</v>
          </cell>
          <cell r="E374">
            <v>4245964000</v>
          </cell>
        </row>
        <row r="375">
          <cell r="B375" t="str">
            <v>CTAS</v>
          </cell>
          <cell r="C375" t="str">
            <v>Year 2</v>
          </cell>
          <cell r="E375">
            <v>4193844000</v>
          </cell>
        </row>
        <row r="376">
          <cell r="B376" t="str">
            <v>CTAS</v>
          </cell>
          <cell r="C376" t="str">
            <v>Year 3</v>
          </cell>
          <cell r="E376">
            <v>4476886000</v>
          </cell>
        </row>
        <row r="377">
          <cell r="B377" t="str">
            <v>CTAS</v>
          </cell>
          <cell r="C377" t="str">
            <v>Year 4</v>
          </cell>
          <cell r="E377">
            <v>4905458000</v>
          </cell>
        </row>
        <row r="378">
          <cell r="B378" t="str">
            <v>CTL</v>
          </cell>
          <cell r="C378" t="str">
            <v>Year 1</v>
          </cell>
          <cell r="E378">
            <v>18376000000</v>
          </cell>
        </row>
        <row r="379">
          <cell r="B379" t="str">
            <v>CTL</v>
          </cell>
          <cell r="C379" t="str">
            <v>Year 2</v>
          </cell>
          <cell r="E379">
            <v>18095000000</v>
          </cell>
        </row>
        <row r="380">
          <cell r="B380" t="str">
            <v>CTL</v>
          </cell>
          <cell r="C380" t="str">
            <v>Year 3</v>
          </cell>
          <cell r="E380">
            <v>18031000000</v>
          </cell>
        </row>
        <row r="381">
          <cell r="B381" t="str">
            <v>CTL</v>
          </cell>
          <cell r="C381" t="str">
            <v>Year 4</v>
          </cell>
          <cell r="E381">
            <v>17900000000</v>
          </cell>
        </row>
        <row r="382">
          <cell r="B382" t="str">
            <v>CTSH</v>
          </cell>
          <cell r="C382" t="str">
            <v>Year 1</v>
          </cell>
          <cell r="E382">
            <v>7346472000</v>
          </cell>
        </row>
        <row r="383">
          <cell r="B383" t="str">
            <v>CTSH</v>
          </cell>
          <cell r="C383" t="str">
            <v>Year 2</v>
          </cell>
          <cell r="E383">
            <v>8843200000</v>
          </cell>
        </row>
        <row r="384">
          <cell r="B384" t="str">
            <v>CTSH</v>
          </cell>
          <cell r="C384" t="str">
            <v>Year 3</v>
          </cell>
          <cell r="E384">
            <v>10262700000</v>
          </cell>
        </row>
        <row r="385">
          <cell r="B385" t="str">
            <v>CTSH</v>
          </cell>
          <cell r="C385" t="str">
            <v>Year 4</v>
          </cell>
          <cell r="E385">
            <v>12416000000</v>
          </cell>
        </row>
        <row r="386">
          <cell r="B386" t="str">
            <v>CTXS</v>
          </cell>
          <cell r="C386" t="str">
            <v>Year 1</v>
          </cell>
          <cell r="E386">
            <v>2918434000</v>
          </cell>
        </row>
        <row r="387">
          <cell r="B387" t="str">
            <v>CTXS</v>
          </cell>
          <cell r="C387" t="str">
            <v>Year 2</v>
          </cell>
          <cell r="E387">
            <v>3142856000</v>
          </cell>
        </row>
        <row r="388">
          <cell r="B388" t="str">
            <v>CTXS</v>
          </cell>
          <cell r="C388" t="str">
            <v>Year 3</v>
          </cell>
          <cell r="E388">
            <v>3275594000</v>
          </cell>
        </row>
        <row r="389">
          <cell r="B389" t="str">
            <v>CTXS</v>
          </cell>
          <cell r="C389" t="str">
            <v>Year 4</v>
          </cell>
          <cell r="E389">
            <v>3418265000</v>
          </cell>
        </row>
        <row r="390">
          <cell r="B390" t="str">
            <v>CVS</v>
          </cell>
          <cell r="C390" t="str">
            <v>Year 1</v>
          </cell>
          <cell r="E390">
            <v>126761000000</v>
          </cell>
        </row>
        <row r="391">
          <cell r="B391" t="str">
            <v>CVS</v>
          </cell>
          <cell r="C391" t="str">
            <v>Year 2</v>
          </cell>
          <cell r="E391">
            <v>139367000000</v>
          </cell>
        </row>
        <row r="392">
          <cell r="B392" t="str">
            <v>CVS</v>
          </cell>
          <cell r="C392" t="str">
            <v>Year 3</v>
          </cell>
          <cell r="E392">
            <v>153290000000</v>
          </cell>
        </row>
        <row r="393">
          <cell r="B393" t="str">
            <v>CVS</v>
          </cell>
          <cell r="C393" t="str">
            <v>Year 4</v>
          </cell>
          <cell r="E393">
            <v>177526000000</v>
          </cell>
        </row>
        <row r="394">
          <cell r="B394" t="str">
            <v>CVX</v>
          </cell>
          <cell r="C394" t="str">
            <v>Year 1</v>
          </cell>
          <cell r="E394">
            <v>230590000000</v>
          </cell>
        </row>
        <row r="395">
          <cell r="B395" t="str">
            <v>CVX</v>
          </cell>
          <cell r="C395" t="str">
            <v>Year 2</v>
          </cell>
          <cell r="E395">
            <v>220156000000</v>
          </cell>
        </row>
        <row r="396">
          <cell r="B396" t="str">
            <v>CVX</v>
          </cell>
          <cell r="C396" t="str">
            <v>Year 3</v>
          </cell>
          <cell r="E396">
            <v>200494000000</v>
          </cell>
        </row>
        <row r="397">
          <cell r="B397" t="str">
            <v>CVX</v>
          </cell>
          <cell r="C397" t="str">
            <v>Year 4</v>
          </cell>
          <cell r="E397">
            <v>129925000000</v>
          </cell>
        </row>
        <row r="398">
          <cell r="B398" t="str">
            <v>CXO</v>
          </cell>
          <cell r="C398" t="str">
            <v>Year 1</v>
          </cell>
          <cell r="E398">
            <v>1819814000</v>
          </cell>
        </row>
        <row r="399">
          <cell r="B399" t="str">
            <v>CXO</v>
          </cell>
          <cell r="C399" t="str">
            <v>Year 2</v>
          </cell>
          <cell r="E399">
            <v>2319919000</v>
          </cell>
        </row>
        <row r="400">
          <cell r="B400" t="str">
            <v>CXO</v>
          </cell>
          <cell r="C400" t="str">
            <v>Year 3</v>
          </cell>
          <cell r="E400">
            <v>2660147000</v>
          </cell>
        </row>
        <row r="401">
          <cell r="B401" t="str">
            <v>CXO</v>
          </cell>
          <cell r="C401" t="str">
            <v>Year 4</v>
          </cell>
          <cell r="E401">
            <v>1803573000</v>
          </cell>
        </row>
        <row r="402">
          <cell r="B402" t="str">
            <v>D</v>
          </cell>
          <cell r="C402" t="str">
            <v>Year 1</v>
          </cell>
          <cell r="E402">
            <v>12835000000</v>
          </cell>
        </row>
        <row r="403">
          <cell r="B403" t="str">
            <v>D</v>
          </cell>
          <cell r="C403" t="str">
            <v>Year 2</v>
          </cell>
          <cell r="E403">
            <v>13120000000</v>
          </cell>
        </row>
        <row r="404">
          <cell r="B404" t="str">
            <v>D</v>
          </cell>
          <cell r="C404" t="str">
            <v>Year 3</v>
          </cell>
          <cell r="E404">
            <v>12436000000</v>
          </cell>
        </row>
        <row r="405">
          <cell r="B405" t="str">
            <v>D</v>
          </cell>
          <cell r="C405" t="str">
            <v>Year 4</v>
          </cell>
          <cell r="E405">
            <v>11683000000</v>
          </cell>
        </row>
        <row r="406">
          <cell r="B406" t="str">
            <v>DAL</v>
          </cell>
          <cell r="C406" t="str">
            <v>Year 1</v>
          </cell>
          <cell r="E406">
            <v>37773000000</v>
          </cell>
        </row>
        <row r="407">
          <cell r="B407" t="str">
            <v>DAL</v>
          </cell>
          <cell r="C407" t="str">
            <v>Year 2</v>
          </cell>
          <cell r="E407">
            <v>40362000000</v>
          </cell>
        </row>
        <row r="408">
          <cell r="B408" t="str">
            <v>DAL</v>
          </cell>
          <cell r="C408" t="str">
            <v>Year 3</v>
          </cell>
          <cell r="E408">
            <v>40704000000</v>
          </cell>
        </row>
        <row r="409">
          <cell r="B409" t="str">
            <v>DAL</v>
          </cell>
          <cell r="C409" t="str">
            <v>Year 4</v>
          </cell>
          <cell r="E409">
            <v>39639000000</v>
          </cell>
        </row>
        <row r="410">
          <cell r="B410" t="str">
            <v>DD</v>
          </cell>
          <cell r="C410" t="str">
            <v>Year 1</v>
          </cell>
          <cell r="E410">
            <v>28998000000</v>
          </cell>
        </row>
        <row r="411">
          <cell r="B411" t="str">
            <v>DD</v>
          </cell>
          <cell r="C411" t="str">
            <v>Year 2</v>
          </cell>
          <cell r="E411">
            <v>28406000000</v>
          </cell>
        </row>
        <row r="412">
          <cell r="B412" t="str">
            <v>DD</v>
          </cell>
          <cell r="C412" t="str">
            <v>Year 3</v>
          </cell>
          <cell r="E412">
            <v>25130000000</v>
          </cell>
        </row>
        <row r="413">
          <cell r="B413" t="str">
            <v>DD</v>
          </cell>
          <cell r="C413" t="str">
            <v>Year 4</v>
          </cell>
          <cell r="E413">
            <v>24594000000</v>
          </cell>
        </row>
        <row r="414">
          <cell r="B414" t="str">
            <v>DE</v>
          </cell>
          <cell r="C414" t="str">
            <v>Year 1</v>
          </cell>
          <cell r="E414">
            <v>37795400000</v>
          </cell>
        </row>
        <row r="415">
          <cell r="B415" t="str">
            <v>DE</v>
          </cell>
          <cell r="C415" t="str">
            <v>Year 2</v>
          </cell>
          <cell r="E415">
            <v>36066900000</v>
          </cell>
        </row>
        <row r="416">
          <cell r="B416" t="str">
            <v>DE</v>
          </cell>
          <cell r="C416" t="str">
            <v>Year 3</v>
          </cell>
          <cell r="E416">
            <v>28862800000</v>
          </cell>
        </row>
        <row r="417">
          <cell r="B417" t="str">
            <v>DE</v>
          </cell>
          <cell r="C417" t="str">
            <v>Year 4</v>
          </cell>
          <cell r="E417">
            <v>26644000000</v>
          </cell>
        </row>
        <row r="418">
          <cell r="B418" t="str">
            <v>DFS</v>
          </cell>
          <cell r="C418" t="str">
            <v>Year 1</v>
          </cell>
          <cell r="E418">
            <v>8984000000</v>
          </cell>
        </row>
        <row r="419">
          <cell r="B419" t="str">
            <v>DFS</v>
          </cell>
          <cell r="C419" t="str">
            <v>Year 2</v>
          </cell>
          <cell r="E419">
            <v>9370000000</v>
          </cell>
        </row>
        <row r="420">
          <cell r="B420" t="str">
            <v>DFS</v>
          </cell>
          <cell r="C420" t="str">
            <v>Year 3</v>
          </cell>
          <cell r="E420">
            <v>9611000000</v>
          </cell>
        </row>
        <row r="421">
          <cell r="B421" t="str">
            <v>DFS</v>
          </cell>
          <cell r="C421" t="str">
            <v>Year 4</v>
          </cell>
          <cell r="E421">
            <v>10002000000</v>
          </cell>
        </row>
        <row r="422">
          <cell r="B422" t="str">
            <v>DG</v>
          </cell>
          <cell r="C422" t="str">
            <v>Year 1</v>
          </cell>
          <cell r="E422">
            <v>16022128000</v>
          </cell>
        </row>
        <row r="423">
          <cell r="B423" t="str">
            <v>DG</v>
          </cell>
          <cell r="C423" t="str">
            <v>Year 2</v>
          </cell>
          <cell r="E423">
            <v>17504167000</v>
          </cell>
        </row>
        <row r="424">
          <cell r="B424" t="str">
            <v>DG</v>
          </cell>
          <cell r="C424" t="str">
            <v>Year 3</v>
          </cell>
          <cell r="E424">
            <v>18909588000</v>
          </cell>
        </row>
        <row r="425">
          <cell r="B425" t="str">
            <v>DG</v>
          </cell>
          <cell r="C425" t="str">
            <v>Year 4</v>
          </cell>
          <cell r="E425">
            <v>20368562000</v>
          </cell>
        </row>
        <row r="426">
          <cell r="B426" t="str">
            <v>DGX</v>
          </cell>
          <cell r="C426" t="str">
            <v>Year 1</v>
          </cell>
          <cell r="E426">
            <v>7383000000</v>
          </cell>
        </row>
        <row r="427">
          <cell r="B427" t="str">
            <v>DGX</v>
          </cell>
          <cell r="C427" t="str">
            <v>Year 2</v>
          </cell>
          <cell r="E427">
            <v>7146000000</v>
          </cell>
        </row>
        <row r="428">
          <cell r="B428" t="str">
            <v>DGX</v>
          </cell>
          <cell r="C428" t="str">
            <v>Year 3</v>
          </cell>
          <cell r="E428">
            <v>7435000000</v>
          </cell>
        </row>
        <row r="429">
          <cell r="B429" t="str">
            <v>DGX</v>
          </cell>
          <cell r="C429" t="str">
            <v>Year 4</v>
          </cell>
          <cell r="E429">
            <v>7493000000</v>
          </cell>
        </row>
        <row r="430">
          <cell r="B430" t="str">
            <v>DHI</v>
          </cell>
          <cell r="C430" t="str">
            <v>Year 1</v>
          </cell>
          <cell r="E430">
            <v>6259300000</v>
          </cell>
        </row>
        <row r="431">
          <cell r="B431" t="str">
            <v>DHI</v>
          </cell>
          <cell r="C431" t="str">
            <v>Year 2</v>
          </cell>
          <cell r="E431">
            <v>8024900000</v>
          </cell>
        </row>
        <row r="432">
          <cell r="B432" t="str">
            <v>DHI</v>
          </cell>
          <cell r="C432" t="str">
            <v>Year 3</v>
          </cell>
          <cell r="E432">
            <v>10824000000</v>
          </cell>
        </row>
        <row r="433">
          <cell r="B433" t="str">
            <v>DHI</v>
          </cell>
          <cell r="C433" t="str">
            <v>Year 4</v>
          </cell>
          <cell r="E433">
            <v>12157400000</v>
          </cell>
        </row>
        <row r="434">
          <cell r="B434" t="str">
            <v>DHR</v>
          </cell>
          <cell r="C434" t="str">
            <v>Year 1</v>
          </cell>
          <cell r="E434">
            <v>18260400000</v>
          </cell>
        </row>
        <row r="435">
          <cell r="B435" t="str">
            <v>DHR</v>
          </cell>
          <cell r="C435" t="str">
            <v>Year 2</v>
          </cell>
          <cell r="E435">
            <v>18283100000</v>
          </cell>
        </row>
        <row r="436">
          <cell r="B436" t="str">
            <v>DHR</v>
          </cell>
          <cell r="C436" t="str">
            <v>Year 3</v>
          </cell>
          <cell r="E436">
            <v>19154000000</v>
          </cell>
        </row>
        <row r="437">
          <cell r="B437" t="str">
            <v>DHR</v>
          </cell>
          <cell r="C437" t="str">
            <v>Year 4</v>
          </cell>
          <cell r="E437">
            <v>20563100000</v>
          </cell>
        </row>
        <row r="438">
          <cell r="B438" t="str">
            <v>DIS</v>
          </cell>
          <cell r="C438" t="str">
            <v>Year 1</v>
          </cell>
          <cell r="E438">
            <v>45041000000</v>
          </cell>
        </row>
        <row r="439">
          <cell r="B439" t="str">
            <v>DIS</v>
          </cell>
          <cell r="C439" t="str">
            <v>Year 2</v>
          </cell>
          <cell r="E439">
            <v>48813000000</v>
          </cell>
        </row>
        <row r="440">
          <cell r="B440" t="str">
            <v>DIS</v>
          </cell>
          <cell r="C440" t="str">
            <v>Year 3</v>
          </cell>
          <cell r="E440">
            <v>52465000000</v>
          </cell>
        </row>
        <row r="441">
          <cell r="B441" t="str">
            <v>DIS</v>
          </cell>
          <cell r="C441" t="str">
            <v>Year 4</v>
          </cell>
          <cell r="E441">
            <v>55632000000</v>
          </cell>
        </row>
        <row r="442">
          <cell r="B442" t="str">
            <v>DISCA</v>
          </cell>
          <cell r="C442" t="str">
            <v>Year 1</v>
          </cell>
          <cell r="E442">
            <v>5535000000</v>
          </cell>
        </row>
        <row r="443">
          <cell r="B443" t="str">
            <v>DISCA</v>
          </cell>
          <cell r="C443" t="str">
            <v>Year 2</v>
          </cell>
          <cell r="E443">
            <v>6265000000</v>
          </cell>
        </row>
        <row r="444">
          <cell r="B444" t="str">
            <v>DISCA</v>
          </cell>
          <cell r="C444" t="str">
            <v>Year 3</v>
          </cell>
          <cell r="E444">
            <v>6394000000</v>
          </cell>
        </row>
        <row r="445">
          <cell r="B445" t="str">
            <v>DISCA</v>
          </cell>
          <cell r="C445" t="str">
            <v>Year 4</v>
          </cell>
          <cell r="E445">
            <v>6497000000</v>
          </cell>
        </row>
        <row r="446">
          <cell r="B446" t="str">
            <v>DISCK</v>
          </cell>
          <cell r="C446" t="str">
            <v>Year 1</v>
          </cell>
          <cell r="E446">
            <v>5535000000</v>
          </cell>
        </row>
        <row r="447">
          <cell r="B447" t="str">
            <v>DISCK</v>
          </cell>
          <cell r="C447" t="str">
            <v>Year 2</v>
          </cell>
          <cell r="E447">
            <v>6265000000</v>
          </cell>
        </row>
        <row r="448">
          <cell r="B448" t="str">
            <v>DISCK</v>
          </cell>
          <cell r="C448" t="str">
            <v>Year 3</v>
          </cell>
          <cell r="E448">
            <v>6394000000</v>
          </cell>
        </row>
        <row r="449">
          <cell r="B449" t="str">
            <v>DISCK</v>
          </cell>
          <cell r="C449" t="str">
            <v>Year 4</v>
          </cell>
          <cell r="E449">
            <v>6497000000</v>
          </cell>
        </row>
        <row r="450">
          <cell r="B450" t="str">
            <v>DLPH</v>
          </cell>
          <cell r="C450" t="str">
            <v>Year 1</v>
          </cell>
          <cell r="E450">
            <v>15051000000</v>
          </cell>
        </row>
        <row r="451">
          <cell r="B451" t="str">
            <v>DLPH</v>
          </cell>
          <cell r="C451" t="str">
            <v>Year 2</v>
          </cell>
          <cell r="E451">
            <v>15499000000</v>
          </cell>
        </row>
        <row r="452">
          <cell r="B452" t="str">
            <v>DLPH</v>
          </cell>
          <cell r="C452" t="str">
            <v>Year 3</v>
          </cell>
          <cell r="E452">
            <v>15165000000</v>
          </cell>
        </row>
        <row r="453">
          <cell r="B453" t="str">
            <v>DLPH</v>
          </cell>
          <cell r="C453" t="str">
            <v>Year 4</v>
          </cell>
          <cell r="E453">
            <v>16661000000</v>
          </cell>
        </row>
        <row r="454">
          <cell r="B454" t="str">
            <v>DLR</v>
          </cell>
          <cell r="C454" t="str">
            <v>Year 1</v>
          </cell>
          <cell r="E454">
            <v>1279067000</v>
          </cell>
        </row>
        <row r="455">
          <cell r="B455" t="str">
            <v>DLR</v>
          </cell>
          <cell r="C455" t="str">
            <v>Year 2</v>
          </cell>
          <cell r="E455">
            <v>1482259000</v>
          </cell>
        </row>
        <row r="456">
          <cell r="B456" t="str">
            <v>DLR</v>
          </cell>
          <cell r="C456" t="str">
            <v>Year 3</v>
          </cell>
          <cell r="E456">
            <v>1616438000</v>
          </cell>
        </row>
        <row r="457">
          <cell r="B457" t="str">
            <v>DLR</v>
          </cell>
          <cell r="C457" t="str">
            <v>Year 4</v>
          </cell>
          <cell r="E457">
            <v>1763336000</v>
          </cell>
        </row>
        <row r="458">
          <cell r="B458" t="str">
            <v>DLTR</v>
          </cell>
          <cell r="C458" t="str">
            <v>Year 1</v>
          </cell>
          <cell r="E458">
            <v>7394500000</v>
          </cell>
        </row>
        <row r="459">
          <cell r="B459" t="str">
            <v>DLTR</v>
          </cell>
          <cell r="C459" t="str">
            <v>Year 2</v>
          </cell>
          <cell r="E459">
            <v>7840300000</v>
          </cell>
        </row>
        <row r="460">
          <cell r="B460" t="str">
            <v>DLTR</v>
          </cell>
          <cell r="C460" t="str">
            <v>Year 3</v>
          </cell>
          <cell r="E460">
            <v>8602200000</v>
          </cell>
        </row>
        <row r="461">
          <cell r="B461" t="str">
            <v>DLTR</v>
          </cell>
          <cell r="C461" t="str">
            <v>Year 4</v>
          </cell>
          <cell r="E461">
            <v>15498400000</v>
          </cell>
        </row>
        <row r="462">
          <cell r="B462" t="str">
            <v>DNB</v>
          </cell>
          <cell r="C462" t="str">
            <v>Year 1</v>
          </cell>
          <cell r="E462">
            <v>1663000000</v>
          </cell>
        </row>
        <row r="463">
          <cell r="B463" t="str">
            <v>DNB</v>
          </cell>
          <cell r="C463" t="str">
            <v>Year 2</v>
          </cell>
          <cell r="E463">
            <v>1558400000</v>
          </cell>
        </row>
        <row r="464">
          <cell r="B464" t="str">
            <v>DNB</v>
          </cell>
          <cell r="C464" t="str">
            <v>Year 3</v>
          </cell>
          <cell r="E464">
            <v>1584500000</v>
          </cell>
        </row>
        <row r="465">
          <cell r="B465" t="str">
            <v>DNB</v>
          </cell>
          <cell r="C465" t="str">
            <v>Year 4</v>
          </cell>
          <cell r="E465">
            <v>1637100000</v>
          </cell>
        </row>
        <row r="466">
          <cell r="B466" t="str">
            <v>DOV</v>
          </cell>
          <cell r="C466" t="str">
            <v>Year 1</v>
          </cell>
          <cell r="E466">
            <v>7155096000</v>
          </cell>
        </row>
        <row r="467">
          <cell r="B467" t="str">
            <v>DOV</v>
          </cell>
          <cell r="C467" t="str">
            <v>Year 2</v>
          </cell>
          <cell r="E467">
            <v>7752728000</v>
          </cell>
        </row>
        <row r="468">
          <cell r="B468" t="str">
            <v>DOV</v>
          </cell>
          <cell r="C468" t="str">
            <v>Year 3</v>
          </cell>
          <cell r="E468">
            <v>6956311000</v>
          </cell>
        </row>
        <row r="469">
          <cell r="B469" t="str">
            <v>DOV</v>
          </cell>
          <cell r="C469" t="str">
            <v>Year 4</v>
          </cell>
          <cell r="E469">
            <v>6794342000</v>
          </cell>
        </row>
        <row r="470">
          <cell r="B470" t="str">
            <v>DPS</v>
          </cell>
          <cell r="C470" t="str">
            <v>Year 1</v>
          </cell>
          <cell r="E470">
            <v>5997000000</v>
          </cell>
        </row>
        <row r="471">
          <cell r="B471" t="str">
            <v>DPS</v>
          </cell>
          <cell r="C471" t="str">
            <v>Year 2</v>
          </cell>
          <cell r="E471">
            <v>6121000000</v>
          </cell>
        </row>
        <row r="472">
          <cell r="B472" t="str">
            <v>DPS</v>
          </cell>
          <cell r="C472" t="str">
            <v>Year 3</v>
          </cell>
          <cell r="E472">
            <v>6282000000</v>
          </cell>
        </row>
        <row r="473">
          <cell r="B473" t="str">
            <v>DPS</v>
          </cell>
          <cell r="C473" t="str">
            <v>Year 4</v>
          </cell>
          <cell r="E473">
            <v>6440000000</v>
          </cell>
        </row>
        <row r="474">
          <cell r="B474" t="str">
            <v>DRI</v>
          </cell>
          <cell r="C474" t="str">
            <v>Year 1</v>
          </cell>
          <cell r="E474">
            <v>5921000000</v>
          </cell>
        </row>
        <row r="475">
          <cell r="B475" t="str">
            <v>DRI</v>
          </cell>
          <cell r="C475" t="str">
            <v>Year 2</v>
          </cell>
          <cell r="E475">
            <v>6285600000</v>
          </cell>
        </row>
        <row r="476">
          <cell r="B476" t="str">
            <v>DRI</v>
          </cell>
          <cell r="C476" t="str">
            <v>Year 3</v>
          </cell>
          <cell r="E476">
            <v>6764000000</v>
          </cell>
        </row>
        <row r="477">
          <cell r="B477" t="str">
            <v>DRI</v>
          </cell>
          <cell r="C477" t="str">
            <v>Year 4</v>
          </cell>
          <cell r="E477">
            <v>6933500000</v>
          </cell>
        </row>
        <row r="478">
          <cell r="B478" t="str">
            <v>DUK</v>
          </cell>
          <cell r="C478" t="str">
            <v>Year 1</v>
          </cell>
          <cell r="E478">
            <v>17912000000</v>
          </cell>
        </row>
        <row r="479">
          <cell r="B479" t="str">
            <v>DUK</v>
          </cell>
          <cell r="C479" t="str">
            <v>Year 2</v>
          </cell>
          <cell r="E479">
            <v>22756000000</v>
          </cell>
        </row>
        <row r="480">
          <cell r="B480" t="str">
            <v>DUK</v>
          </cell>
          <cell r="C480" t="str">
            <v>Year 3</v>
          </cell>
          <cell r="E480">
            <v>23925000000</v>
          </cell>
        </row>
        <row r="481">
          <cell r="B481" t="str">
            <v>DUK</v>
          </cell>
          <cell r="C481" t="str">
            <v>Year 4</v>
          </cell>
          <cell r="E481">
            <v>23459000000</v>
          </cell>
        </row>
        <row r="482">
          <cell r="B482" t="str">
            <v>DVA</v>
          </cell>
          <cell r="C482" t="str">
            <v>Year 1</v>
          </cell>
          <cell r="E482">
            <v>8186280000</v>
          </cell>
        </row>
        <row r="483">
          <cell r="B483" t="str">
            <v>DVA</v>
          </cell>
          <cell r="C483" t="str">
            <v>Year 2</v>
          </cell>
          <cell r="E483">
            <v>11764050000</v>
          </cell>
        </row>
        <row r="484">
          <cell r="B484" t="str">
            <v>DVA</v>
          </cell>
          <cell r="C484" t="str">
            <v>Year 3</v>
          </cell>
          <cell r="E484">
            <v>12795106000</v>
          </cell>
        </row>
        <row r="485">
          <cell r="B485" t="str">
            <v>DVA</v>
          </cell>
          <cell r="C485" t="str">
            <v>Year 4</v>
          </cell>
          <cell r="E485">
            <v>13781837000</v>
          </cell>
        </row>
        <row r="486">
          <cell r="B486" t="str">
            <v>DVN</v>
          </cell>
          <cell r="C486" t="str">
            <v>Year 1</v>
          </cell>
          <cell r="E486">
            <v>10397000000</v>
          </cell>
        </row>
        <row r="487">
          <cell r="B487" t="str">
            <v>DVN</v>
          </cell>
          <cell r="C487" t="str">
            <v>Year 2</v>
          </cell>
          <cell r="E487">
            <v>20638000000</v>
          </cell>
        </row>
        <row r="488">
          <cell r="B488" t="str">
            <v>DVN</v>
          </cell>
          <cell r="C488" t="str">
            <v>Year 3</v>
          </cell>
          <cell r="E488">
            <v>13145000000</v>
          </cell>
        </row>
        <row r="489">
          <cell r="B489" t="str">
            <v>DVN</v>
          </cell>
          <cell r="C489" t="str">
            <v>Year 4</v>
          </cell>
          <cell r="E489">
            <v>12197000000</v>
          </cell>
        </row>
        <row r="490">
          <cell r="B490" t="str">
            <v>EA</v>
          </cell>
          <cell r="C490" t="str">
            <v>Year 1</v>
          </cell>
          <cell r="E490">
            <v>3797000000</v>
          </cell>
        </row>
        <row r="491">
          <cell r="B491" t="str">
            <v>EA</v>
          </cell>
          <cell r="C491" t="str">
            <v>Year 2</v>
          </cell>
          <cell r="E491">
            <v>3575000000</v>
          </cell>
        </row>
        <row r="492">
          <cell r="B492" t="str">
            <v>EA</v>
          </cell>
          <cell r="C492" t="str">
            <v>Year 3</v>
          </cell>
          <cell r="E492">
            <v>4515000000</v>
          </cell>
        </row>
        <row r="493">
          <cell r="B493" t="str">
            <v>EA</v>
          </cell>
          <cell r="C493" t="str">
            <v>Year 4</v>
          </cell>
          <cell r="E493">
            <v>4396000000</v>
          </cell>
        </row>
        <row r="494">
          <cell r="B494" t="str">
            <v>EBAY</v>
          </cell>
          <cell r="C494" t="str">
            <v>Year 1</v>
          </cell>
          <cell r="E494">
            <v>8257000000</v>
          </cell>
        </row>
        <row r="495">
          <cell r="B495" t="str">
            <v>EBAY</v>
          </cell>
          <cell r="C495" t="str">
            <v>Year 2</v>
          </cell>
          <cell r="E495">
            <v>8790000000</v>
          </cell>
        </row>
        <row r="496">
          <cell r="B496" t="str">
            <v>EBAY</v>
          </cell>
          <cell r="C496" t="str">
            <v>Year 3</v>
          </cell>
          <cell r="E496">
            <v>8592000000</v>
          </cell>
        </row>
        <row r="497">
          <cell r="B497" t="str">
            <v>EBAY</v>
          </cell>
          <cell r="C497" t="str">
            <v>Year 4</v>
          </cell>
          <cell r="E497">
            <v>8979000000</v>
          </cell>
        </row>
        <row r="498">
          <cell r="B498" t="str">
            <v>ECL</v>
          </cell>
          <cell r="C498" t="str">
            <v>Year 1</v>
          </cell>
          <cell r="E498">
            <v>11838700000</v>
          </cell>
        </row>
        <row r="499">
          <cell r="B499" t="str">
            <v>ECL</v>
          </cell>
          <cell r="C499" t="str">
            <v>Year 2</v>
          </cell>
          <cell r="E499">
            <v>13253400000</v>
          </cell>
        </row>
        <row r="500">
          <cell r="B500" t="str">
            <v>ECL</v>
          </cell>
          <cell r="C500" t="str">
            <v>Year 3</v>
          </cell>
          <cell r="E500">
            <v>14280500000</v>
          </cell>
        </row>
        <row r="501">
          <cell r="B501" t="str">
            <v>ECL</v>
          </cell>
          <cell r="C501" t="str">
            <v>Year 4</v>
          </cell>
          <cell r="E501">
            <v>13545100000</v>
          </cell>
        </row>
        <row r="502">
          <cell r="B502" t="str">
            <v>ED</v>
          </cell>
          <cell r="C502" t="str">
            <v>Year 1</v>
          </cell>
          <cell r="E502">
            <v>12354000000</v>
          </cell>
        </row>
        <row r="503">
          <cell r="B503" t="str">
            <v>ED</v>
          </cell>
          <cell r="C503" t="str">
            <v>Year 2</v>
          </cell>
          <cell r="E503">
            <v>12919000000</v>
          </cell>
        </row>
        <row r="504">
          <cell r="B504" t="str">
            <v>ED</v>
          </cell>
          <cell r="C504" t="str">
            <v>Year 3</v>
          </cell>
          <cell r="E504">
            <v>12554000000</v>
          </cell>
        </row>
        <row r="505">
          <cell r="B505" t="str">
            <v>ED</v>
          </cell>
          <cell r="C505" t="str">
            <v>Year 4</v>
          </cell>
          <cell r="E505">
            <v>12075000000</v>
          </cell>
        </row>
        <row r="506">
          <cell r="B506" t="str">
            <v>EFX</v>
          </cell>
          <cell r="C506" t="str">
            <v>Year 1</v>
          </cell>
          <cell r="E506">
            <v>2073000000</v>
          </cell>
        </row>
        <row r="507">
          <cell r="B507" t="str">
            <v>EFX</v>
          </cell>
          <cell r="C507" t="str">
            <v>Year 2</v>
          </cell>
          <cell r="E507">
            <v>2303900000</v>
          </cell>
        </row>
        <row r="508">
          <cell r="B508" t="str">
            <v>EFX</v>
          </cell>
          <cell r="C508" t="str">
            <v>Year 3</v>
          </cell>
          <cell r="E508">
            <v>2436400000</v>
          </cell>
        </row>
        <row r="509">
          <cell r="B509" t="str">
            <v>EFX</v>
          </cell>
          <cell r="C509" t="str">
            <v>Year 4</v>
          </cell>
          <cell r="E509">
            <v>2663600000</v>
          </cell>
        </row>
        <row r="510">
          <cell r="B510" t="str">
            <v>EIX</v>
          </cell>
          <cell r="C510" t="str">
            <v>Year 1</v>
          </cell>
          <cell r="E510">
            <v>11862000000</v>
          </cell>
        </row>
        <row r="511">
          <cell r="B511" t="str">
            <v>EIX</v>
          </cell>
          <cell r="C511" t="str">
            <v>Year 2</v>
          </cell>
          <cell r="E511">
            <v>12581000000</v>
          </cell>
        </row>
        <row r="512">
          <cell r="B512" t="str">
            <v>EIX</v>
          </cell>
          <cell r="C512" t="str">
            <v>Year 3</v>
          </cell>
          <cell r="E512">
            <v>13413000000</v>
          </cell>
        </row>
        <row r="513">
          <cell r="B513" t="str">
            <v>EIX</v>
          </cell>
          <cell r="C513" t="str">
            <v>Year 4</v>
          </cell>
          <cell r="E513">
            <v>11524000000</v>
          </cell>
        </row>
        <row r="514">
          <cell r="B514" t="str">
            <v>EL</v>
          </cell>
          <cell r="C514" t="str">
            <v>Year 1</v>
          </cell>
          <cell r="E514">
            <v>10181700000</v>
          </cell>
        </row>
        <row r="515">
          <cell r="B515" t="str">
            <v>EL</v>
          </cell>
          <cell r="C515" t="str">
            <v>Year 2</v>
          </cell>
          <cell r="E515">
            <v>10968800000</v>
          </cell>
        </row>
        <row r="516">
          <cell r="B516" t="str">
            <v>EL</v>
          </cell>
          <cell r="C516" t="str">
            <v>Year 3</v>
          </cell>
          <cell r="E516">
            <v>10780400000</v>
          </cell>
        </row>
        <row r="517">
          <cell r="B517" t="str">
            <v>EL</v>
          </cell>
          <cell r="C517" t="str">
            <v>Year 4</v>
          </cell>
          <cell r="E517">
            <v>11262300000</v>
          </cell>
        </row>
        <row r="518">
          <cell r="B518" t="str">
            <v>EMN</v>
          </cell>
          <cell r="C518" t="str">
            <v>Year 1</v>
          </cell>
          <cell r="E518">
            <v>8102000000</v>
          </cell>
        </row>
        <row r="519">
          <cell r="B519" t="str">
            <v>EMN</v>
          </cell>
          <cell r="C519" t="str">
            <v>Year 2</v>
          </cell>
          <cell r="E519">
            <v>9350000000</v>
          </cell>
        </row>
        <row r="520">
          <cell r="B520" t="str">
            <v>EMN</v>
          </cell>
          <cell r="C520" t="str">
            <v>Year 3</v>
          </cell>
          <cell r="E520">
            <v>9527000000</v>
          </cell>
        </row>
        <row r="521">
          <cell r="B521" t="str">
            <v>EMN</v>
          </cell>
          <cell r="C521" t="str">
            <v>Year 4</v>
          </cell>
          <cell r="E521">
            <v>9648000000</v>
          </cell>
        </row>
        <row r="522">
          <cell r="B522" t="str">
            <v>EMR</v>
          </cell>
          <cell r="C522" t="str">
            <v>Year 1</v>
          </cell>
          <cell r="E522">
            <v>24669000000</v>
          </cell>
        </row>
        <row r="523">
          <cell r="B523" t="str">
            <v>EMR</v>
          </cell>
          <cell r="C523" t="str">
            <v>Year 2</v>
          </cell>
          <cell r="E523">
            <v>17733000000</v>
          </cell>
        </row>
        <row r="524">
          <cell r="B524" t="str">
            <v>EMR</v>
          </cell>
          <cell r="C524" t="str">
            <v>Year 3</v>
          </cell>
          <cell r="E524">
            <v>16249000000</v>
          </cell>
        </row>
        <row r="525">
          <cell r="B525" t="str">
            <v>EMR</v>
          </cell>
          <cell r="C525" t="str">
            <v>Year 4</v>
          </cell>
          <cell r="E525">
            <v>14522000000</v>
          </cell>
        </row>
        <row r="526">
          <cell r="B526" t="str">
            <v>EOG</v>
          </cell>
          <cell r="C526" t="str">
            <v>Year 1</v>
          </cell>
          <cell r="E526">
            <v>11682636000</v>
          </cell>
        </row>
        <row r="527">
          <cell r="B527" t="str">
            <v>EOG</v>
          </cell>
          <cell r="C527" t="str">
            <v>Year 2</v>
          </cell>
          <cell r="E527">
            <v>14487118000</v>
          </cell>
        </row>
        <row r="528">
          <cell r="B528" t="str">
            <v>EOG</v>
          </cell>
          <cell r="C528" t="str">
            <v>Year 3</v>
          </cell>
          <cell r="E528">
            <v>18035340000</v>
          </cell>
        </row>
        <row r="529">
          <cell r="B529" t="str">
            <v>EOG</v>
          </cell>
          <cell r="C529" t="str">
            <v>Year 4</v>
          </cell>
          <cell r="E529">
            <v>8757428000</v>
          </cell>
        </row>
        <row r="530">
          <cell r="B530" t="str">
            <v>EQIX</v>
          </cell>
          <cell r="C530" t="str">
            <v>Year 1</v>
          </cell>
          <cell r="E530">
            <v>1887376000</v>
          </cell>
        </row>
        <row r="531">
          <cell r="B531" t="str">
            <v>EQIX</v>
          </cell>
          <cell r="C531" t="str">
            <v>Year 2</v>
          </cell>
          <cell r="E531">
            <v>2152766000</v>
          </cell>
        </row>
        <row r="532">
          <cell r="B532" t="str">
            <v>EQIX</v>
          </cell>
          <cell r="C532" t="str">
            <v>Year 3</v>
          </cell>
          <cell r="E532">
            <v>2443776000</v>
          </cell>
        </row>
        <row r="533">
          <cell r="B533" t="str">
            <v>EQIX</v>
          </cell>
          <cell r="C533" t="str">
            <v>Year 4</v>
          </cell>
          <cell r="E533">
            <v>2725867000</v>
          </cell>
        </row>
        <row r="534">
          <cell r="B534" t="str">
            <v>EQR</v>
          </cell>
          <cell r="C534" t="str">
            <v>Year 1</v>
          </cell>
          <cell r="E534">
            <v>1747502000</v>
          </cell>
        </row>
        <row r="535">
          <cell r="B535" t="str">
            <v>EQR</v>
          </cell>
          <cell r="C535" t="str">
            <v>Year 2</v>
          </cell>
          <cell r="E535">
            <v>2387702000</v>
          </cell>
        </row>
        <row r="536">
          <cell r="B536" t="str">
            <v>EQR</v>
          </cell>
          <cell r="C536" t="str">
            <v>Year 3</v>
          </cell>
          <cell r="E536">
            <v>2614748000</v>
          </cell>
        </row>
        <row r="537">
          <cell r="B537" t="str">
            <v>EQR</v>
          </cell>
          <cell r="C537" t="str">
            <v>Year 4</v>
          </cell>
          <cell r="E537">
            <v>2744965000</v>
          </cell>
        </row>
        <row r="538">
          <cell r="B538" t="str">
            <v>EQT</v>
          </cell>
          <cell r="C538" t="str">
            <v>Year 1</v>
          </cell>
          <cell r="E538">
            <v>1859177000</v>
          </cell>
        </row>
        <row r="539">
          <cell r="B539" t="str">
            <v>EQT</v>
          </cell>
          <cell r="C539" t="str">
            <v>Year 2</v>
          </cell>
          <cell r="E539">
            <v>2388768000</v>
          </cell>
        </row>
        <row r="540">
          <cell r="B540" t="str">
            <v>EQT</v>
          </cell>
          <cell r="C540" t="str">
            <v>Year 3</v>
          </cell>
          <cell r="E540">
            <v>1954000000</v>
          </cell>
        </row>
        <row r="541">
          <cell r="B541" t="str">
            <v>EQT</v>
          </cell>
          <cell r="C541" t="str">
            <v>Year 4</v>
          </cell>
          <cell r="E541">
            <v>1857339000</v>
          </cell>
        </row>
        <row r="542">
          <cell r="B542" t="str">
            <v>ES</v>
          </cell>
          <cell r="C542" t="str">
            <v>Year 1</v>
          </cell>
          <cell r="E542">
            <v>6273787000</v>
          </cell>
        </row>
        <row r="543">
          <cell r="B543" t="str">
            <v>ES</v>
          </cell>
          <cell r="C543" t="str">
            <v>Year 2</v>
          </cell>
          <cell r="E543">
            <v>7301204000</v>
          </cell>
        </row>
        <row r="544">
          <cell r="B544" t="str">
            <v>ES</v>
          </cell>
          <cell r="C544" t="str">
            <v>Year 3</v>
          </cell>
          <cell r="E544">
            <v>7741856000</v>
          </cell>
        </row>
        <row r="545">
          <cell r="B545" t="str">
            <v>ES</v>
          </cell>
          <cell r="C545" t="str">
            <v>Year 4</v>
          </cell>
          <cell r="E545">
            <v>7954827000</v>
          </cell>
        </row>
        <row r="546">
          <cell r="B546" t="str">
            <v>ESS</v>
          </cell>
          <cell r="C546" t="str">
            <v>Year 1</v>
          </cell>
          <cell r="E546">
            <v>535153000</v>
          </cell>
        </row>
        <row r="547">
          <cell r="B547" t="str">
            <v>ESS</v>
          </cell>
          <cell r="C547" t="str">
            <v>Year 2</v>
          </cell>
          <cell r="E547">
            <v>610590000</v>
          </cell>
        </row>
        <row r="548">
          <cell r="B548" t="str">
            <v>ESS</v>
          </cell>
          <cell r="C548" t="str">
            <v>Year 3</v>
          </cell>
          <cell r="E548">
            <v>970938000</v>
          </cell>
        </row>
        <row r="549">
          <cell r="B549" t="str">
            <v>ESS</v>
          </cell>
          <cell r="C549" t="str">
            <v>Year 4</v>
          </cell>
          <cell r="E549">
            <v>1194407000</v>
          </cell>
        </row>
        <row r="550">
          <cell r="B550" t="str">
            <v>ETFC</v>
          </cell>
          <cell r="C550" t="str">
            <v>Year 1</v>
          </cell>
          <cell r="E550">
            <v>1365000000</v>
          </cell>
        </row>
        <row r="551">
          <cell r="B551" t="str">
            <v>ETFC</v>
          </cell>
          <cell r="C551" t="str">
            <v>Year 2</v>
          </cell>
          <cell r="E551">
            <v>1466000000</v>
          </cell>
        </row>
        <row r="552">
          <cell r="B552" t="str">
            <v>ETFC</v>
          </cell>
          <cell r="C552" t="str">
            <v>Year 3</v>
          </cell>
          <cell r="E552">
            <v>1665000000</v>
          </cell>
        </row>
        <row r="553">
          <cell r="B553" t="str">
            <v>ETFC</v>
          </cell>
          <cell r="C553" t="str">
            <v>Year 4</v>
          </cell>
          <cell r="E553">
            <v>1403000000</v>
          </cell>
        </row>
        <row r="554">
          <cell r="B554" t="str">
            <v>ETN</v>
          </cell>
          <cell r="C554" t="str">
            <v>Year 1</v>
          </cell>
          <cell r="E554">
            <v>16311000000</v>
          </cell>
        </row>
        <row r="555">
          <cell r="B555" t="str">
            <v>ETN</v>
          </cell>
          <cell r="C555" t="str">
            <v>Year 2</v>
          </cell>
          <cell r="E555">
            <v>22046000000</v>
          </cell>
        </row>
        <row r="556">
          <cell r="B556" t="str">
            <v>ETN</v>
          </cell>
          <cell r="C556" t="str">
            <v>Year 3</v>
          </cell>
          <cell r="E556">
            <v>22552000000</v>
          </cell>
        </row>
        <row r="557">
          <cell r="B557" t="str">
            <v>ETN</v>
          </cell>
          <cell r="C557" t="str">
            <v>Year 4</v>
          </cell>
          <cell r="E557">
            <v>20855000000</v>
          </cell>
        </row>
        <row r="558">
          <cell r="B558" t="str">
            <v>ETR</v>
          </cell>
          <cell r="C558" t="str">
            <v>Year 1</v>
          </cell>
          <cell r="E558">
            <v>10302079000</v>
          </cell>
        </row>
        <row r="559">
          <cell r="B559" t="str">
            <v>ETR</v>
          </cell>
          <cell r="C559" t="str">
            <v>Year 2</v>
          </cell>
          <cell r="E559">
            <v>11390947000</v>
          </cell>
        </row>
        <row r="560">
          <cell r="B560" t="str">
            <v>ETR</v>
          </cell>
          <cell r="C560" t="str">
            <v>Year 3</v>
          </cell>
          <cell r="E560">
            <v>12494921000</v>
          </cell>
        </row>
        <row r="561">
          <cell r="B561" t="str">
            <v>ETR</v>
          </cell>
          <cell r="C561" t="str">
            <v>Year 4</v>
          </cell>
          <cell r="E561">
            <v>11513251000</v>
          </cell>
        </row>
        <row r="562">
          <cell r="B562" t="str">
            <v>EW</v>
          </cell>
          <cell r="C562" t="str">
            <v>Year 1</v>
          </cell>
          <cell r="E562">
            <v>1899600000</v>
          </cell>
        </row>
        <row r="563">
          <cell r="B563" t="str">
            <v>EW</v>
          </cell>
          <cell r="C563" t="str">
            <v>Year 2</v>
          </cell>
          <cell r="E563">
            <v>2045500000</v>
          </cell>
        </row>
        <row r="564">
          <cell r="B564" t="str">
            <v>EW</v>
          </cell>
          <cell r="C564" t="str">
            <v>Year 3</v>
          </cell>
          <cell r="E564">
            <v>2322900000</v>
          </cell>
        </row>
        <row r="565">
          <cell r="B565" t="str">
            <v>EW</v>
          </cell>
          <cell r="C565" t="str">
            <v>Year 4</v>
          </cell>
          <cell r="E565">
            <v>2493700000</v>
          </cell>
        </row>
        <row r="566">
          <cell r="B566" t="str">
            <v>EXC</v>
          </cell>
          <cell r="C566" t="str">
            <v>Year 1</v>
          </cell>
          <cell r="E566">
            <v>24888000000</v>
          </cell>
        </row>
        <row r="567">
          <cell r="B567" t="str">
            <v>EXC</v>
          </cell>
          <cell r="C567" t="str">
            <v>Year 2</v>
          </cell>
          <cell r="E567">
            <v>27429000000</v>
          </cell>
        </row>
        <row r="568">
          <cell r="B568" t="str">
            <v>EXC</v>
          </cell>
          <cell r="C568" t="str">
            <v>Year 3</v>
          </cell>
          <cell r="E568">
            <v>29447000000</v>
          </cell>
        </row>
        <row r="569">
          <cell r="B569" t="str">
            <v>EXC</v>
          </cell>
          <cell r="C569" t="str">
            <v>Year 4</v>
          </cell>
          <cell r="E569">
            <v>31360000000</v>
          </cell>
        </row>
        <row r="570">
          <cell r="B570" t="str">
            <v>EXPD</v>
          </cell>
          <cell r="C570" t="str">
            <v>Year 1</v>
          </cell>
          <cell r="E570">
            <v>5992215000</v>
          </cell>
        </row>
        <row r="571">
          <cell r="B571" t="str">
            <v>EXPD</v>
          </cell>
          <cell r="C571" t="str">
            <v>Year 2</v>
          </cell>
          <cell r="E571">
            <v>6080257000</v>
          </cell>
        </row>
        <row r="572">
          <cell r="B572" t="str">
            <v>EXPD</v>
          </cell>
          <cell r="C572" t="str">
            <v>Year 3</v>
          </cell>
          <cell r="E572">
            <v>6564721000</v>
          </cell>
        </row>
        <row r="573">
          <cell r="B573" t="str">
            <v>EXPD</v>
          </cell>
          <cell r="C573" t="str">
            <v>Year 4</v>
          </cell>
          <cell r="E573">
            <v>6616632000</v>
          </cell>
        </row>
        <row r="574">
          <cell r="B574" t="str">
            <v>EXPE</v>
          </cell>
          <cell r="C574" t="str">
            <v>Year 1</v>
          </cell>
          <cell r="E574">
            <v>4771259000</v>
          </cell>
        </row>
        <row r="575">
          <cell r="B575" t="str">
            <v>EXPE</v>
          </cell>
          <cell r="C575" t="str">
            <v>Year 2</v>
          </cell>
          <cell r="E575">
            <v>5763485000</v>
          </cell>
        </row>
        <row r="576">
          <cell r="B576" t="str">
            <v>EXPE</v>
          </cell>
          <cell r="C576" t="str">
            <v>Year 3</v>
          </cell>
          <cell r="E576">
            <v>6672317000</v>
          </cell>
        </row>
        <row r="577">
          <cell r="B577" t="str">
            <v>EXPE</v>
          </cell>
          <cell r="C577" t="str">
            <v>Year 4</v>
          </cell>
          <cell r="E577">
            <v>8773564000</v>
          </cell>
        </row>
        <row r="578">
          <cell r="B578" t="str">
            <v>EXR</v>
          </cell>
          <cell r="C578" t="str">
            <v>Year 1</v>
          </cell>
          <cell r="E578">
            <v>409396000</v>
          </cell>
        </row>
        <row r="579">
          <cell r="B579" t="str">
            <v>EXR</v>
          </cell>
          <cell r="C579" t="str">
            <v>Year 2</v>
          </cell>
          <cell r="E579">
            <v>520613000</v>
          </cell>
        </row>
        <row r="580">
          <cell r="B580" t="str">
            <v>EXR</v>
          </cell>
          <cell r="C580" t="str">
            <v>Year 3</v>
          </cell>
          <cell r="E580">
            <v>647155000</v>
          </cell>
        </row>
        <row r="581">
          <cell r="B581" t="str">
            <v>EXR</v>
          </cell>
          <cell r="C581" t="str">
            <v>Year 4</v>
          </cell>
          <cell r="E581">
            <v>782270000</v>
          </cell>
        </row>
        <row r="582">
          <cell r="B582" t="str">
            <v>F</v>
          </cell>
          <cell r="C582" t="str">
            <v>Year 1</v>
          </cell>
          <cell r="E582">
            <v>146917000000</v>
          </cell>
        </row>
        <row r="583">
          <cell r="B583" t="str">
            <v>F</v>
          </cell>
          <cell r="C583" t="str">
            <v>Year 2</v>
          </cell>
          <cell r="E583">
            <v>144077000000</v>
          </cell>
        </row>
        <row r="584">
          <cell r="B584" t="str">
            <v>F</v>
          </cell>
          <cell r="C584" t="str">
            <v>Year 3</v>
          </cell>
          <cell r="E584">
            <v>149558000000</v>
          </cell>
        </row>
        <row r="585">
          <cell r="B585" t="str">
            <v>F</v>
          </cell>
          <cell r="C585" t="str">
            <v>Year 4</v>
          </cell>
          <cell r="E585">
            <v>151800000000</v>
          </cell>
        </row>
        <row r="586">
          <cell r="B586" t="str">
            <v>FAST</v>
          </cell>
          <cell r="C586" t="str">
            <v>Year 1</v>
          </cell>
          <cell r="E586">
            <v>3326106000</v>
          </cell>
        </row>
        <row r="587">
          <cell r="B587" t="str">
            <v>FAST</v>
          </cell>
          <cell r="C587" t="str">
            <v>Year 2</v>
          </cell>
          <cell r="E587">
            <v>3733507000</v>
          </cell>
        </row>
        <row r="588">
          <cell r="B588" t="str">
            <v>FAST</v>
          </cell>
          <cell r="C588" t="str">
            <v>Year 3</v>
          </cell>
          <cell r="E588">
            <v>3869187000</v>
          </cell>
        </row>
        <row r="589">
          <cell r="B589" t="str">
            <v>FAST</v>
          </cell>
          <cell r="C589" t="str">
            <v>Year 4</v>
          </cell>
          <cell r="E589">
            <v>3962036000</v>
          </cell>
        </row>
        <row r="590">
          <cell r="B590" t="str">
            <v>FB</v>
          </cell>
          <cell r="C590" t="str">
            <v>Year 1</v>
          </cell>
          <cell r="E590">
            <v>7872000000</v>
          </cell>
        </row>
        <row r="591">
          <cell r="B591" t="str">
            <v>FB</v>
          </cell>
          <cell r="C591" t="str">
            <v>Year 2</v>
          </cell>
          <cell r="E591">
            <v>12466000000</v>
          </cell>
        </row>
        <row r="592">
          <cell r="B592" t="str">
            <v>FB</v>
          </cell>
          <cell r="C592" t="str">
            <v>Year 3</v>
          </cell>
          <cell r="E592">
            <v>17928000000</v>
          </cell>
        </row>
        <row r="593">
          <cell r="B593" t="str">
            <v>FB</v>
          </cell>
          <cell r="C593" t="str">
            <v>Year 4</v>
          </cell>
          <cell r="E593">
            <v>27638000000</v>
          </cell>
        </row>
        <row r="594">
          <cell r="B594" t="str">
            <v>FBHS</v>
          </cell>
          <cell r="C594" t="str">
            <v>Year 1</v>
          </cell>
          <cell r="E594">
            <v>3134800000</v>
          </cell>
        </row>
        <row r="595">
          <cell r="B595" t="str">
            <v>FBHS</v>
          </cell>
          <cell r="C595" t="str">
            <v>Year 2</v>
          </cell>
          <cell r="E595">
            <v>3703600000</v>
          </cell>
        </row>
        <row r="596">
          <cell r="B596" t="str">
            <v>FBHS</v>
          </cell>
          <cell r="C596" t="str">
            <v>Year 3</v>
          </cell>
          <cell r="E596">
            <v>4013600000</v>
          </cell>
        </row>
        <row r="597">
          <cell r="B597" t="str">
            <v>FBHS</v>
          </cell>
          <cell r="C597" t="str">
            <v>Year 4</v>
          </cell>
          <cell r="E597">
            <v>4579400000</v>
          </cell>
        </row>
        <row r="598">
          <cell r="B598" t="str">
            <v>FCX</v>
          </cell>
          <cell r="C598" t="str">
            <v>Year 1</v>
          </cell>
          <cell r="E598">
            <v>18010000000</v>
          </cell>
        </row>
        <row r="599">
          <cell r="B599" t="str">
            <v>FCX</v>
          </cell>
          <cell r="C599" t="str">
            <v>Year 2</v>
          </cell>
          <cell r="E599">
            <v>20921000000</v>
          </cell>
        </row>
        <row r="600">
          <cell r="B600" t="str">
            <v>FCX</v>
          </cell>
          <cell r="C600" t="str">
            <v>Year 3</v>
          </cell>
          <cell r="E600">
            <v>21438000000</v>
          </cell>
        </row>
        <row r="601">
          <cell r="B601" t="str">
            <v>FCX</v>
          </cell>
          <cell r="C601" t="str">
            <v>Year 4</v>
          </cell>
          <cell r="E601">
            <v>15877000000</v>
          </cell>
        </row>
        <row r="602">
          <cell r="B602" t="str">
            <v>FDX</v>
          </cell>
          <cell r="C602" t="str">
            <v>Year 1</v>
          </cell>
          <cell r="E602">
            <v>44287000000</v>
          </cell>
        </row>
        <row r="603">
          <cell r="B603" t="str">
            <v>FDX</v>
          </cell>
          <cell r="C603" t="str">
            <v>Year 2</v>
          </cell>
          <cell r="E603">
            <v>45567000000</v>
          </cell>
        </row>
        <row r="604">
          <cell r="B604" t="str">
            <v>FDX</v>
          </cell>
          <cell r="C604" t="str">
            <v>Year 3</v>
          </cell>
          <cell r="E604">
            <v>47453000000</v>
          </cell>
        </row>
        <row r="605">
          <cell r="B605" t="str">
            <v>FDX</v>
          </cell>
          <cell r="C605" t="str">
            <v>Year 4</v>
          </cell>
          <cell r="E605">
            <v>50365000000</v>
          </cell>
        </row>
        <row r="606">
          <cell r="B606" t="str">
            <v>FE</v>
          </cell>
          <cell r="C606" t="str">
            <v>Year 1</v>
          </cell>
          <cell r="E606">
            <v>15255000000</v>
          </cell>
        </row>
        <row r="607">
          <cell r="B607" t="str">
            <v>FE</v>
          </cell>
          <cell r="C607" t="str">
            <v>Year 2</v>
          </cell>
          <cell r="E607">
            <v>14892000000</v>
          </cell>
        </row>
        <row r="608">
          <cell r="B608" t="str">
            <v>FE</v>
          </cell>
          <cell r="C608" t="str">
            <v>Year 3</v>
          </cell>
          <cell r="E608">
            <v>15049000000</v>
          </cell>
        </row>
        <row r="609">
          <cell r="B609" t="str">
            <v>FE</v>
          </cell>
          <cell r="C609" t="str">
            <v>Year 4</v>
          </cell>
          <cell r="E609">
            <v>15026000000</v>
          </cell>
        </row>
        <row r="610">
          <cell r="B610" t="str">
            <v>FFIV</v>
          </cell>
          <cell r="C610" t="str">
            <v>Year 1</v>
          </cell>
          <cell r="E610">
            <v>1481314000</v>
          </cell>
        </row>
        <row r="611">
          <cell r="B611" t="str">
            <v>FFIV</v>
          </cell>
          <cell r="C611" t="str">
            <v>Year 2</v>
          </cell>
          <cell r="E611">
            <v>1732046000</v>
          </cell>
        </row>
        <row r="612">
          <cell r="B612" t="str">
            <v>FFIV</v>
          </cell>
          <cell r="C612" t="str">
            <v>Year 3</v>
          </cell>
          <cell r="E612">
            <v>1919823000</v>
          </cell>
        </row>
        <row r="613">
          <cell r="B613" t="str">
            <v>FFIV</v>
          </cell>
          <cell r="C613" t="str">
            <v>Year 4</v>
          </cell>
          <cell r="E613">
            <v>1995034000</v>
          </cell>
        </row>
        <row r="614">
          <cell r="B614" t="str">
            <v>FIS</v>
          </cell>
          <cell r="C614" t="str">
            <v>Year 1</v>
          </cell>
          <cell r="E614">
            <v>5795800000</v>
          </cell>
        </row>
        <row r="615">
          <cell r="B615" t="str">
            <v>FIS</v>
          </cell>
          <cell r="C615" t="str">
            <v>Year 2</v>
          </cell>
          <cell r="E615">
            <v>6063400000</v>
          </cell>
        </row>
        <row r="616">
          <cell r="B616" t="str">
            <v>FIS</v>
          </cell>
          <cell r="C616" t="str">
            <v>Year 3</v>
          </cell>
          <cell r="E616">
            <v>6413800000</v>
          </cell>
        </row>
        <row r="617">
          <cell r="B617" t="str">
            <v>FIS</v>
          </cell>
          <cell r="C617" t="str">
            <v>Year 4</v>
          </cell>
          <cell r="E617">
            <v>6595200000</v>
          </cell>
        </row>
        <row r="618">
          <cell r="B618" t="str">
            <v>FISV</v>
          </cell>
          <cell r="C618" t="str">
            <v>Year 1</v>
          </cell>
          <cell r="E618">
            <v>4436000000</v>
          </cell>
        </row>
        <row r="619">
          <cell r="B619" t="str">
            <v>FISV</v>
          </cell>
          <cell r="C619" t="str">
            <v>Year 2</v>
          </cell>
          <cell r="E619">
            <v>4814000000</v>
          </cell>
        </row>
        <row r="620">
          <cell r="B620" t="str">
            <v>FISV</v>
          </cell>
          <cell r="C620" t="str">
            <v>Year 3</v>
          </cell>
          <cell r="E620">
            <v>5066000000</v>
          </cell>
        </row>
        <row r="621">
          <cell r="B621" t="str">
            <v>FISV</v>
          </cell>
          <cell r="C621" t="str">
            <v>Year 4</v>
          </cell>
          <cell r="E621">
            <v>5254000000</v>
          </cell>
        </row>
        <row r="622">
          <cell r="B622" t="str">
            <v>FL</v>
          </cell>
          <cell r="C622" t="str">
            <v>Year 1</v>
          </cell>
          <cell r="E622">
            <v>6182000000</v>
          </cell>
        </row>
        <row r="623">
          <cell r="B623" t="str">
            <v>FL</v>
          </cell>
          <cell r="C623" t="str">
            <v>Year 2</v>
          </cell>
          <cell r="E623">
            <v>6505000000</v>
          </cell>
        </row>
        <row r="624">
          <cell r="B624" t="str">
            <v>FL</v>
          </cell>
          <cell r="C624" t="str">
            <v>Year 3</v>
          </cell>
          <cell r="E624">
            <v>7151000000</v>
          </cell>
        </row>
        <row r="625">
          <cell r="B625" t="str">
            <v>FL</v>
          </cell>
          <cell r="C625" t="str">
            <v>Year 4</v>
          </cell>
          <cell r="E625">
            <v>7412000000</v>
          </cell>
        </row>
        <row r="626">
          <cell r="B626" t="str">
            <v>FLIR</v>
          </cell>
          <cell r="C626" t="str">
            <v>Year 1</v>
          </cell>
          <cell r="E626">
            <v>1405358000</v>
          </cell>
        </row>
        <row r="627">
          <cell r="B627" t="str">
            <v>FLIR</v>
          </cell>
          <cell r="C627" t="str">
            <v>Year 2</v>
          </cell>
          <cell r="E627">
            <v>1496372000</v>
          </cell>
        </row>
        <row r="628">
          <cell r="B628" t="str">
            <v>FLIR</v>
          </cell>
          <cell r="C628" t="str">
            <v>Year 3</v>
          </cell>
          <cell r="E628">
            <v>1530654000</v>
          </cell>
        </row>
        <row r="629">
          <cell r="B629" t="str">
            <v>FLIR</v>
          </cell>
          <cell r="C629" t="str">
            <v>Year 4</v>
          </cell>
          <cell r="E629">
            <v>1557067000</v>
          </cell>
        </row>
        <row r="630">
          <cell r="B630" t="str">
            <v>FLR</v>
          </cell>
          <cell r="C630" t="str">
            <v>Year 1</v>
          </cell>
          <cell r="E630">
            <v>27351573000</v>
          </cell>
        </row>
        <row r="631">
          <cell r="B631" t="str">
            <v>FLR</v>
          </cell>
          <cell r="C631" t="str">
            <v>Year 2</v>
          </cell>
          <cell r="E631">
            <v>21531577000</v>
          </cell>
        </row>
        <row r="632">
          <cell r="B632" t="str">
            <v>FLR</v>
          </cell>
          <cell r="C632" t="str">
            <v>Year 3</v>
          </cell>
          <cell r="E632">
            <v>18114048000</v>
          </cell>
        </row>
        <row r="633">
          <cell r="B633" t="str">
            <v>FLR</v>
          </cell>
          <cell r="C633" t="str">
            <v>Year 4</v>
          </cell>
          <cell r="E633">
            <v>19036525000</v>
          </cell>
        </row>
        <row r="634">
          <cell r="B634" t="str">
            <v>FLS</v>
          </cell>
          <cell r="C634" t="str">
            <v>Year 1</v>
          </cell>
          <cell r="E634">
            <v>4954619000</v>
          </cell>
        </row>
        <row r="635">
          <cell r="B635" t="str">
            <v>FLS</v>
          </cell>
          <cell r="C635" t="str">
            <v>Year 2</v>
          </cell>
          <cell r="E635">
            <v>4877885000</v>
          </cell>
        </row>
        <row r="636">
          <cell r="B636" t="str">
            <v>FLS</v>
          </cell>
          <cell r="C636" t="str">
            <v>Year 3</v>
          </cell>
          <cell r="E636">
            <v>4561030000</v>
          </cell>
        </row>
        <row r="637">
          <cell r="B637" t="str">
            <v>FLS</v>
          </cell>
          <cell r="C637" t="str">
            <v>Year 4</v>
          </cell>
          <cell r="E637">
            <v>3991462000</v>
          </cell>
        </row>
        <row r="638">
          <cell r="B638" t="str">
            <v>FMC</v>
          </cell>
          <cell r="C638" t="str">
            <v>Year 1</v>
          </cell>
          <cell r="E638">
            <v>3409900000</v>
          </cell>
        </row>
        <row r="639">
          <cell r="B639" t="str">
            <v>FMC</v>
          </cell>
          <cell r="C639" t="str">
            <v>Year 2</v>
          </cell>
          <cell r="E639">
            <v>3130700000</v>
          </cell>
        </row>
        <row r="640">
          <cell r="B640" t="str">
            <v>FMC</v>
          </cell>
          <cell r="C640" t="str">
            <v>Year 3</v>
          </cell>
          <cell r="E640">
            <v>3258700000</v>
          </cell>
        </row>
        <row r="641">
          <cell r="B641" t="str">
            <v>FMC</v>
          </cell>
          <cell r="C641" t="str">
            <v>Year 4</v>
          </cell>
          <cell r="E641">
            <v>3276500000</v>
          </cell>
        </row>
        <row r="642">
          <cell r="B642" t="str">
            <v>FRT</v>
          </cell>
          <cell r="C642" t="str">
            <v>Year 1</v>
          </cell>
          <cell r="E642">
            <v>637413000</v>
          </cell>
        </row>
        <row r="643">
          <cell r="B643" t="str">
            <v>FRT</v>
          </cell>
          <cell r="C643" t="str">
            <v>Year 2</v>
          </cell>
          <cell r="E643">
            <v>686090000</v>
          </cell>
        </row>
        <row r="644">
          <cell r="B644" t="str">
            <v>FRT</v>
          </cell>
          <cell r="C644" t="str">
            <v>Year 3</v>
          </cell>
          <cell r="E644">
            <v>744012000</v>
          </cell>
        </row>
        <row r="645">
          <cell r="B645" t="str">
            <v>FRT</v>
          </cell>
          <cell r="C645" t="str">
            <v>Year 4</v>
          </cell>
          <cell r="E645">
            <v>801591000</v>
          </cell>
        </row>
        <row r="646">
          <cell r="B646" t="str">
            <v>FSLR</v>
          </cell>
          <cell r="C646" t="str">
            <v>Year 1</v>
          </cell>
          <cell r="E646">
            <v>3368545000</v>
          </cell>
        </row>
        <row r="647">
          <cell r="B647" t="str">
            <v>FSLR</v>
          </cell>
          <cell r="C647" t="str">
            <v>Year 2</v>
          </cell>
          <cell r="E647">
            <v>3309616000</v>
          </cell>
        </row>
        <row r="648">
          <cell r="B648" t="str">
            <v>FSLR</v>
          </cell>
          <cell r="C648" t="str">
            <v>Year 3</v>
          </cell>
          <cell r="E648">
            <v>3391187000</v>
          </cell>
        </row>
        <row r="649">
          <cell r="B649" t="str">
            <v>FSLR</v>
          </cell>
          <cell r="C649" t="str">
            <v>Year 4</v>
          </cell>
          <cell r="E649">
            <v>3578995000</v>
          </cell>
        </row>
        <row r="650">
          <cell r="B650" t="str">
            <v>FTR</v>
          </cell>
          <cell r="C650" t="str">
            <v>Year 1</v>
          </cell>
          <cell r="E650">
            <v>5011853000</v>
          </cell>
        </row>
        <row r="651">
          <cell r="B651" t="str">
            <v>FTR</v>
          </cell>
          <cell r="C651" t="str">
            <v>Year 2</v>
          </cell>
          <cell r="E651">
            <v>4762000000</v>
          </cell>
        </row>
        <row r="652">
          <cell r="B652" t="str">
            <v>FTR</v>
          </cell>
          <cell r="C652" t="str">
            <v>Year 3</v>
          </cell>
          <cell r="E652">
            <v>4772000000</v>
          </cell>
        </row>
        <row r="653">
          <cell r="B653" t="str">
            <v>FTR</v>
          </cell>
          <cell r="C653" t="str">
            <v>Year 4</v>
          </cell>
          <cell r="E653">
            <v>5576000000</v>
          </cell>
        </row>
        <row r="654">
          <cell r="B654" t="str">
            <v>GD</v>
          </cell>
          <cell r="C654" t="str">
            <v>Year 1</v>
          </cell>
          <cell r="E654">
            <v>30930000000</v>
          </cell>
        </row>
        <row r="655">
          <cell r="B655" t="str">
            <v>GD</v>
          </cell>
          <cell r="C655" t="str">
            <v>Year 2</v>
          </cell>
          <cell r="E655">
            <v>30852000000</v>
          </cell>
        </row>
        <row r="656">
          <cell r="B656" t="str">
            <v>GD</v>
          </cell>
          <cell r="C656" t="str">
            <v>Year 3</v>
          </cell>
          <cell r="E656">
            <v>31469000000</v>
          </cell>
        </row>
        <row r="657">
          <cell r="B657" t="str">
            <v>GD</v>
          </cell>
          <cell r="C657" t="str">
            <v>Year 4</v>
          </cell>
          <cell r="E657">
            <v>31353000000</v>
          </cell>
        </row>
        <row r="658">
          <cell r="B658" t="str">
            <v>GGP</v>
          </cell>
          <cell r="C658" t="str">
            <v>Year 1</v>
          </cell>
          <cell r="E658">
            <v>2426301000</v>
          </cell>
        </row>
        <row r="659">
          <cell r="B659" t="str">
            <v>GGP</v>
          </cell>
          <cell r="C659" t="str">
            <v>Year 2</v>
          </cell>
          <cell r="E659">
            <v>2486017000</v>
          </cell>
        </row>
        <row r="660">
          <cell r="B660" t="str">
            <v>GGP</v>
          </cell>
          <cell r="C660" t="str">
            <v>Year 3</v>
          </cell>
          <cell r="E660">
            <v>2535559000</v>
          </cell>
        </row>
        <row r="661">
          <cell r="B661" t="str">
            <v>GGP</v>
          </cell>
          <cell r="C661" t="str">
            <v>Year 4</v>
          </cell>
          <cell r="E661">
            <v>2403906000</v>
          </cell>
        </row>
        <row r="662">
          <cell r="B662" t="str">
            <v>GILD</v>
          </cell>
          <cell r="C662" t="str">
            <v>Year 1</v>
          </cell>
          <cell r="E662">
            <v>9702000000</v>
          </cell>
        </row>
        <row r="663">
          <cell r="B663" t="str">
            <v>GILD</v>
          </cell>
          <cell r="C663" t="str">
            <v>Year 2</v>
          </cell>
          <cell r="E663">
            <v>11202000000</v>
          </cell>
        </row>
        <row r="664">
          <cell r="B664" t="str">
            <v>GILD</v>
          </cell>
          <cell r="C664" t="str">
            <v>Year 3</v>
          </cell>
          <cell r="E664">
            <v>24890000000</v>
          </cell>
        </row>
        <row r="665">
          <cell r="B665" t="str">
            <v>GILD</v>
          </cell>
          <cell r="C665" t="str">
            <v>Year 4</v>
          </cell>
          <cell r="E665">
            <v>32639000000</v>
          </cell>
        </row>
        <row r="666">
          <cell r="B666" t="str">
            <v>GIS</v>
          </cell>
          <cell r="C666" t="str">
            <v>Year 1</v>
          </cell>
          <cell r="E666">
            <v>17774100000</v>
          </cell>
        </row>
        <row r="667">
          <cell r="B667" t="str">
            <v>GIS</v>
          </cell>
          <cell r="C667" t="str">
            <v>Year 2</v>
          </cell>
          <cell r="E667">
            <v>17909600000</v>
          </cell>
        </row>
        <row r="668">
          <cell r="B668" t="str">
            <v>GIS</v>
          </cell>
          <cell r="C668" t="str">
            <v>Year 3</v>
          </cell>
          <cell r="E668">
            <v>17630300000</v>
          </cell>
        </row>
        <row r="669">
          <cell r="B669" t="str">
            <v>GIS</v>
          </cell>
          <cell r="C669" t="str">
            <v>Year 4</v>
          </cell>
          <cell r="E669">
            <v>16563100000</v>
          </cell>
        </row>
        <row r="670">
          <cell r="B670" t="str">
            <v>GLW</v>
          </cell>
          <cell r="C670" t="str">
            <v>Year 1</v>
          </cell>
          <cell r="E670">
            <v>7819000000</v>
          </cell>
        </row>
        <row r="671">
          <cell r="B671" t="str">
            <v>GLW</v>
          </cell>
          <cell r="C671" t="str">
            <v>Year 2</v>
          </cell>
          <cell r="E671">
            <v>9715000000</v>
          </cell>
        </row>
        <row r="672">
          <cell r="B672" t="str">
            <v>GLW</v>
          </cell>
          <cell r="C672" t="str">
            <v>Year 3</v>
          </cell>
          <cell r="E672">
            <v>9111000000</v>
          </cell>
        </row>
        <row r="673">
          <cell r="B673" t="str">
            <v>GLW</v>
          </cell>
          <cell r="C673" t="str">
            <v>Year 4</v>
          </cell>
          <cell r="E673">
            <v>9390000000</v>
          </cell>
        </row>
        <row r="674">
          <cell r="B674" t="str">
            <v>GM</v>
          </cell>
          <cell r="C674" t="str">
            <v>Year 1</v>
          </cell>
          <cell r="E674">
            <v>155427000000</v>
          </cell>
        </row>
        <row r="675">
          <cell r="B675" t="str">
            <v>GM</v>
          </cell>
          <cell r="C675" t="str">
            <v>Year 2</v>
          </cell>
          <cell r="E675">
            <v>155929000000</v>
          </cell>
        </row>
        <row r="676">
          <cell r="B676" t="str">
            <v>GM</v>
          </cell>
          <cell r="C676" t="str">
            <v>Year 3</v>
          </cell>
          <cell r="E676">
            <v>152356000000</v>
          </cell>
        </row>
        <row r="677">
          <cell r="B677" t="str">
            <v>GM</v>
          </cell>
          <cell r="C677" t="str">
            <v>Year 4</v>
          </cell>
          <cell r="E677">
            <v>166380000000</v>
          </cell>
        </row>
        <row r="678">
          <cell r="B678" t="str">
            <v>GPC</v>
          </cell>
          <cell r="C678" t="str">
            <v>Year 1</v>
          </cell>
          <cell r="E678">
            <v>13013868000</v>
          </cell>
        </row>
        <row r="679">
          <cell r="B679" t="str">
            <v>GPC</v>
          </cell>
          <cell r="C679" t="str">
            <v>Year 2</v>
          </cell>
          <cell r="E679">
            <v>14077843000</v>
          </cell>
        </row>
        <row r="680">
          <cell r="B680" t="str">
            <v>GPC</v>
          </cell>
          <cell r="C680" t="str">
            <v>Year 3</v>
          </cell>
          <cell r="E680">
            <v>15341647000</v>
          </cell>
        </row>
        <row r="681">
          <cell r="B681" t="str">
            <v>GPC</v>
          </cell>
          <cell r="C681" t="str">
            <v>Year 4</v>
          </cell>
          <cell r="E681">
            <v>15280044000</v>
          </cell>
        </row>
        <row r="682">
          <cell r="B682" t="str">
            <v>GPN</v>
          </cell>
          <cell r="C682" t="str">
            <v>Year 1</v>
          </cell>
          <cell r="E682">
            <v>2375923000</v>
          </cell>
        </row>
        <row r="683">
          <cell r="B683" t="str">
            <v>GPN</v>
          </cell>
          <cell r="C683" t="str">
            <v>Year 2</v>
          </cell>
          <cell r="E683">
            <v>2554236000</v>
          </cell>
        </row>
        <row r="684">
          <cell r="B684" t="str">
            <v>GPN</v>
          </cell>
          <cell r="C684" t="str">
            <v>Year 3</v>
          </cell>
          <cell r="E684">
            <v>2773718000</v>
          </cell>
        </row>
        <row r="685">
          <cell r="B685" t="str">
            <v>GPN</v>
          </cell>
          <cell r="C685" t="str">
            <v>Year 4</v>
          </cell>
          <cell r="E685">
            <v>2898150000</v>
          </cell>
        </row>
        <row r="686">
          <cell r="B686" t="str">
            <v>GPS</v>
          </cell>
          <cell r="C686" t="str">
            <v>Year 1</v>
          </cell>
          <cell r="E686">
            <v>15651000000</v>
          </cell>
        </row>
        <row r="687">
          <cell r="B687" t="str">
            <v>GPS</v>
          </cell>
          <cell r="C687" t="str">
            <v>Year 2</v>
          </cell>
          <cell r="E687">
            <v>16148000000</v>
          </cell>
        </row>
        <row r="688">
          <cell r="B688" t="str">
            <v>GPS</v>
          </cell>
          <cell r="C688" t="str">
            <v>Year 3</v>
          </cell>
          <cell r="E688">
            <v>16435000000</v>
          </cell>
        </row>
        <row r="689">
          <cell r="B689" t="str">
            <v>GPS</v>
          </cell>
          <cell r="C689" t="str">
            <v>Year 4</v>
          </cell>
          <cell r="E689">
            <v>15797000000</v>
          </cell>
        </row>
        <row r="690">
          <cell r="B690" t="str">
            <v>GRMN</v>
          </cell>
          <cell r="C690" t="str">
            <v>Year 1</v>
          </cell>
          <cell r="E690">
            <v>2715675000</v>
          </cell>
        </row>
        <row r="691">
          <cell r="B691" t="str">
            <v>GRMN</v>
          </cell>
          <cell r="C691" t="str">
            <v>Year 2</v>
          </cell>
          <cell r="E691">
            <v>2631851000</v>
          </cell>
        </row>
        <row r="692">
          <cell r="B692" t="str">
            <v>GRMN</v>
          </cell>
          <cell r="C692" t="str">
            <v>Year 3</v>
          </cell>
          <cell r="E692">
            <v>2870658000</v>
          </cell>
        </row>
        <row r="693">
          <cell r="B693" t="str">
            <v>GRMN</v>
          </cell>
          <cell r="C693" t="str">
            <v>Year 4</v>
          </cell>
          <cell r="E693">
            <v>2820270000</v>
          </cell>
        </row>
        <row r="694">
          <cell r="B694" t="str">
            <v>GT</v>
          </cell>
          <cell r="C694" t="str">
            <v>Year 1</v>
          </cell>
          <cell r="E694">
            <v>19540000000</v>
          </cell>
        </row>
        <row r="695">
          <cell r="B695" t="str">
            <v>GT</v>
          </cell>
          <cell r="C695" t="str">
            <v>Year 2</v>
          </cell>
          <cell r="E695">
            <v>18138000000</v>
          </cell>
        </row>
        <row r="696">
          <cell r="B696" t="str">
            <v>GT</v>
          </cell>
          <cell r="C696" t="str">
            <v>Year 3</v>
          </cell>
          <cell r="E696">
            <v>16443000000</v>
          </cell>
        </row>
        <row r="697">
          <cell r="B697" t="str">
            <v>GT</v>
          </cell>
          <cell r="C697" t="str">
            <v>Year 4</v>
          </cell>
          <cell r="E697">
            <v>15158000000</v>
          </cell>
        </row>
        <row r="698">
          <cell r="B698" t="str">
            <v>GWW</v>
          </cell>
          <cell r="C698" t="str">
            <v>Year 1</v>
          </cell>
          <cell r="E698">
            <v>8950045000</v>
          </cell>
        </row>
        <row r="699">
          <cell r="B699" t="str">
            <v>GWW</v>
          </cell>
          <cell r="C699" t="str">
            <v>Year 2</v>
          </cell>
          <cell r="E699">
            <v>9437758000</v>
          </cell>
        </row>
        <row r="700">
          <cell r="B700" t="str">
            <v>GWW</v>
          </cell>
          <cell r="C700" t="str">
            <v>Year 3</v>
          </cell>
          <cell r="E700">
            <v>9964953000</v>
          </cell>
        </row>
        <row r="701">
          <cell r="B701" t="str">
            <v>GWW</v>
          </cell>
          <cell r="C701" t="str">
            <v>Year 4</v>
          </cell>
          <cell r="E701">
            <v>9973384000</v>
          </cell>
        </row>
        <row r="702">
          <cell r="B702" t="str">
            <v>HAL</v>
          </cell>
          <cell r="C702" t="str">
            <v>Year 1</v>
          </cell>
          <cell r="E702">
            <v>29402000000</v>
          </cell>
        </row>
        <row r="703">
          <cell r="B703" t="str">
            <v>HAL</v>
          </cell>
          <cell r="C703" t="str">
            <v>Year 2</v>
          </cell>
          <cell r="E703">
            <v>32870000000</v>
          </cell>
        </row>
        <row r="704">
          <cell r="B704" t="str">
            <v>HAL</v>
          </cell>
          <cell r="C704" t="str">
            <v>Year 3</v>
          </cell>
          <cell r="E704">
            <v>23633000000</v>
          </cell>
        </row>
        <row r="705">
          <cell r="B705" t="str">
            <v>HAL</v>
          </cell>
          <cell r="C705" t="str">
            <v>Year 4</v>
          </cell>
          <cell r="E705">
            <v>15887000000</v>
          </cell>
        </row>
        <row r="706">
          <cell r="B706" t="str">
            <v>HAR</v>
          </cell>
          <cell r="C706" t="str">
            <v>Year 1</v>
          </cell>
          <cell r="E706">
            <v>4297842000</v>
          </cell>
        </row>
        <row r="707">
          <cell r="B707" t="str">
            <v>HAR</v>
          </cell>
          <cell r="C707" t="str">
            <v>Year 2</v>
          </cell>
          <cell r="E707">
            <v>5348483000</v>
          </cell>
        </row>
        <row r="708">
          <cell r="B708" t="str">
            <v>HAR</v>
          </cell>
          <cell r="C708" t="str">
            <v>Year 3</v>
          </cell>
          <cell r="E708">
            <v>6155297000</v>
          </cell>
        </row>
        <row r="709">
          <cell r="B709" t="str">
            <v>HAR</v>
          </cell>
          <cell r="C709" t="str">
            <v>Year 4</v>
          </cell>
          <cell r="E709">
            <v>6911676000</v>
          </cell>
        </row>
        <row r="710">
          <cell r="B710" t="str">
            <v>HAS</v>
          </cell>
          <cell r="C710" t="str">
            <v>Year 1</v>
          </cell>
          <cell r="E710">
            <v>4088983000</v>
          </cell>
        </row>
        <row r="711">
          <cell r="B711" t="str">
            <v>HAS</v>
          </cell>
          <cell r="C711" t="str">
            <v>Year 2</v>
          </cell>
          <cell r="E711">
            <v>4082157000</v>
          </cell>
        </row>
        <row r="712">
          <cell r="B712" t="str">
            <v>HAS</v>
          </cell>
          <cell r="C712" t="str">
            <v>Year 3</v>
          </cell>
          <cell r="E712">
            <v>4277207000</v>
          </cell>
        </row>
        <row r="713">
          <cell r="B713" t="str">
            <v>HAS</v>
          </cell>
          <cell r="C713" t="str">
            <v>Year 4</v>
          </cell>
          <cell r="E713">
            <v>4447509000</v>
          </cell>
        </row>
        <row r="714">
          <cell r="B714" t="str">
            <v>HBAN</v>
          </cell>
          <cell r="C714" t="str">
            <v>Year 1</v>
          </cell>
          <cell r="E714">
            <v>3036584000</v>
          </cell>
        </row>
        <row r="715">
          <cell r="B715" t="str">
            <v>HBAN</v>
          </cell>
          <cell r="C715" t="str">
            <v>Year 2</v>
          </cell>
          <cell r="E715">
            <v>2872833000</v>
          </cell>
        </row>
        <row r="716">
          <cell r="B716" t="str">
            <v>HBAN</v>
          </cell>
          <cell r="C716" t="str">
            <v>Year 3</v>
          </cell>
          <cell r="E716">
            <v>2955641000</v>
          </cell>
        </row>
        <row r="717">
          <cell r="B717" t="str">
            <v>HBAN</v>
          </cell>
          <cell r="C717" t="str">
            <v>Year 4</v>
          </cell>
          <cell r="E717">
            <v>3153251000</v>
          </cell>
        </row>
        <row r="718">
          <cell r="B718" t="str">
            <v>HBI</v>
          </cell>
          <cell r="C718" t="str">
            <v>Year 1</v>
          </cell>
          <cell r="E718">
            <v>4627802000</v>
          </cell>
        </row>
        <row r="719">
          <cell r="B719" t="str">
            <v>HBI</v>
          </cell>
          <cell r="C719" t="str">
            <v>Year 2</v>
          </cell>
          <cell r="E719">
            <v>5324746000</v>
          </cell>
        </row>
        <row r="720">
          <cell r="B720" t="str">
            <v>HBI</v>
          </cell>
          <cell r="C720" t="str">
            <v>Year 3</v>
          </cell>
          <cell r="E720">
            <v>5731549000</v>
          </cell>
        </row>
        <row r="721">
          <cell r="B721" t="str">
            <v>HBI</v>
          </cell>
          <cell r="C721" t="str">
            <v>Year 4</v>
          </cell>
          <cell r="E721">
            <v>6028199000</v>
          </cell>
        </row>
        <row r="722">
          <cell r="B722" t="str">
            <v>HCA</v>
          </cell>
          <cell r="C722" t="str">
            <v>Year 1</v>
          </cell>
          <cell r="E722">
            <v>33013000000</v>
          </cell>
        </row>
        <row r="723">
          <cell r="B723" t="str">
            <v>HCA</v>
          </cell>
          <cell r="C723" t="str">
            <v>Year 2</v>
          </cell>
          <cell r="E723">
            <v>34182000000</v>
          </cell>
        </row>
        <row r="724">
          <cell r="B724" t="str">
            <v>HCA</v>
          </cell>
          <cell r="C724" t="str">
            <v>Year 3</v>
          </cell>
          <cell r="E724">
            <v>36918000000</v>
          </cell>
        </row>
        <row r="725">
          <cell r="B725" t="str">
            <v>HCA</v>
          </cell>
          <cell r="C725" t="str">
            <v>Year 4</v>
          </cell>
          <cell r="E725">
            <v>39678000000</v>
          </cell>
        </row>
        <row r="726">
          <cell r="B726" t="str">
            <v>HCN</v>
          </cell>
          <cell r="C726" t="str">
            <v>Year 1</v>
          </cell>
          <cell r="E726">
            <v>1765979000</v>
          </cell>
        </row>
        <row r="727">
          <cell r="B727" t="str">
            <v>HCN</v>
          </cell>
          <cell r="C727" t="str">
            <v>Year 2</v>
          </cell>
          <cell r="E727">
            <v>2847945000</v>
          </cell>
        </row>
        <row r="728">
          <cell r="B728" t="str">
            <v>HCN</v>
          </cell>
          <cell r="C728" t="str">
            <v>Year 3</v>
          </cell>
          <cell r="E728">
            <v>3305879000</v>
          </cell>
        </row>
        <row r="729">
          <cell r="B729" t="str">
            <v>HCN</v>
          </cell>
          <cell r="C729" t="str">
            <v>Year 4</v>
          </cell>
          <cell r="E729">
            <v>3775685000</v>
          </cell>
        </row>
        <row r="730">
          <cell r="B730" t="str">
            <v>HCP</v>
          </cell>
          <cell r="C730" t="str">
            <v>Year 1</v>
          </cell>
          <cell r="E730">
            <v>2013719000</v>
          </cell>
        </row>
        <row r="731">
          <cell r="B731" t="str">
            <v>HCP</v>
          </cell>
          <cell r="C731" t="str">
            <v>Year 2</v>
          </cell>
          <cell r="E731">
            <v>1563210000</v>
          </cell>
        </row>
        <row r="732">
          <cell r="B732" t="str">
            <v>HCP</v>
          </cell>
          <cell r="C732" t="str">
            <v>Year 3</v>
          </cell>
          <cell r="E732">
            <v>1828305000</v>
          </cell>
        </row>
        <row r="733">
          <cell r="B733" t="str">
            <v>HCP</v>
          </cell>
          <cell r="C733" t="str">
            <v>Year 4</v>
          </cell>
          <cell r="E733">
            <v>2040486000</v>
          </cell>
        </row>
        <row r="734">
          <cell r="B734" t="str">
            <v>HD</v>
          </cell>
          <cell r="C734" t="str">
            <v>Year 1</v>
          </cell>
          <cell r="E734">
            <v>74754000000</v>
          </cell>
        </row>
        <row r="735">
          <cell r="B735" t="str">
            <v>HD</v>
          </cell>
          <cell r="C735" t="str">
            <v>Year 2</v>
          </cell>
          <cell r="E735">
            <v>78812000000</v>
          </cell>
        </row>
        <row r="736">
          <cell r="B736" t="str">
            <v>HD</v>
          </cell>
          <cell r="C736" t="str">
            <v>Year 3</v>
          </cell>
          <cell r="E736">
            <v>83176000000</v>
          </cell>
        </row>
        <row r="737">
          <cell r="B737" t="str">
            <v>HD</v>
          </cell>
          <cell r="C737" t="str">
            <v>Year 4</v>
          </cell>
          <cell r="E737">
            <v>88519000000</v>
          </cell>
        </row>
        <row r="738">
          <cell r="B738" t="str">
            <v>HES</v>
          </cell>
          <cell r="C738" t="str">
            <v>Year 1</v>
          </cell>
          <cell r="E738">
            <v>12245000000</v>
          </cell>
        </row>
        <row r="739">
          <cell r="B739" t="str">
            <v>HES</v>
          </cell>
          <cell r="C739" t="str">
            <v>Year 2</v>
          </cell>
          <cell r="E739">
            <v>11905000000</v>
          </cell>
        </row>
        <row r="740">
          <cell r="B740" t="str">
            <v>HES</v>
          </cell>
          <cell r="C740" t="str">
            <v>Year 3</v>
          </cell>
          <cell r="E740">
            <v>10737000000</v>
          </cell>
        </row>
        <row r="741">
          <cell r="B741" t="str">
            <v>HES</v>
          </cell>
          <cell r="C741" t="str">
            <v>Year 4</v>
          </cell>
          <cell r="E741">
            <v>6636000000</v>
          </cell>
        </row>
        <row r="742">
          <cell r="B742" t="str">
            <v>HIG</v>
          </cell>
          <cell r="C742" t="str">
            <v>Year 1</v>
          </cell>
          <cell r="E742">
            <v>22086000000</v>
          </cell>
        </row>
        <row r="743">
          <cell r="B743" t="str">
            <v>HIG</v>
          </cell>
          <cell r="C743" t="str">
            <v>Year 2</v>
          </cell>
          <cell r="E743">
            <v>20673000000</v>
          </cell>
        </row>
        <row r="744">
          <cell r="B744" t="str">
            <v>HIG</v>
          </cell>
          <cell r="C744" t="str">
            <v>Year 3</v>
          </cell>
          <cell r="E744">
            <v>18614000000</v>
          </cell>
        </row>
        <row r="745">
          <cell r="B745" t="str">
            <v>HIG</v>
          </cell>
          <cell r="C745" t="str">
            <v>Year 4</v>
          </cell>
          <cell r="E745">
            <v>18377000000</v>
          </cell>
        </row>
        <row r="746">
          <cell r="B746" t="str">
            <v>HOG</v>
          </cell>
          <cell r="C746" t="str">
            <v>Year 1</v>
          </cell>
          <cell r="E746">
            <v>5580506000</v>
          </cell>
        </row>
        <row r="747">
          <cell r="B747" t="str">
            <v>HOG</v>
          </cell>
          <cell r="C747" t="str">
            <v>Year 2</v>
          </cell>
          <cell r="E747">
            <v>5899872000</v>
          </cell>
        </row>
        <row r="748">
          <cell r="B748" t="str">
            <v>HOG</v>
          </cell>
          <cell r="C748" t="str">
            <v>Year 3</v>
          </cell>
          <cell r="E748">
            <v>6228508000</v>
          </cell>
        </row>
        <row r="749">
          <cell r="B749" t="str">
            <v>HOG</v>
          </cell>
          <cell r="C749" t="str">
            <v>Year 4</v>
          </cell>
          <cell r="E749">
            <v>5995402000</v>
          </cell>
        </row>
        <row r="750">
          <cell r="B750" t="str">
            <v>HOLX</v>
          </cell>
          <cell r="C750" t="str">
            <v>Year 1</v>
          </cell>
          <cell r="E750">
            <v>2492300000</v>
          </cell>
        </row>
        <row r="751">
          <cell r="B751" t="str">
            <v>HOLX</v>
          </cell>
          <cell r="C751" t="str">
            <v>Year 2</v>
          </cell>
          <cell r="E751">
            <v>2530700000</v>
          </cell>
        </row>
        <row r="752">
          <cell r="B752" t="str">
            <v>HOLX</v>
          </cell>
          <cell r="C752" t="str">
            <v>Year 3</v>
          </cell>
          <cell r="E752">
            <v>2705000000</v>
          </cell>
        </row>
        <row r="753">
          <cell r="B753" t="str">
            <v>HOLX</v>
          </cell>
          <cell r="C753" t="str">
            <v>Year 4</v>
          </cell>
          <cell r="E753">
            <v>2832700000</v>
          </cell>
        </row>
        <row r="754">
          <cell r="B754" t="str">
            <v>HON</v>
          </cell>
          <cell r="C754" t="str">
            <v>Year 1</v>
          </cell>
          <cell r="E754">
            <v>39055000000</v>
          </cell>
        </row>
        <row r="755">
          <cell r="B755" t="str">
            <v>HON</v>
          </cell>
          <cell r="C755" t="str">
            <v>Year 2</v>
          </cell>
          <cell r="E755">
            <v>40306000000</v>
          </cell>
        </row>
        <row r="756">
          <cell r="B756" t="str">
            <v>HON</v>
          </cell>
          <cell r="C756" t="str">
            <v>Year 3</v>
          </cell>
          <cell r="E756">
            <v>38581000000</v>
          </cell>
        </row>
        <row r="757">
          <cell r="B757" t="str">
            <v>HON</v>
          </cell>
          <cell r="C757" t="str">
            <v>Year 4</v>
          </cell>
          <cell r="E757">
            <v>39302000000</v>
          </cell>
        </row>
        <row r="758">
          <cell r="B758" t="str">
            <v>HP</v>
          </cell>
          <cell r="C758" t="str">
            <v>Year 1</v>
          </cell>
          <cell r="E758">
            <v>3387614000</v>
          </cell>
        </row>
        <row r="759">
          <cell r="B759" t="str">
            <v>HP</v>
          </cell>
          <cell r="C759" t="str">
            <v>Year 2</v>
          </cell>
          <cell r="E759">
            <v>3715968000</v>
          </cell>
        </row>
        <row r="760">
          <cell r="B760" t="str">
            <v>HP</v>
          </cell>
          <cell r="C760" t="str">
            <v>Year 3</v>
          </cell>
          <cell r="E760">
            <v>3161702000</v>
          </cell>
        </row>
        <row r="761">
          <cell r="B761" t="str">
            <v>HP</v>
          </cell>
          <cell r="C761" t="str">
            <v>Year 4</v>
          </cell>
          <cell r="E761">
            <v>1624232000</v>
          </cell>
        </row>
        <row r="762">
          <cell r="B762" t="str">
            <v>HPE</v>
          </cell>
          <cell r="C762" t="str">
            <v>Year 1</v>
          </cell>
          <cell r="E762">
            <v>55123000000</v>
          </cell>
        </row>
        <row r="763">
          <cell r="B763" t="str">
            <v>HPE</v>
          </cell>
          <cell r="C763" t="str">
            <v>Year 2</v>
          </cell>
          <cell r="E763">
            <v>52107000000</v>
          </cell>
        </row>
        <row r="764">
          <cell r="B764" t="str">
            <v>HPE</v>
          </cell>
          <cell r="C764" t="str">
            <v>Year 3</v>
          </cell>
          <cell r="E764">
            <v>50123000000</v>
          </cell>
        </row>
        <row r="765">
          <cell r="B765" t="str">
            <v>HPQ</v>
          </cell>
          <cell r="C765" t="str">
            <v>Year 1</v>
          </cell>
          <cell r="E765">
            <v>112298000000</v>
          </cell>
        </row>
        <row r="766">
          <cell r="B766" t="str">
            <v>HPQ</v>
          </cell>
          <cell r="C766" t="str">
            <v>Year 2</v>
          </cell>
          <cell r="E766">
            <v>56651000000</v>
          </cell>
        </row>
        <row r="767">
          <cell r="B767" t="str">
            <v>HPQ</v>
          </cell>
          <cell r="C767" t="str">
            <v>Year 3</v>
          </cell>
          <cell r="E767">
            <v>51463000000</v>
          </cell>
        </row>
        <row r="768">
          <cell r="B768" t="str">
            <v>HPQ</v>
          </cell>
          <cell r="C768" t="str">
            <v>Year 4</v>
          </cell>
          <cell r="E768">
            <v>48238000000</v>
          </cell>
        </row>
        <row r="769">
          <cell r="B769" t="str">
            <v>HRB</v>
          </cell>
          <cell r="C769" t="str">
            <v>Year 1</v>
          </cell>
          <cell r="E769">
            <v>2807114000</v>
          </cell>
        </row>
        <row r="770">
          <cell r="B770" t="str">
            <v>HRB</v>
          </cell>
          <cell r="C770" t="str">
            <v>Year 2</v>
          </cell>
          <cell r="E770">
            <v>3024295000</v>
          </cell>
        </row>
        <row r="771">
          <cell r="B771" t="str">
            <v>HRB</v>
          </cell>
          <cell r="C771" t="str">
            <v>Year 3</v>
          </cell>
          <cell r="E771">
            <v>3078658000</v>
          </cell>
        </row>
        <row r="772">
          <cell r="B772" t="str">
            <v>HRB</v>
          </cell>
          <cell r="C772" t="str">
            <v>Year 4</v>
          </cell>
          <cell r="E772">
            <v>3038153000</v>
          </cell>
        </row>
        <row r="773">
          <cell r="B773" t="str">
            <v>HRL</v>
          </cell>
          <cell r="C773" t="str">
            <v>Year 1</v>
          </cell>
          <cell r="E773">
            <v>8751654000</v>
          </cell>
        </row>
        <row r="774">
          <cell r="B774" t="str">
            <v>HRL</v>
          </cell>
          <cell r="C774" t="str">
            <v>Year 2</v>
          </cell>
          <cell r="E774">
            <v>9316256000</v>
          </cell>
        </row>
        <row r="775">
          <cell r="B775" t="str">
            <v>HRL</v>
          </cell>
          <cell r="C775" t="str">
            <v>Year 3</v>
          </cell>
          <cell r="E775">
            <v>9263863000</v>
          </cell>
        </row>
        <row r="776">
          <cell r="B776" t="str">
            <v>HRL</v>
          </cell>
          <cell r="C776" t="str">
            <v>Year 4</v>
          </cell>
          <cell r="E776">
            <v>9523224000</v>
          </cell>
        </row>
        <row r="777">
          <cell r="B777" t="str">
            <v>HRS</v>
          </cell>
          <cell r="C777" t="str">
            <v>Year 1</v>
          </cell>
          <cell r="E777">
            <v>5112000000</v>
          </cell>
        </row>
        <row r="778">
          <cell r="B778" t="str">
            <v>HRS</v>
          </cell>
          <cell r="C778" t="str">
            <v>Year 2</v>
          </cell>
          <cell r="E778">
            <v>5012000000</v>
          </cell>
        </row>
        <row r="779">
          <cell r="B779" t="str">
            <v>HRS</v>
          </cell>
          <cell r="C779" t="str">
            <v>Year 3</v>
          </cell>
          <cell r="E779">
            <v>5083000000</v>
          </cell>
        </row>
        <row r="780">
          <cell r="B780" t="str">
            <v>HRS</v>
          </cell>
          <cell r="C780" t="str">
            <v>Year 4</v>
          </cell>
          <cell r="E780">
            <v>7467000000</v>
          </cell>
        </row>
        <row r="781">
          <cell r="B781" t="str">
            <v>HSIC</v>
          </cell>
          <cell r="C781" t="str">
            <v>Year 1</v>
          </cell>
          <cell r="E781">
            <v>8939967000</v>
          </cell>
        </row>
        <row r="782">
          <cell r="B782" t="str">
            <v>HSIC</v>
          </cell>
          <cell r="C782" t="str">
            <v>Year 2</v>
          </cell>
          <cell r="E782">
            <v>9560647000</v>
          </cell>
        </row>
        <row r="783">
          <cell r="B783" t="str">
            <v>HSIC</v>
          </cell>
          <cell r="C783" t="str">
            <v>Year 3</v>
          </cell>
          <cell r="E783">
            <v>10371390000</v>
          </cell>
        </row>
        <row r="784">
          <cell r="B784" t="str">
            <v>HSIC</v>
          </cell>
          <cell r="C784" t="str">
            <v>Year 4</v>
          </cell>
          <cell r="E784">
            <v>10629719000</v>
          </cell>
        </row>
        <row r="785">
          <cell r="B785" t="str">
            <v>HST</v>
          </cell>
          <cell r="C785" t="str">
            <v>Year 1</v>
          </cell>
          <cell r="E785">
            <v>5059000000</v>
          </cell>
        </row>
        <row r="786">
          <cell r="B786" t="str">
            <v>HST</v>
          </cell>
          <cell r="C786" t="str">
            <v>Year 2</v>
          </cell>
          <cell r="E786">
            <v>5166000000</v>
          </cell>
        </row>
        <row r="787">
          <cell r="B787" t="str">
            <v>HST</v>
          </cell>
          <cell r="C787" t="str">
            <v>Year 3</v>
          </cell>
          <cell r="E787">
            <v>5354000000</v>
          </cell>
        </row>
        <row r="788">
          <cell r="B788" t="str">
            <v>HST</v>
          </cell>
          <cell r="C788" t="str">
            <v>Year 4</v>
          </cell>
          <cell r="E788">
            <v>5387000000</v>
          </cell>
        </row>
        <row r="789">
          <cell r="B789" t="str">
            <v>HSY</v>
          </cell>
          <cell r="C789" t="str">
            <v>Year 1</v>
          </cell>
          <cell r="E789">
            <v>6644252000</v>
          </cell>
        </row>
        <row r="790">
          <cell r="B790" t="str">
            <v>HSY</v>
          </cell>
          <cell r="C790" t="str">
            <v>Year 2</v>
          </cell>
          <cell r="E790">
            <v>7146079000</v>
          </cell>
        </row>
        <row r="791">
          <cell r="B791" t="str">
            <v>HSY</v>
          </cell>
          <cell r="C791" t="str">
            <v>Year 3</v>
          </cell>
          <cell r="E791">
            <v>7421768000</v>
          </cell>
        </row>
        <row r="792">
          <cell r="B792" t="str">
            <v>HSY</v>
          </cell>
          <cell r="C792" t="str">
            <v>Year 4</v>
          </cell>
          <cell r="E792">
            <v>7386626000</v>
          </cell>
        </row>
        <row r="793">
          <cell r="B793" t="str">
            <v>HUM</v>
          </cell>
          <cell r="C793" t="str">
            <v>Year 1</v>
          </cell>
          <cell r="E793">
            <v>41313000000</v>
          </cell>
        </row>
        <row r="794">
          <cell r="B794" t="str">
            <v>HUM</v>
          </cell>
          <cell r="C794" t="str">
            <v>Year 2</v>
          </cell>
          <cell r="E794">
            <v>48500000000</v>
          </cell>
        </row>
        <row r="795">
          <cell r="B795" t="str">
            <v>HUM</v>
          </cell>
          <cell r="C795" t="str">
            <v>Year 3</v>
          </cell>
          <cell r="E795">
            <v>54289000000</v>
          </cell>
        </row>
        <row r="796">
          <cell r="B796" t="str">
            <v>HUM</v>
          </cell>
          <cell r="C796" t="str">
            <v>Year 4</v>
          </cell>
          <cell r="E796">
            <v>54379000000</v>
          </cell>
        </row>
        <row r="797">
          <cell r="B797" t="str">
            <v>IBM</v>
          </cell>
          <cell r="C797" t="str">
            <v>Year 1</v>
          </cell>
          <cell r="E797">
            <v>102874000000</v>
          </cell>
        </row>
        <row r="798">
          <cell r="B798" t="str">
            <v>IBM</v>
          </cell>
          <cell r="C798" t="str">
            <v>Year 2</v>
          </cell>
          <cell r="E798">
            <v>98367000000</v>
          </cell>
        </row>
        <row r="799">
          <cell r="B799" t="str">
            <v>IBM</v>
          </cell>
          <cell r="C799" t="str">
            <v>Year 3</v>
          </cell>
          <cell r="E799">
            <v>92793000000</v>
          </cell>
        </row>
        <row r="800">
          <cell r="B800" t="str">
            <v>IBM</v>
          </cell>
          <cell r="C800" t="str">
            <v>Year 4</v>
          </cell>
          <cell r="E800">
            <v>81741000000</v>
          </cell>
        </row>
        <row r="801">
          <cell r="B801" t="str">
            <v>IDXX</v>
          </cell>
          <cell r="C801" t="str">
            <v>Year 1</v>
          </cell>
          <cell r="E801">
            <v>1293338000</v>
          </cell>
        </row>
        <row r="802">
          <cell r="B802" t="str">
            <v>IDXX</v>
          </cell>
          <cell r="C802" t="str">
            <v>Year 2</v>
          </cell>
          <cell r="E802">
            <v>1377058000</v>
          </cell>
        </row>
        <row r="803">
          <cell r="B803" t="str">
            <v>IDXX</v>
          </cell>
          <cell r="C803" t="str">
            <v>Year 3</v>
          </cell>
          <cell r="E803">
            <v>1485807000</v>
          </cell>
        </row>
        <row r="804">
          <cell r="B804" t="str">
            <v>IDXX</v>
          </cell>
          <cell r="C804" t="str">
            <v>Year 4</v>
          </cell>
          <cell r="E804">
            <v>1601892000</v>
          </cell>
        </row>
        <row r="805">
          <cell r="B805" t="str">
            <v>IFF</v>
          </cell>
          <cell r="C805" t="str">
            <v>Year 1</v>
          </cell>
          <cell r="E805">
            <v>2821446000</v>
          </cell>
        </row>
        <row r="806">
          <cell r="B806" t="str">
            <v>IFF</v>
          </cell>
          <cell r="C806" t="str">
            <v>Year 2</v>
          </cell>
          <cell r="E806">
            <v>2952896000</v>
          </cell>
        </row>
        <row r="807">
          <cell r="B807" t="str">
            <v>IFF</v>
          </cell>
          <cell r="C807" t="str">
            <v>Year 3</v>
          </cell>
          <cell r="E807">
            <v>3088533000</v>
          </cell>
        </row>
        <row r="808">
          <cell r="B808" t="str">
            <v>IFF</v>
          </cell>
          <cell r="C808" t="str">
            <v>Year 4</v>
          </cell>
          <cell r="E808">
            <v>3023189000</v>
          </cell>
        </row>
        <row r="809">
          <cell r="B809" t="str">
            <v>ILMN</v>
          </cell>
          <cell r="C809" t="str">
            <v>Year 1</v>
          </cell>
          <cell r="E809">
            <v>1421178000</v>
          </cell>
        </row>
        <row r="810">
          <cell r="B810" t="str">
            <v>ILMN</v>
          </cell>
          <cell r="C810" t="str">
            <v>Year 2</v>
          </cell>
          <cell r="E810">
            <v>1861358000</v>
          </cell>
        </row>
        <row r="811">
          <cell r="B811" t="str">
            <v>ILMN</v>
          </cell>
          <cell r="C811" t="str">
            <v>Year 3</v>
          </cell>
          <cell r="E811">
            <v>2219762000</v>
          </cell>
        </row>
        <row r="812">
          <cell r="B812" t="str">
            <v>ILMN</v>
          </cell>
          <cell r="C812" t="str">
            <v>Year 4</v>
          </cell>
          <cell r="E812">
            <v>2398373000</v>
          </cell>
        </row>
        <row r="813">
          <cell r="B813" t="str">
            <v>INTC</v>
          </cell>
          <cell r="C813" t="str">
            <v>Year 1</v>
          </cell>
          <cell r="E813">
            <v>52708000000</v>
          </cell>
        </row>
        <row r="814">
          <cell r="B814" t="str">
            <v>INTC</v>
          </cell>
          <cell r="C814" t="str">
            <v>Year 2</v>
          </cell>
          <cell r="E814">
            <v>55870000000</v>
          </cell>
        </row>
        <row r="815">
          <cell r="B815" t="str">
            <v>INTC</v>
          </cell>
          <cell r="C815" t="str">
            <v>Year 3</v>
          </cell>
          <cell r="E815">
            <v>55355000000</v>
          </cell>
        </row>
        <row r="816">
          <cell r="B816" t="str">
            <v>INTC</v>
          </cell>
          <cell r="C816" t="str">
            <v>Year 4</v>
          </cell>
          <cell r="E816">
            <v>59387000000</v>
          </cell>
        </row>
        <row r="817">
          <cell r="B817" t="str">
            <v>INTU</v>
          </cell>
          <cell r="C817" t="str">
            <v>Year 1</v>
          </cell>
          <cell r="E817">
            <v>3946000000</v>
          </cell>
        </row>
        <row r="818">
          <cell r="B818" t="str">
            <v>INTU</v>
          </cell>
          <cell r="C818" t="str">
            <v>Year 2</v>
          </cell>
          <cell r="E818">
            <v>4243000000</v>
          </cell>
        </row>
        <row r="819">
          <cell r="B819" t="str">
            <v>INTU</v>
          </cell>
          <cell r="C819" t="str">
            <v>Year 3</v>
          </cell>
          <cell r="E819">
            <v>4192000000</v>
          </cell>
        </row>
        <row r="820">
          <cell r="B820" t="str">
            <v>INTU</v>
          </cell>
          <cell r="C820" t="str">
            <v>Year 4</v>
          </cell>
          <cell r="E820">
            <v>4694000000</v>
          </cell>
        </row>
        <row r="821">
          <cell r="B821" t="str">
            <v>IP</v>
          </cell>
          <cell r="C821" t="str">
            <v>Year 1</v>
          </cell>
          <cell r="E821">
            <v>21852000000</v>
          </cell>
        </row>
        <row r="822">
          <cell r="B822" t="str">
            <v>IP</v>
          </cell>
          <cell r="C822" t="str">
            <v>Year 2</v>
          </cell>
          <cell r="E822">
            <v>23483000000</v>
          </cell>
        </row>
        <row r="823">
          <cell r="B823" t="str">
            <v>IP</v>
          </cell>
          <cell r="C823" t="str">
            <v>Year 3</v>
          </cell>
          <cell r="E823">
            <v>23617000000</v>
          </cell>
        </row>
        <row r="824">
          <cell r="B824" t="str">
            <v>IP</v>
          </cell>
          <cell r="C824" t="str">
            <v>Year 4</v>
          </cell>
          <cell r="E824">
            <v>22365000000</v>
          </cell>
        </row>
        <row r="825">
          <cell r="B825" t="str">
            <v>IPG</v>
          </cell>
          <cell r="C825" t="str">
            <v>Year 1</v>
          </cell>
          <cell r="E825">
            <v>6956200000</v>
          </cell>
        </row>
        <row r="826">
          <cell r="B826" t="str">
            <v>IPG</v>
          </cell>
          <cell r="C826" t="str">
            <v>Year 2</v>
          </cell>
          <cell r="E826">
            <v>7122300000</v>
          </cell>
        </row>
        <row r="827">
          <cell r="B827" t="str">
            <v>IPG</v>
          </cell>
          <cell r="C827" t="str">
            <v>Year 3</v>
          </cell>
          <cell r="E827">
            <v>7537100000</v>
          </cell>
        </row>
        <row r="828">
          <cell r="B828" t="str">
            <v>IPG</v>
          </cell>
          <cell r="C828" t="str">
            <v>Year 4</v>
          </cell>
          <cell r="E828">
            <v>7613800000</v>
          </cell>
        </row>
        <row r="829">
          <cell r="B829" t="str">
            <v>IRM</v>
          </cell>
          <cell r="C829" t="str">
            <v>Year 1</v>
          </cell>
          <cell r="E829">
            <v>3003955000</v>
          </cell>
        </row>
        <row r="830">
          <cell r="B830" t="str">
            <v>IRM</v>
          </cell>
          <cell r="C830" t="str">
            <v>Year 2</v>
          </cell>
          <cell r="E830">
            <v>3024623000</v>
          </cell>
        </row>
        <row r="831">
          <cell r="B831" t="str">
            <v>IRM</v>
          </cell>
          <cell r="C831" t="str">
            <v>Year 3</v>
          </cell>
          <cell r="E831">
            <v>3117693000</v>
          </cell>
        </row>
        <row r="832">
          <cell r="B832" t="str">
            <v>IRM</v>
          </cell>
          <cell r="C832" t="str">
            <v>Year 4</v>
          </cell>
          <cell r="E832">
            <v>3007976000</v>
          </cell>
        </row>
        <row r="833">
          <cell r="B833" t="str">
            <v>ISRG</v>
          </cell>
          <cell r="C833" t="str">
            <v>Year 1</v>
          </cell>
          <cell r="E833">
            <v>2265100000</v>
          </cell>
        </row>
        <row r="834">
          <cell r="B834" t="str">
            <v>ISRG</v>
          </cell>
          <cell r="C834" t="str">
            <v>Year 2</v>
          </cell>
          <cell r="E834">
            <v>2131700000</v>
          </cell>
        </row>
        <row r="835">
          <cell r="B835" t="str">
            <v>ISRG</v>
          </cell>
          <cell r="C835" t="str">
            <v>Year 3</v>
          </cell>
          <cell r="E835">
            <v>2384400000</v>
          </cell>
        </row>
        <row r="836">
          <cell r="B836" t="str">
            <v>ISRG</v>
          </cell>
          <cell r="C836" t="str">
            <v>Year 4</v>
          </cell>
          <cell r="E836">
            <v>2704400000</v>
          </cell>
        </row>
        <row r="837">
          <cell r="B837" t="str">
            <v>ITW</v>
          </cell>
          <cell r="C837" t="str">
            <v>Year 1</v>
          </cell>
          <cell r="E837">
            <v>14135000000</v>
          </cell>
        </row>
        <row r="838">
          <cell r="B838" t="str">
            <v>ITW</v>
          </cell>
          <cell r="C838" t="str">
            <v>Year 2</v>
          </cell>
          <cell r="E838">
            <v>14484000000</v>
          </cell>
        </row>
        <row r="839">
          <cell r="B839" t="str">
            <v>ITW</v>
          </cell>
          <cell r="C839" t="str">
            <v>Year 3</v>
          </cell>
          <cell r="E839">
            <v>13405000000</v>
          </cell>
        </row>
        <row r="840">
          <cell r="B840" t="str">
            <v>ITW</v>
          </cell>
          <cell r="C840" t="str">
            <v>Year 4</v>
          </cell>
          <cell r="E840">
            <v>13599000000</v>
          </cell>
        </row>
        <row r="841">
          <cell r="B841" t="str">
            <v>IVZ</v>
          </cell>
          <cell r="C841" t="str">
            <v>Year 1</v>
          </cell>
          <cell r="E841">
            <v>4050400000</v>
          </cell>
        </row>
        <row r="842">
          <cell r="B842" t="str">
            <v>IVZ</v>
          </cell>
          <cell r="C842" t="str">
            <v>Year 2</v>
          </cell>
          <cell r="E842">
            <v>4644600000</v>
          </cell>
        </row>
        <row r="843">
          <cell r="B843" t="str">
            <v>IVZ</v>
          </cell>
          <cell r="C843" t="str">
            <v>Year 3</v>
          </cell>
          <cell r="E843">
            <v>5147100000</v>
          </cell>
        </row>
        <row r="844">
          <cell r="B844" t="str">
            <v>IVZ</v>
          </cell>
          <cell r="C844" t="str">
            <v>Year 4</v>
          </cell>
          <cell r="E844">
            <v>5122900000</v>
          </cell>
        </row>
        <row r="845">
          <cell r="B845" t="str">
            <v>JBHT</v>
          </cell>
          <cell r="C845" t="str">
            <v>Year 1</v>
          </cell>
          <cell r="E845">
            <v>5054980000</v>
          </cell>
        </row>
        <row r="846">
          <cell r="B846" t="str">
            <v>JBHT</v>
          </cell>
          <cell r="C846" t="str">
            <v>Year 2</v>
          </cell>
          <cell r="E846">
            <v>5584571000</v>
          </cell>
        </row>
        <row r="847">
          <cell r="B847" t="str">
            <v>JBHT</v>
          </cell>
          <cell r="C847" t="str">
            <v>Year 3</v>
          </cell>
          <cell r="E847">
            <v>6165441000</v>
          </cell>
        </row>
        <row r="848">
          <cell r="B848" t="str">
            <v>JBHT</v>
          </cell>
          <cell r="C848" t="str">
            <v>Year 4</v>
          </cell>
          <cell r="E848">
            <v>6187646000</v>
          </cell>
        </row>
        <row r="849">
          <cell r="B849" t="str">
            <v>JEC</v>
          </cell>
          <cell r="C849" t="str">
            <v>Year 1</v>
          </cell>
          <cell r="E849">
            <v>11818376000</v>
          </cell>
        </row>
        <row r="850">
          <cell r="B850" t="str">
            <v>JEC</v>
          </cell>
          <cell r="C850" t="str">
            <v>Year 2</v>
          </cell>
          <cell r="E850">
            <v>12695157000</v>
          </cell>
        </row>
        <row r="851">
          <cell r="B851" t="str">
            <v>JEC</v>
          </cell>
          <cell r="C851" t="str">
            <v>Year 3</v>
          </cell>
          <cell r="E851">
            <v>12114832000</v>
          </cell>
        </row>
        <row r="852">
          <cell r="B852" t="str">
            <v>JEC</v>
          </cell>
          <cell r="C852" t="str">
            <v>Year 4</v>
          </cell>
          <cell r="E852">
            <v>10964157000</v>
          </cell>
        </row>
        <row r="853">
          <cell r="B853" t="str">
            <v>JNPR</v>
          </cell>
          <cell r="C853" t="str">
            <v>Year 1</v>
          </cell>
          <cell r="E853">
            <v>4365400000</v>
          </cell>
        </row>
        <row r="854">
          <cell r="B854" t="str">
            <v>JNPR</v>
          </cell>
          <cell r="C854" t="str">
            <v>Year 2</v>
          </cell>
          <cell r="E854">
            <v>4669100000</v>
          </cell>
        </row>
        <row r="855">
          <cell r="B855" t="str">
            <v>JNPR</v>
          </cell>
          <cell r="C855" t="str">
            <v>Year 3</v>
          </cell>
          <cell r="E855">
            <v>4627100000</v>
          </cell>
        </row>
        <row r="856">
          <cell r="B856" t="str">
            <v>JNPR</v>
          </cell>
          <cell r="C856" t="str">
            <v>Year 4</v>
          </cell>
          <cell r="E856">
            <v>4857800000</v>
          </cell>
        </row>
        <row r="857">
          <cell r="B857" t="str">
            <v>JPM</v>
          </cell>
          <cell r="C857" t="str">
            <v>Year 1</v>
          </cell>
          <cell r="E857">
            <v>93646000000</v>
          </cell>
        </row>
        <row r="858">
          <cell r="B858" t="str">
            <v>JPM</v>
          </cell>
          <cell r="C858" t="str">
            <v>Year 2</v>
          </cell>
          <cell r="E858">
            <v>97142000000</v>
          </cell>
        </row>
        <row r="859">
          <cell r="B859" t="str">
            <v>JPM</v>
          </cell>
          <cell r="C859" t="str">
            <v>Year 3</v>
          </cell>
          <cell r="E859">
            <v>91973000000</v>
          </cell>
        </row>
        <row r="860">
          <cell r="B860" t="str">
            <v>JPM</v>
          </cell>
          <cell r="C860" t="str">
            <v>Year 4</v>
          </cell>
          <cell r="E860">
            <v>89716000000</v>
          </cell>
        </row>
        <row r="861">
          <cell r="B861" t="str">
            <v>JWN</v>
          </cell>
          <cell r="C861" t="str">
            <v>Year 1</v>
          </cell>
          <cell r="E861">
            <v>12134000000</v>
          </cell>
        </row>
        <row r="862">
          <cell r="B862" t="str">
            <v>JWN</v>
          </cell>
          <cell r="C862" t="str">
            <v>Year 2</v>
          </cell>
          <cell r="E862">
            <v>12540000000</v>
          </cell>
        </row>
        <row r="863">
          <cell r="B863" t="str">
            <v>JWN</v>
          </cell>
          <cell r="C863" t="str">
            <v>Year 3</v>
          </cell>
          <cell r="E863">
            <v>13506000000</v>
          </cell>
        </row>
        <row r="864">
          <cell r="B864" t="str">
            <v>JWN</v>
          </cell>
          <cell r="C864" t="str">
            <v>Year 4</v>
          </cell>
          <cell r="E864">
            <v>14437000000</v>
          </cell>
        </row>
        <row r="865">
          <cell r="B865" t="str">
            <v>K</v>
          </cell>
          <cell r="C865" t="str">
            <v>Year 1</v>
          </cell>
          <cell r="E865">
            <v>14197000000</v>
          </cell>
        </row>
        <row r="866">
          <cell r="B866" t="str">
            <v>K</v>
          </cell>
          <cell r="C866" t="str">
            <v>Year 2</v>
          </cell>
          <cell r="E866">
            <v>14792000000</v>
          </cell>
        </row>
        <row r="867">
          <cell r="B867" t="str">
            <v>K</v>
          </cell>
          <cell r="C867" t="str">
            <v>Year 3</v>
          </cell>
          <cell r="E867">
            <v>14580000000</v>
          </cell>
        </row>
        <row r="868">
          <cell r="B868" t="str">
            <v>K</v>
          </cell>
          <cell r="C868" t="str">
            <v>Year 4</v>
          </cell>
          <cell r="E868">
            <v>13525000000</v>
          </cell>
        </row>
        <row r="869">
          <cell r="B869" t="str">
            <v>KEY</v>
          </cell>
          <cell r="C869" t="str">
            <v>Year 1</v>
          </cell>
          <cell r="E869">
            <v>1287577000</v>
          </cell>
        </row>
        <row r="870">
          <cell r="B870" t="str">
            <v>KEY</v>
          </cell>
          <cell r="C870" t="str">
            <v>Year 2</v>
          </cell>
          <cell r="E870">
            <v>1463767000</v>
          </cell>
        </row>
        <row r="871">
          <cell r="B871" t="str">
            <v>KEY</v>
          </cell>
          <cell r="C871" t="str">
            <v>Year 3</v>
          </cell>
          <cell r="E871">
            <v>1627413000</v>
          </cell>
        </row>
        <row r="872">
          <cell r="B872" t="str">
            <v>KEY</v>
          </cell>
          <cell r="C872" t="str">
            <v>Year 4</v>
          </cell>
          <cell r="E872">
            <v>1822114000</v>
          </cell>
        </row>
        <row r="873">
          <cell r="B873" t="str">
            <v>KIM</v>
          </cell>
          <cell r="C873" t="str">
            <v>Year 1</v>
          </cell>
          <cell r="E873">
            <v>793373000</v>
          </cell>
        </row>
        <row r="874">
          <cell r="B874" t="str">
            <v>KIM</v>
          </cell>
          <cell r="C874" t="str">
            <v>Year 2</v>
          </cell>
          <cell r="E874">
            <v>861527000</v>
          </cell>
        </row>
        <row r="875">
          <cell r="B875" t="str">
            <v>KIM</v>
          </cell>
          <cell r="C875" t="str">
            <v>Year 3</v>
          </cell>
          <cell r="E875">
            <v>993897000</v>
          </cell>
        </row>
        <row r="876">
          <cell r="B876" t="str">
            <v>KIM</v>
          </cell>
          <cell r="C876" t="str">
            <v>Year 4</v>
          </cell>
          <cell r="E876">
            <v>1166769000</v>
          </cell>
        </row>
        <row r="877">
          <cell r="B877" t="str">
            <v>KLAC</v>
          </cell>
          <cell r="C877" t="str">
            <v>Year 1</v>
          </cell>
          <cell r="E877">
            <v>2842781000</v>
          </cell>
        </row>
        <row r="878">
          <cell r="B878" t="str">
            <v>KLAC</v>
          </cell>
          <cell r="C878" t="str">
            <v>Year 2</v>
          </cell>
          <cell r="E878">
            <v>2929408000</v>
          </cell>
        </row>
        <row r="879">
          <cell r="B879" t="str">
            <v>KLAC</v>
          </cell>
          <cell r="C879" t="str">
            <v>Year 3</v>
          </cell>
          <cell r="E879">
            <v>2814049000</v>
          </cell>
        </row>
        <row r="880">
          <cell r="B880" t="str">
            <v>KLAC</v>
          </cell>
          <cell r="C880" t="str">
            <v>Year 4</v>
          </cell>
          <cell r="E880">
            <v>2984493000</v>
          </cell>
        </row>
        <row r="881">
          <cell r="B881" t="str">
            <v>KMB</v>
          </cell>
          <cell r="C881" t="str">
            <v>Year 1</v>
          </cell>
          <cell r="E881">
            <v>19561000000</v>
          </cell>
        </row>
        <row r="882">
          <cell r="B882" t="str">
            <v>KMB</v>
          </cell>
          <cell r="C882" t="str">
            <v>Year 2</v>
          </cell>
          <cell r="E882">
            <v>19724000000</v>
          </cell>
        </row>
        <row r="883">
          <cell r="B883" t="str">
            <v>KMB</v>
          </cell>
          <cell r="C883" t="str">
            <v>Year 3</v>
          </cell>
          <cell r="E883">
            <v>18591000000</v>
          </cell>
        </row>
        <row r="884">
          <cell r="B884" t="str">
            <v>KMB</v>
          </cell>
          <cell r="C884" t="str">
            <v>Year 4</v>
          </cell>
          <cell r="E884">
            <v>18202000000</v>
          </cell>
        </row>
        <row r="885">
          <cell r="B885" t="str">
            <v>KMI</v>
          </cell>
          <cell r="C885" t="str">
            <v>Year 1</v>
          </cell>
          <cell r="E885">
            <v>14070000000</v>
          </cell>
        </row>
        <row r="886">
          <cell r="B886" t="str">
            <v>KMI</v>
          </cell>
          <cell r="C886" t="str">
            <v>Year 2</v>
          </cell>
          <cell r="E886">
            <v>16226000000</v>
          </cell>
        </row>
        <row r="887">
          <cell r="B887" t="str">
            <v>KMI</v>
          </cell>
          <cell r="C887" t="str">
            <v>Year 3</v>
          </cell>
          <cell r="E887">
            <v>14403000000</v>
          </cell>
        </row>
        <row r="888">
          <cell r="B888" t="str">
            <v>KMI</v>
          </cell>
          <cell r="C888" t="str">
            <v>Year 4</v>
          </cell>
          <cell r="E888">
            <v>13058000000</v>
          </cell>
        </row>
        <row r="889">
          <cell r="B889" t="str">
            <v>KMX</v>
          </cell>
          <cell r="C889" t="str">
            <v>Year 1</v>
          </cell>
          <cell r="E889">
            <v>10962818000</v>
          </cell>
        </row>
        <row r="890">
          <cell r="B890" t="str">
            <v>KMX</v>
          </cell>
          <cell r="C890" t="str">
            <v>Year 2</v>
          </cell>
          <cell r="E890">
            <v>12574299000</v>
          </cell>
        </row>
        <row r="891">
          <cell r="B891" t="str">
            <v>KMX</v>
          </cell>
          <cell r="C891" t="str">
            <v>Year 3</v>
          </cell>
          <cell r="E891">
            <v>14268716000</v>
          </cell>
        </row>
        <row r="892">
          <cell r="B892" t="str">
            <v>KMX</v>
          </cell>
          <cell r="C892" t="str">
            <v>Year 4</v>
          </cell>
          <cell r="E892">
            <v>15149675000</v>
          </cell>
        </row>
        <row r="893">
          <cell r="B893" t="str">
            <v>KO</v>
          </cell>
          <cell r="C893" t="str">
            <v>Year 1</v>
          </cell>
          <cell r="E893">
            <v>48017000000</v>
          </cell>
        </row>
        <row r="894">
          <cell r="B894" t="str">
            <v>KO</v>
          </cell>
          <cell r="C894" t="str">
            <v>Year 2</v>
          </cell>
          <cell r="E894">
            <v>46854000000</v>
          </cell>
        </row>
        <row r="895">
          <cell r="B895" t="str">
            <v>KO</v>
          </cell>
          <cell r="C895" t="str">
            <v>Year 3</v>
          </cell>
          <cell r="E895">
            <v>45998000000</v>
          </cell>
        </row>
        <row r="896">
          <cell r="B896" t="str">
            <v>KO</v>
          </cell>
          <cell r="C896" t="str">
            <v>Year 4</v>
          </cell>
          <cell r="E896">
            <v>44294000000</v>
          </cell>
        </row>
        <row r="897">
          <cell r="B897" t="str">
            <v>KORS</v>
          </cell>
          <cell r="C897" t="str">
            <v>Year 1</v>
          </cell>
          <cell r="E897">
            <v>2181732000</v>
          </cell>
        </row>
        <row r="898">
          <cell r="B898" t="str">
            <v>KORS</v>
          </cell>
          <cell r="C898" t="str">
            <v>Year 2</v>
          </cell>
          <cell r="E898">
            <v>3310800000</v>
          </cell>
        </row>
        <row r="899">
          <cell r="B899" t="str">
            <v>KORS</v>
          </cell>
          <cell r="C899" t="str">
            <v>Year 3</v>
          </cell>
          <cell r="E899">
            <v>4371500000</v>
          </cell>
        </row>
        <row r="900">
          <cell r="B900" t="str">
            <v>KORS</v>
          </cell>
          <cell r="C900" t="str">
            <v>Year 4</v>
          </cell>
          <cell r="E900">
            <v>4712100000</v>
          </cell>
        </row>
        <row r="901">
          <cell r="B901" t="str">
            <v>KR</v>
          </cell>
          <cell r="C901" t="str">
            <v>Year 1</v>
          </cell>
          <cell r="E901">
            <v>96619000000</v>
          </cell>
        </row>
        <row r="902">
          <cell r="B902" t="str">
            <v>KR</v>
          </cell>
          <cell r="C902" t="str">
            <v>Year 2</v>
          </cell>
          <cell r="E902">
            <v>98375000000</v>
          </cell>
        </row>
        <row r="903">
          <cell r="B903" t="str">
            <v>KR</v>
          </cell>
          <cell r="C903" t="str">
            <v>Year 3</v>
          </cell>
          <cell r="E903">
            <v>108465000000</v>
          </cell>
        </row>
        <row r="904">
          <cell r="B904" t="str">
            <v>KR</v>
          </cell>
          <cell r="C904" t="str">
            <v>Year 4</v>
          </cell>
          <cell r="E904">
            <v>109830000000</v>
          </cell>
        </row>
        <row r="905">
          <cell r="B905" t="str">
            <v>KSS</v>
          </cell>
          <cell r="C905" t="str">
            <v>Year 1</v>
          </cell>
          <cell r="E905">
            <v>19279000000</v>
          </cell>
        </row>
        <row r="906">
          <cell r="B906" t="str">
            <v>KSS</v>
          </cell>
          <cell r="C906" t="str">
            <v>Year 2</v>
          </cell>
          <cell r="E906">
            <v>19031000000</v>
          </cell>
        </row>
        <row r="907">
          <cell r="B907" t="str">
            <v>KSS</v>
          </cell>
          <cell r="C907" t="str">
            <v>Year 3</v>
          </cell>
          <cell r="E907">
            <v>19023000000</v>
          </cell>
        </row>
        <row r="908">
          <cell r="B908" t="str">
            <v>KSS</v>
          </cell>
          <cell r="C908" t="str">
            <v>Year 4</v>
          </cell>
          <cell r="E908">
            <v>19204000000</v>
          </cell>
        </row>
        <row r="909">
          <cell r="B909" t="str">
            <v>KSU</v>
          </cell>
          <cell r="C909" t="str">
            <v>Year 1</v>
          </cell>
          <cell r="E909">
            <v>2369300000</v>
          </cell>
        </row>
        <row r="910">
          <cell r="B910" t="str">
            <v>KSU</v>
          </cell>
          <cell r="C910" t="str">
            <v>Year 2</v>
          </cell>
          <cell r="E910">
            <v>2577100000</v>
          </cell>
        </row>
        <row r="911">
          <cell r="B911" t="str">
            <v>KSU</v>
          </cell>
          <cell r="C911" t="str">
            <v>Year 3</v>
          </cell>
          <cell r="E911">
            <v>2418800000</v>
          </cell>
        </row>
        <row r="912">
          <cell r="B912" t="str">
            <v>KSU</v>
          </cell>
          <cell r="C912" t="str">
            <v>Year 4</v>
          </cell>
          <cell r="E912">
            <v>2334200000</v>
          </cell>
        </row>
        <row r="913">
          <cell r="B913" t="str">
            <v>LB</v>
          </cell>
          <cell r="C913" t="str">
            <v>Year 1</v>
          </cell>
          <cell r="E913">
            <v>10459000000</v>
          </cell>
        </row>
        <row r="914">
          <cell r="B914" t="str">
            <v>LB</v>
          </cell>
          <cell r="C914" t="str">
            <v>Year 2</v>
          </cell>
          <cell r="E914">
            <v>10773000000</v>
          </cell>
        </row>
        <row r="915">
          <cell r="B915" t="str">
            <v>LB</v>
          </cell>
          <cell r="C915" t="str">
            <v>Year 3</v>
          </cell>
          <cell r="E915">
            <v>11454000000</v>
          </cell>
        </row>
        <row r="916">
          <cell r="B916" t="str">
            <v>LB</v>
          </cell>
          <cell r="C916" t="str">
            <v>Year 4</v>
          </cell>
          <cell r="E916">
            <v>12154000000</v>
          </cell>
        </row>
        <row r="917">
          <cell r="B917" t="str">
            <v>LEG</v>
          </cell>
          <cell r="C917" t="str">
            <v>Year 1</v>
          </cell>
          <cell r="E917">
            <v>3414500000</v>
          </cell>
        </row>
        <row r="918">
          <cell r="B918" t="str">
            <v>LEG</v>
          </cell>
          <cell r="C918" t="str">
            <v>Year 2</v>
          </cell>
          <cell r="E918">
            <v>3477200000</v>
          </cell>
        </row>
        <row r="919">
          <cell r="B919" t="str">
            <v>LEG</v>
          </cell>
          <cell r="C919" t="str">
            <v>Year 3</v>
          </cell>
          <cell r="E919">
            <v>3782300000</v>
          </cell>
        </row>
        <row r="920">
          <cell r="B920" t="str">
            <v>LEG</v>
          </cell>
          <cell r="C920" t="str">
            <v>Year 4</v>
          </cell>
          <cell r="E920">
            <v>3917200000</v>
          </cell>
        </row>
        <row r="921">
          <cell r="B921" t="str">
            <v>LEN</v>
          </cell>
          <cell r="C921" t="str">
            <v>Year 1</v>
          </cell>
          <cell r="E921">
            <v>5935095000</v>
          </cell>
        </row>
        <row r="922">
          <cell r="B922" t="str">
            <v>LEN</v>
          </cell>
          <cell r="C922" t="str">
            <v>Year 2</v>
          </cell>
          <cell r="E922">
            <v>7779812000</v>
          </cell>
        </row>
        <row r="923">
          <cell r="B923" t="str">
            <v>LEN</v>
          </cell>
          <cell r="C923" t="str">
            <v>Year 3</v>
          </cell>
          <cell r="E923">
            <v>9474008000</v>
          </cell>
        </row>
        <row r="924">
          <cell r="B924" t="str">
            <v>LEN</v>
          </cell>
          <cell r="C924" t="str">
            <v>Year 4</v>
          </cell>
          <cell r="E924">
            <v>10949999000</v>
          </cell>
        </row>
        <row r="925">
          <cell r="B925" t="str">
            <v>LH</v>
          </cell>
          <cell r="C925" t="str">
            <v>Year 1</v>
          </cell>
          <cell r="E925">
            <v>5671400000</v>
          </cell>
        </row>
        <row r="926">
          <cell r="B926" t="str">
            <v>LH</v>
          </cell>
          <cell r="C926" t="str">
            <v>Year 2</v>
          </cell>
          <cell r="E926">
            <v>5808300000</v>
          </cell>
        </row>
        <row r="927">
          <cell r="B927" t="str">
            <v>LH</v>
          </cell>
          <cell r="C927" t="str">
            <v>Year 3</v>
          </cell>
          <cell r="E927">
            <v>6011600000</v>
          </cell>
        </row>
        <row r="928">
          <cell r="B928" t="str">
            <v>LH</v>
          </cell>
          <cell r="C928" t="str">
            <v>Year 4</v>
          </cell>
          <cell r="E928">
            <v>8680100000</v>
          </cell>
        </row>
        <row r="929">
          <cell r="B929" t="str">
            <v>LKQ</v>
          </cell>
          <cell r="C929" t="str">
            <v>Year 1</v>
          </cell>
          <cell r="E929">
            <v>4122930000</v>
          </cell>
        </row>
        <row r="930">
          <cell r="B930" t="str">
            <v>LKQ</v>
          </cell>
          <cell r="C930" t="str">
            <v>Year 2</v>
          </cell>
          <cell r="E930">
            <v>5062528000</v>
          </cell>
        </row>
        <row r="931">
          <cell r="B931" t="str">
            <v>LKQ</v>
          </cell>
          <cell r="C931" t="str">
            <v>Year 3</v>
          </cell>
          <cell r="E931">
            <v>6740064000</v>
          </cell>
        </row>
        <row r="932">
          <cell r="B932" t="str">
            <v>LKQ</v>
          </cell>
          <cell r="C932" t="str">
            <v>Year 4</v>
          </cell>
          <cell r="E932">
            <v>7192633000</v>
          </cell>
        </row>
        <row r="933">
          <cell r="B933" t="str">
            <v>LLL</v>
          </cell>
          <cell r="C933" t="str">
            <v>Year 1</v>
          </cell>
          <cell r="E933">
            <v>13107000000</v>
          </cell>
        </row>
        <row r="934">
          <cell r="B934" t="str">
            <v>LLL</v>
          </cell>
          <cell r="C934" t="str">
            <v>Year 2</v>
          </cell>
          <cell r="E934">
            <v>11420000000</v>
          </cell>
        </row>
        <row r="935">
          <cell r="B935" t="str">
            <v>LLL</v>
          </cell>
          <cell r="C935" t="str">
            <v>Year 3</v>
          </cell>
          <cell r="E935">
            <v>10986000000</v>
          </cell>
        </row>
        <row r="936">
          <cell r="B936" t="str">
            <v>LLL</v>
          </cell>
          <cell r="C936" t="str">
            <v>Year 4</v>
          </cell>
          <cell r="E936">
            <v>10466000000</v>
          </cell>
        </row>
        <row r="937">
          <cell r="B937" t="str">
            <v>LLTC</v>
          </cell>
          <cell r="C937" t="str">
            <v>Year 1</v>
          </cell>
          <cell r="E937">
            <v>1282236000</v>
          </cell>
        </row>
        <row r="938">
          <cell r="B938" t="str">
            <v>LLTC</v>
          </cell>
          <cell r="C938" t="str">
            <v>Year 2</v>
          </cell>
          <cell r="E938">
            <v>1388386000</v>
          </cell>
        </row>
        <row r="939">
          <cell r="B939" t="str">
            <v>LLTC</v>
          </cell>
          <cell r="C939" t="str">
            <v>Year 3</v>
          </cell>
          <cell r="E939">
            <v>1475139000</v>
          </cell>
        </row>
        <row r="940">
          <cell r="B940" t="str">
            <v>LLTC</v>
          </cell>
          <cell r="C940" t="str">
            <v>Year 4</v>
          </cell>
          <cell r="E940">
            <v>1423936000</v>
          </cell>
        </row>
        <row r="941">
          <cell r="B941" t="str">
            <v>LLY</v>
          </cell>
          <cell r="C941" t="str">
            <v>Year 1</v>
          </cell>
          <cell r="E941">
            <v>22603400000</v>
          </cell>
        </row>
        <row r="942">
          <cell r="B942" t="str">
            <v>LLY</v>
          </cell>
          <cell r="C942" t="str">
            <v>Year 2</v>
          </cell>
          <cell r="E942">
            <v>23113100000</v>
          </cell>
        </row>
        <row r="943">
          <cell r="B943" t="str">
            <v>LLY</v>
          </cell>
          <cell r="C943" t="str">
            <v>Year 3</v>
          </cell>
          <cell r="E943">
            <v>19615600000</v>
          </cell>
        </row>
        <row r="944">
          <cell r="B944" t="str">
            <v>LLY</v>
          </cell>
          <cell r="C944" t="str">
            <v>Year 4</v>
          </cell>
          <cell r="E944">
            <v>19958700000</v>
          </cell>
        </row>
        <row r="945">
          <cell r="B945" t="str">
            <v>LMT</v>
          </cell>
          <cell r="C945" t="str">
            <v>Year 1</v>
          </cell>
          <cell r="E945">
            <v>45358000000</v>
          </cell>
        </row>
        <row r="946">
          <cell r="B946" t="str">
            <v>LMT</v>
          </cell>
          <cell r="C946" t="str">
            <v>Year 2</v>
          </cell>
          <cell r="E946">
            <v>39946000000</v>
          </cell>
        </row>
        <row r="947">
          <cell r="B947" t="str">
            <v>LMT</v>
          </cell>
          <cell r="C947" t="str">
            <v>Year 3</v>
          </cell>
          <cell r="E947">
            <v>40536000000</v>
          </cell>
        </row>
        <row r="948">
          <cell r="B948" t="str">
            <v>LMT</v>
          </cell>
          <cell r="C948" t="str">
            <v>Year 4</v>
          </cell>
          <cell r="E948">
            <v>47248000000</v>
          </cell>
        </row>
        <row r="949">
          <cell r="B949" t="str">
            <v>LNT</v>
          </cell>
          <cell r="C949" t="str">
            <v>Year 1</v>
          </cell>
          <cell r="E949">
            <v>3094500000</v>
          </cell>
        </row>
        <row r="950">
          <cell r="B950" t="str">
            <v>LNT</v>
          </cell>
          <cell r="C950" t="str">
            <v>Year 2</v>
          </cell>
          <cell r="E950">
            <v>3276800000</v>
          </cell>
        </row>
        <row r="951">
          <cell r="B951" t="str">
            <v>LNT</v>
          </cell>
          <cell r="C951" t="str">
            <v>Year 3</v>
          </cell>
          <cell r="E951">
            <v>3350300000</v>
          </cell>
        </row>
        <row r="952">
          <cell r="B952" t="str">
            <v>LNT</v>
          </cell>
          <cell r="C952" t="str">
            <v>Year 4</v>
          </cell>
          <cell r="E952">
            <v>3253600000</v>
          </cell>
        </row>
        <row r="953">
          <cell r="B953" t="str">
            <v>LOW</v>
          </cell>
          <cell r="C953" t="str">
            <v>Year 1</v>
          </cell>
          <cell r="E953">
            <v>50521000000</v>
          </cell>
        </row>
        <row r="954">
          <cell r="B954" t="str">
            <v>LOW</v>
          </cell>
          <cell r="C954" t="str">
            <v>Year 2</v>
          </cell>
          <cell r="E954">
            <v>53417000000</v>
          </cell>
        </row>
        <row r="955">
          <cell r="B955" t="str">
            <v>LOW</v>
          </cell>
          <cell r="C955" t="str">
            <v>Year 3</v>
          </cell>
          <cell r="E955">
            <v>56223000000</v>
          </cell>
        </row>
        <row r="956">
          <cell r="B956" t="str">
            <v>LOW</v>
          </cell>
          <cell r="C956" t="str">
            <v>Year 4</v>
          </cell>
          <cell r="E956">
            <v>59074000000</v>
          </cell>
        </row>
        <row r="957">
          <cell r="B957" t="str">
            <v>LRCX</v>
          </cell>
          <cell r="C957" t="str">
            <v>Year 1</v>
          </cell>
          <cell r="E957">
            <v>3598916000</v>
          </cell>
        </row>
        <row r="958">
          <cell r="B958" t="str">
            <v>LRCX</v>
          </cell>
          <cell r="C958" t="str">
            <v>Year 2</v>
          </cell>
          <cell r="E958">
            <v>4607309000</v>
          </cell>
        </row>
        <row r="959">
          <cell r="B959" t="str">
            <v>LRCX</v>
          </cell>
          <cell r="C959" t="str">
            <v>Year 3</v>
          </cell>
          <cell r="E959">
            <v>5259312000</v>
          </cell>
        </row>
        <row r="960">
          <cell r="B960" t="str">
            <v>LRCX</v>
          </cell>
          <cell r="C960" t="str">
            <v>Year 4</v>
          </cell>
          <cell r="E960">
            <v>5885893000</v>
          </cell>
        </row>
        <row r="961">
          <cell r="B961" t="str">
            <v>LUK</v>
          </cell>
          <cell r="C961" t="str">
            <v>Year 1</v>
          </cell>
          <cell r="E961">
            <v>7810610000</v>
          </cell>
        </row>
        <row r="962">
          <cell r="B962" t="str">
            <v>LUK</v>
          </cell>
          <cell r="C962" t="str">
            <v>Year 2</v>
          </cell>
          <cell r="E962">
            <v>9531778000</v>
          </cell>
        </row>
        <row r="963">
          <cell r="B963" t="str">
            <v>LUK</v>
          </cell>
          <cell r="C963" t="str">
            <v>Year 3</v>
          </cell>
          <cell r="E963">
            <v>10681897000</v>
          </cell>
        </row>
        <row r="964">
          <cell r="B964" t="str">
            <v>LUK</v>
          </cell>
          <cell r="C964" t="str">
            <v>Year 4</v>
          </cell>
          <cell r="E964">
            <v>10116502000</v>
          </cell>
        </row>
        <row r="965">
          <cell r="B965" t="str">
            <v>LUV</v>
          </cell>
          <cell r="C965" t="str">
            <v>Year 1</v>
          </cell>
          <cell r="E965">
            <v>17699000000</v>
          </cell>
        </row>
        <row r="966">
          <cell r="B966" t="str">
            <v>LUV</v>
          </cell>
          <cell r="C966" t="str">
            <v>Year 2</v>
          </cell>
          <cell r="E966">
            <v>18605000000</v>
          </cell>
        </row>
        <row r="967">
          <cell r="B967" t="str">
            <v>LUV</v>
          </cell>
          <cell r="C967" t="str">
            <v>Year 3</v>
          </cell>
          <cell r="E967">
            <v>19820000000</v>
          </cell>
        </row>
        <row r="968">
          <cell r="B968" t="str">
            <v>LUV</v>
          </cell>
          <cell r="C968" t="str">
            <v>Year 4</v>
          </cell>
          <cell r="E968">
            <v>20425000000</v>
          </cell>
        </row>
        <row r="969">
          <cell r="B969" t="str">
            <v>LVLT</v>
          </cell>
          <cell r="C969" t="str">
            <v>Year 1</v>
          </cell>
          <cell r="E969">
            <v>6376000000</v>
          </cell>
        </row>
        <row r="970">
          <cell r="B970" t="str">
            <v>LVLT</v>
          </cell>
          <cell r="C970" t="str">
            <v>Year 2</v>
          </cell>
          <cell r="E970">
            <v>6313000000</v>
          </cell>
        </row>
        <row r="971">
          <cell r="B971" t="str">
            <v>LVLT</v>
          </cell>
          <cell r="C971" t="str">
            <v>Year 3</v>
          </cell>
          <cell r="E971">
            <v>6777000000</v>
          </cell>
        </row>
        <row r="972">
          <cell r="B972" t="str">
            <v>LVLT</v>
          </cell>
          <cell r="C972" t="str">
            <v>Year 4</v>
          </cell>
          <cell r="E972">
            <v>8229000000</v>
          </cell>
        </row>
        <row r="973">
          <cell r="B973" t="str">
            <v>LYB</v>
          </cell>
          <cell r="C973" t="str">
            <v>Year 1</v>
          </cell>
          <cell r="E973">
            <v>45352000000</v>
          </cell>
        </row>
        <row r="974">
          <cell r="B974" t="str">
            <v>LYB</v>
          </cell>
          <cell r="C974" t="str">
            <v>Year 2</v>
          </cell>
          <cell r="E974">
            <v>44062000000</v>
          </cell>
        </row>
        <row r="975">
          <cell r="B975" t="str">
            <v>LYB</v>
          </cell>
          <cell r="C975" t="str">
            <v>Year 3</v>
          </cell>
          <cell r="E975">
            <v>45608000000</v>
          </cell>
        </row>
        <row r="976">
          <cell r="B976" t="str">
            <v>LYB</v>
          </cell>
          <cell r="C976" t="str">
            <v>Year 4</v>
          </cell>
          <cell r="E976">
            <v>32735000000</v>
          </cell>
        </row>
        <row r="977">
          <cell r="B977" t="str">
            <v>M</v>
          </cell>
          <cell r="C977" t="str">
            <v>Year 1</v>
          </cell>
          <cell r="E977">
            <v>27686000000</v>
          </cell>
        </row>
        <row r="978">
          <cell r="B978" t="str">
            <v>M</v>
          </cell>
          <cell r="C978" t="str">
            <v>Year 2</v>
          </cell>
          <cell r="E978">
            <v>27931000000</v>
          </cell>
        </row>
        <row r="979">
          <cell r="B979" t="str">
            <v>M</v>
          </cell>
          <cell r="C979" t="str">
            <v>Year 3</v>
          </cell>
          <cell r="E979">
            <v>28105000000</v>
          </cell>
        </row>
        <row r="980">
          <cell r="B980" t="str">
            <v>M</v>
          </cell>
          <cell r="C980" t="str">
            <v>Year 4</v>
          </cell>
          <cell r="E980">
            <v>27079000000</v>
          </cell>
        </row>
        <row r="981">
          <cell r="B981" t="str">
            <v>MA</v>
          </cell>
          <cell r="C981" t="str">
            <v>Year 1</v>
          </cell>
          <cell r="E981">
            <v>8312000000</v>
          </cell>
        </row>
        <row r="982">
          <cell r="B982" t="str">
            <v>MA</v>
          </cell>
          <cell r="C982" t="str">
            <v>Year 2</v>
          </cell>
          <cell r="E982">
            <v>9441000000</v>
          </cell>
        </row>
        <row r="983">
          <cell r="B983" t="str">
            <v>MA</v>
          </cell>
          <cell r="C983" t="str">
            <v>Year 3</v>
          </cell>
          <cell r="E983">
            <v>9667000000</v>
          </cell>
        </row>
        <row r="984">
          <cell r="B984" t="str">
            <v>MA</v>
          </cell>
          <cell r="C984" t="str">
            <v>Year 4</v>
          </cell>
          <cell r="E984">
            <v>10776000000</v>
          </cell>
        </row>
        <row r="985">
          <cell r="B985" t="str">
            <v>MAA</v>
          </cell>
          <cell r="C985" t="str">
            <v>Year 1</v>
          </cell>
          <cell r="E985">
            <v>475888000</v>
          </cell>
        </row>
        <row r="986">
          <cell r="B986" t="str">
            <v>MAA</v>
          </cell>
          <cell r="C986" t="str">
            <v>Year 2</v>
          </cell>
          <cell r="E986">
            <v>635490000</v>
          </cell>
        </row>
        <row r="987">
          <cell r="B987" t="str">
            <v>MAA</v>
          </cell>
          <cell r="C987" t="str">
            <v>Year 3</v>
          </cell>
          <cell r="E987">
            <v>992332000</v>
          </cell>
        </row>
        <row r="988">
          <cell r="B988" t="str">
            <v>MAA</v>
          </cell>
          <cell r="C988" t="str">
            <v>Year 4</v>
          </cell>
          <cell r="E988">
            <v>1042779000</v>
          </cell>
        </row>
        <row r="989">
          <cell r="B989" t="str">
            <v>MAC</v>
          </cell>
          <cell r="C989" t="str">
            <v>Year 1</v>
          </cell>
          <cell r="E989">
            <v>797517000</v>
          </cell>
        </row>
        <row r="990">
          <cell r="B990" t="str">
            <v>MAC</v>
          </cell>
          <cell r="C990" t="str">
            <v>Year 2</v>
          </cell>
          <cell r="E990">
            <v>1029475000</v>
          </cell>
        </row>
        <row r="991">
          <cell r="B991" t="str">
            <v>MAC</v>
          </cell>
          <cell r="C991" t="str">
            <v>Year 3</v>
          </cell>
          <cell r="E991">
            <v>1105247000</v>
          </cell>
        </row>
        <row r="992">
          <cell r="B992" t="str">
            <v>MAC</v>
          </cell>
          <cell r="C992" t="str">
            <v>Year 4</v>
          </cell>
          <cell r="E992">
            <v>1288149000</v>
          </cell>
        </row>
        <row r="993">
          <cell r="B993" t="str">
            <v>MAR</v>
          </cell>
          <cell r="C993" t="str">
            <v>Year 1</v>
          </cell>
          <cell r="E993">
            <v>11814000000</v>
          </cell>
        </row>
        <row r="994">
          <cell r="B994" t="str">
            <v>MAR</v>
          </cell>
          <cell r="C994" t="str">
            <v>Year 2</v>
          </cell>
          <cell r="E994">
            <v>12784000000</v>
          </cell>
        </row>
        <row r="995">
          <cell r="B995" t="str">
            <v>MAR</v>
          </cell>
          <cell r="C995" t="str">
            <v>Year 3</v>
          </cell>
          <cell r="E995">
            <v>13796000000</v>
          </cell>
        </row>
        <row r="996">
          <cell r="B996" t="str">
            <v>MAR</v>
          </cell>
          <cell r="C996" t="str">
            <v>Year 4</v>
          </cell>
          <cell r="E996">
            <v>14486000000</v>
          </cell>
        </row>
        <row r="997">
          <cell r="B997" t="str">
            <v>MAS</v>
          </cell>
          <cell r="C997" t="str">
            <v>Year 1</v>
          </cell>
          <cell r="E997">
            <v>6761000000</v>
          </cell>
        </row>
        <row r="998">
          <cell r="B998" t="str">
            <v>MAS</v>
          </cell>
          <cell r="C998" t="str">
            <v>Year 2</v>
          </cell>
          <cell r="E998">
            <v>7006000000</v>
          </cell>
        </row>
        <row r="999">
          <cell r="B999" t="str">
            <v>MAS</v>
          </cell>
          <cell r="C999" t="str">
            <v>Year 3</v>
          </cell>
          <cell r="E999">
            <v>7142000000</v>
          </cell>
        </row>
        <row r="1000">
          <cell r="B1000" t="str">
            <v>MAS</v>
          </cell>
          <cell r="C1000" t="str">
            <v>Year 4</v>
          </cell>
          <cell r="E1000">
            <v>7357000000</v>
          </cell>
        </row>
        <row r="1001">
          <cell r="B1001" t="str">
            <v>MAT</v>
          </cell>
          <cell r="C1001" t="str">
            <v>Year 1</v>
          </cell>
          <cell r="E1001">
            <v>6420881000</v>
          </cell>
        </row>
        <row r="1002">
          <cell r="B1002" t="str">
            <v>MAT</v>
          </cell>
          <cell r="C1002" t="str">
            <v>Year 2</v>
          </cell>
          <cell r="E1002">
            <v>6484892000</v>
          </cell>
        </row>
        <row r="1003">
          <cell r="B1003" t="str">
            <v>MAT</v>
          </cell>
          <cell r="C1003" t="str">
            <v>Year 3</v>
          </cell>
          <cell r="E1003">
            <v>6023819000</v>
          </cell>
        </row>
        <row r="1004">
          <cell r="B1004" t="str">
            <v>MAT</v>
          </cell>
          <cell r="C1004" t="str">
            <v>Year 4</v>
          </cell>
          <cell r="E1004">
            <v>5702613000</v>
          </cell>
        </row>
        <row r="1005">
          <cell r="B1005" t="str">
            <v>MCD</v>
          </cell>
          <cell r="C1005" t="str">
            <v>Year 1</v>
          </cell>
          <cell r="E1005">
            <v>27567000000</v>
          </cell>
        </row>
        <row r="1006">
          <cell r="B1006" t="str">
            <v>MCD</v>
          </cell>
          <cell r="C1006" t="str">
            <v>Year 2</v>
          </cell>
          <cell r="E1006">
            <v>28105700000</v>
          </cell>
        </row>
        <row r="1007">
          <cell r="B1007" t="str">
            <v>MCD</v>
          </cell>
          <cell r="C1007" t="str">
            <v>Year 3</v>
          </cell>
          <cell r="E1007">
            <v>27441300000</v>
          </cell>
        </row>
        <row r="1008">
          <cell r="B1008" t="str">
            <v>MCD</v>
          </cell>
          <cell r="C1008" t="str">
            <v>Year 4</v>
          </cell>
          <cell r="E1008">
            <v>25413000000</v>
          </cell>
        </row>
        <row r="1009">
          <cell r="B1009" t="str">
            <v>MCHP</v>
          </cell>
          <cell r="C1009" t="str">
            <v>Year 1</v>
          </cell>
          <cell r="E1009">
            <v>1581623000</v>
          </cell>
        </row>
        <row r="1010">
          <cell r="B1010" t="str">
            <v>MCHP</v>
          </cell>
          <cell r="C1010" t="str">
            <v>Year 2</v>
          </cell>
          <cell r="E1010">
            <v>1931217000</v>
          </cell>
        </row>
        <row r="1011">
          <cell r="B1011" t="str">
            <v>MCHP</v>
          </cell>
          <cell r="C1011" t="str">
            <v>Year 3</v>
          </cell>
          <cell r="E1011">
            <v>2147036000</v>
          </cell>
        </row>
        <row r="1012">
          <cell r="B1012" t="str">
            <v>MCHP</v>
          </cell>
          <cell r="C1012" t="str">
            <v>Year 4</v>
          </cell>
          <cell r="E1012">
            <v>2173334000</v>
          </cell>
        </row>
        <row r="1013">
          <cell r="B1013" t="str">
            <v>MCK</v>
          </cell>
          <cell r="C1013" t="str">
            <v>Year 1</v>
          </cell>
          <cell r="E1013">
            <v>122196000000</v>
          </cell>
        </row>
        <row r="1014">
          <cell r="B1014" t="str">
            <v>MCK</v>
          </cell>
          <cell r="C1014" t="str">
            <v>Year 2</v>
          </cell>
          <cell r="E1014">
            <v>137392000000</v>
          </cell>
        </row>
        <row r="1015">
          <cell r="B1015" t="str">
            <v>MCK</v>
          </cell>
          <cell r="C1015" t="str">
            <v>Year 3</v>
          </cell>
          <cell r="E1015">
            <v>179045000000</v>
          </cell>
        </row>
        <row r="1016">
          <cell r="B1016" t="str">
            <v>MCK</v>
          </cell>
          <cell r="C1016" t="str">
            <v>Year 4</v>
          </cell>
          <cell r="E1016">
            <v>190884000000</v>
          </cell>
        </row>
        <row r="1017">
          <cell r="B1017" t="str">
            <v>MCO</v>
          </cell>
          <cell r="C1017" t="str">
            <v>Year 1</v>
          </cell>
          <cell r="E1017">
            <v>2730300000</v>
          </cell>
        </row>
        <row r="1018">
          <cell r="B1018" t="str">
            <v>MCO</v>
          </cell>
          <cell r="C1018" t="str">
            <v>Year 2</v>
          </cell>
          <cell r="E1018">
            <v>2972500000</v>
          </cell>
        </row>
        <row r="1019">
          <cell r="B1019" t="str">
            <v>MCO</v>
          </cell>
          <cell r="C1019" t="str">
            <v>Year 3</v>
          </cell>
          <cell r="E1019">
            <v>3334300000</v>
          </cell>
        </row>
        <row r="1020">
          <cell r="B1020" t="str">
            <v>MCO</v>
          </cell>
          <cell r="C1020" t="str">
            <v>Year 4</v>
          </cell>
          <cell r="E1020">
            <v>3484500000</v>
          </cell>
        </row>
        <row r="1021">
          <cell r="B1021" t="str">
            <v>MDLZ</v>
          </cell>
          <cell r="C1021" t="str">
            <v>Year 1</v>
          </cell>
          <cell r="E1021">
            <v>35015000000</v>
          </cell>
        </row>
        <row r="1022">
          <cell r="B1022" t="str">
            <v>MDLZ</v>
          </cell>
          <cell r="C1022" t="str">
            <v>Year 2</v>
          </cell>
          <cell r="E1022">
            <v>35299000000</v>
          </cell>
        </row>
        <row r="1023">
          <cell r="B1023" t="str">
            <v>MDLZ</v>
          </cell>
          <cell r="C1023" t="str">
            <v>Year 3</v>
          </cell>
          <cell r="E1023">
            <v>34244000000</v>
          </cell>
        </row>
        <row r="1024">
          <cell r="B1024" t="str">
            <v>MDLZ</v>
          </cell>
          <cell r="C1024" t="str">
            <v>Year 4</v>
          </cell>
          <cell r="E1024">
            <v>29636000000</v>
          </cell>
        </row>
        <row r="1025">
          <cell r="B1025" t="str">
            <v>MET</v>
          </cell>
          <cell r="C1025" t="str">
            <v>Year 1</v>
          </cell>
          <cell r="E1025">
            <v>68150000000</v>
          </cell>
        </row>
        <row r="1026">
          <cell r="B1026" t="str">
            <v>MET</v>
          </cell>
          <cell r="C1026" t="str">
            <v>Year 2</v>
          </cell>
          <cell r="E1026">
            <v>68199000000</v>
          </cell>
        </row>
        <row r="1027">
          <cell r="B1027" t="str">
            <v>MET</v>
          </cell>
          <cell r="C1027" t="str">
            <v>Year 3</v>
          </cell>
          <cell r="E1027">
            <v>73316000000</v>
          </cell>
        </row>
        <row r="1028">
          <cell r="B1028" t="str">
            <v>MET</v>
          </cell>
          <cell r="C1028" t="str">
            <v>Year 4</v>
          </cell>
          <cell r="E1028">
            <v>69951000000</v>
          </cell>
        </row>
        <row r="1029">
          <cell r="B1029" t="str">
            <v>MHK</v>
          </cell>
          <cell r="C1029" t="str">
            <v>Year 1</v>
          </cell>
          <cell r="E1029">
            <v>5787980000</v>
          </cell>
        </row>
        <row r="1030">
          <cell r="B1030" t="str">
            <v>MHK</v>
          </cell>
          <cell r="C1030" t="str">
            <v>Year 2</v>
          </cell>
          <cell r="E1030">
            <v>7348754000</v>
          </cell>
        </row>
        <row r="1031">
          <cell r="B1031" t="str">
            <v>MHK</v>
          </cell>
          <cell r="C1031" t="str">
            <v>Year 3</v>
          </cell>
          <cell r="E1031">
            <v>7803446000</v>
          </cell>
        </row>
        <row r="1032">
          <cell r="B1032" t="str">
            <v>MHK</v>
          </cell>
          <cell r="C1032" t="str">
            <v>Year 4</v>
          </cell>
          <cell r="E1032">
            <v>8071563000</v>
          </cell>
        </row>
        <row r="1033">
          <cell r="B1033" t="str">
            <v>MJN</v>
          </cell>
          <cell r="C1033" t="str">
            <v>Year 1</v>
          </cell>
          <cell r="E1033">
            <v>3901300000</v>
          </cell>
        </row>
        <row r="1034">
          <cell r="B1034" t="str">
            <v>MJN</v>
          </cell>
          <cell r="C1034" t="str">
            <v>Year 2</v>
          </cell>
          <cell r="E1034">
            <v>4200700000</v>
          </cell>
        </row>
        <row r="1035">
          <cell r="B1035" t="str">
            <v>MJN</v>
          </cell>
          <cell r="C1035" t="str">
            <v>Year 3</v>
          </cell>
          <cell r="E1035">
            <v>4409300000</v>
          </cell>
        </row>
        <row r="1036">
          <cell r="B1036" t="str">
            <v>MJN</v>
          </cell>
          <cell r="C1036" t="str">
            <v>Year 4</v>
          </cell>
          <cell r="E1036">
            <v>4071300000</v>
          </cell>
        </row>
        <row r="1037">
          <cell r="B1037" t="str">
            <v>MKC</v>
          </cell>
          <cell r="C1037" t="str">
            <v>Year 1</v>
          </cell>
          <cell r="E1037">
            <v>4123400000</v>
          </cell>
        </row>
        <row r="1038">
          <cell r="B1038" t="str">
            <v>MKC</v>
          </cell>
          <cell r="C1038" t="str">
            <v>Year 2</v>
          </cell>
          <cell r="E1038">
            <v>4243200000</v>
          </cell>
        </row>
        <row r="1039">
          <cell r="B1039" t="str">
            <v>MKC</v>
          </cell>
          <cell r="C1039" t="str">
            <v>Year 3</v>
          </cell>
          <cell r="E1039">
            <v>4296300000</v>
          </cell>
        </row>
        <row r="1040">
          <cell r="B1040" t="str">
            <v>MKC</v>
          </cell>
          <cell r="C1040" t="str">
            <v>Year 4</v>
          </cell>
          <cell r="E1040">
            <v>4411500000</v>
          </cell>
        </row>
        <row r="1041">
          <cell r="B1041" t="str">
            <v>MLM</v>
          </cell>
          <cell r="C1041" t="str">
            <v>Year 1</v>
          </cell>
          <cell r="E1041">
            <v>2031901000</v>
          </cell>
        </row>
        <row r="1042">
          <cell r="B1042" t="str">
            <v>MLM</v>
          </cell>
          <cell r="C1042" t="str">
            <v>Year 2</v>
          </cell>
          <cell r="E1042">
            <v>2155551000</v>
          </cell>
        </row>
        <row r="1043">
          <cell r="B1043" t="str">
            <v>MLM</v>
          </cell>
          <cell r="C1043" t="str">
            <v>Year 3</v>
          </cell>
          <cell r="E1043">
            <v>2957951000</v>
          </cell>
        </row>
        <row r="1044">
          <cell r="B1044" t="str">
            <v>MLM</v>
          </cell>
          <cell r="C1044" t="str">
            <v>Year 4</v>
          </cell>
          <cell r="E1044">
            <v>3539570000</v>
          </cell>
        </row>
        <row r="1045">
          <cell r="B1045" t="str">
            <v>MMC</v>
          </cell>
          <cell r="C1045" t="str">
            <v>Year 1</v>
          </cell>
          <cell r="E1045">
            <v>11924000000</v>
          </cell>
        </row>
        <row r="1046">
          <cell r="B1046" t="str">
            <v>MMC</v>
          </cell>
          <cell r="C1046" t="str">
            <v>Year 2</v>
          </cell>
          <cell r="E1046">
            <v>12261000000</v>
          </cell>
        </row>
        <row r="1047">
          <cell r="B1047" t="str">
            <v>MMC</v>
          </cell>
          <cell r="C1047" t="str">
            <v>Year 3</v>
          </cell>
          <cell r="E1047">
            <v>12951000000</v>
          </cell>
        </row>
        <row r="1048">
          <cell r="B1048" t="str">
            <v>MMC</v>
          </cell>
          <cell r="C1048" t="str">
            <v>Year 4</v>
          </cell>
          <cell r="E1048">
            <v>12893000000</v>
          </cell>
        </row>
        <row r="1049">
          <cell r="B1049" t="str">
            <v>MMM</v>
          </cell>
          <cell r="C1049" t="str">
            <v>Year 1</v>
          </cell>
          <cell r="E1049">
            <v>30871000000</v>
          </cell>
        </row>
        <row r="1050">
          <cell r="B1050" t="str">
            <v>MMM</v>
          </cell>
          <cell r="C1050" t="str">
            <v>Year 2</v>
          </cell>
          <cell r="E1050">
            <v>31821000000</v>
          </cell>
        </row>
        <row r="1051">
          <cell r="B1051" t="str">
            <v>MMM</v>
          </cell>
          <cell r="C1051" t="str">
            <v>Year 3</v>
          </cell>
          <cell r="E1051">
            <v>30274000000</v>
          </cell>
        </row>
        <row r="1052">
          <cell r="B1052" t="str">
            <v>MMM</v>
          </cell>
          <cell r="C1052" t="str">
            <v>Year 4</v>
          </cell>
          <cell r="E1052">
            <v>30109000000</v>
          </cell>
        </row>
        <row r="1053">
          <cell r="B1053" t="str">
            <v>MNST</v>
          </cell>
          <cell r="C1053" t="str">
            <v>Year 1</v>
          </cell>
          <cell r="E1053">
            <v>2060702000</v>
          </cell>
        </row>
        <row r="1054">
          <cell r="B1054" t="str">
            <v>MNST</v>
          </cell>
          <cell r="C1054" t="str">
            <v>Year 2</v>
          </cell>
          <cell r="E1054">
            <v>2246428000</v>
          </cell>
        </row>
        <row r="1055">
          <cell r="B1055" t="str">
            <v>MNST</v>
          </cell>
          <cell r="C1055" t="str">
            <v>Year 3</v>
          </cell>
          <cell r="E1055">
            <v>2464867000</v>
          </cell>
        </row>
        <row r="1056">
          <cell r="B1056" t="str">
            <v>MNST</v>
          </cell>
          <cell r="C1056" t="str">
            <v>Year 4</v>
          </cell>
          <cell r="E1056">
            <v>2722564000</v>
          </cell>
        </row>
        <row r="1057">
          <cell r="B1057" t="str">
            <v>MO</v>
          </cell>
          <cell r="C1057" t="str">
            <v>Year 1</v>
          </cell>
          <cell r="E1057">
            <v>24618000000</v>
          </cell>
        </row>
        <row r="1058">
          <cell r="B1058" t="str">
            <v>MO</v>
          </cell>
          <cell r="C1058" t="str">
            <v>Year 2</v>
          </cell>
          <cell r="E1058">
            <v>24466000000</v>
          </cell>
        </row>
        <row r="1059">
          <cell r="B1059" t="str">
            <v>MO</v>
          </cell>
          <cell r="C1059" t="str">
            <v>Year 3</v>
          </cell>
          <cell r="E1059">
            <v>24522000000</v>
          </cell>
        </row>
        <row r="1060">
          <cell r="B1060" t="str">
            <v>MO</v>
          </cell>
          <cell r="C1060" t="str">
            <v>Year 4</v>
          </cell>
          <cell r="E1060">
            <v>25434000000</v>
          </cell>
        </row>
        <row r="1061">
          <cell r="B1061" t="str">
            <v>MON</v>
          </cell>
          <cell r="C1061" t="str">
            <v>Year 1</v>
          </cell>
          <cell r="E1061">
            <v>14861000000</v>
          </cell>
        </row>
        <row r="1062">
          <cell r="B1062" t="str">
            <v>MON</v>
          </cell>
          <cell r="C1062" t="str">
            <v>Year 2</v>
          </cell>
          <cell r="E1062">
            <v>15855000000</v>
          </cell>
        </row>
        <row r="1063">
          <cell r="B1063" t="str">
            <v>MON</v>
          </cell>
          <cell r="C1063" t="str">
            <v>Year 3</v>
          </cell>
          <cell r="E1063">
            <v>15001000000</v>
          </cell>
        </row>
        <row r="1064">
          <cell r="B1064" t="str">
            <v>MON</v>
          </cell>
          <cell r="C1064" t="str">
            <v>Year 4</v>
          </cell>
          <cell r="E1064">
            <v>13502000000</v>
          </cell>
        </row>
        <row r="1065">
          <cell r="B1065" t="str">
            <v>MOS</v>
          </cell>
          <cell r="C1065" t="str">
            <v>Year 1</v>
          </cell>
          <cell r="E1065">
            <v>9974100000</v>
          </cell>
        </row>
        <row r="1066">
          <cell r="B1066" t="str">
            <v>MOS</v>
          </cell>
          <cell r="C1066" t="str">
            <v>Year 2</v>
          </cell>
          <cell r="E1066">
            <v>9055800000</v>
          </cell>
        </row>
        <row r="1067">
          <cell r="B1067" t="str">
            <v>MOS</v>
          </cell>
          <cell r="C1067" t="str">
            <v>Year 3</v>
          </cell>
          <cell r="E1067">
            <v>8895300000</v>
          </cell>
        </row>
        <row r="1068">
          <cell r="B1068" t="str">
            <v>MOS</v>
          </cell>
          <cell r="C1068" t="str">
            <v>Year 4</v>
          </cell>
          <cell r="E1068">
            <v>7162800000</v>
          </cell>
        </row>
        <row r="1069">
          <cell r="B1069" t="str">
            <v>MPC</v>
          </cell>
          <cell r="C1069" t="str">
            <v>Year 1</v>
          </cell>
          <cell r="E1069">
            <v>82243000000</v>
          </cell>
        </row>
        <row r="1070">
          <cell r="B1070" t="str">
            <v>MPC</v>
          </cell>
          <cell r="C1070" t="str">
            <v>Year 2</v>
          </cell>
          <cell r="E1070">
            <v>100160000000</v>
          </cell>
        </row>
        <row r="1071">
          <cell r="B1071" t="str">
            <v>MPC</v>
          </cell>
          <cell r="C1071" t="str">
            <v>Year 3</v>
          </cell>
          <cell r="E1071">
            <v>97817000000</v>
          </cell>
        </row>
        <row r="1072">
          <cell r="B1072" t="str">
            <v>MPC</v>
          </cell>
          <cell r="C1072" t="str">
            <v>Year 4</v>
          </cell>
          <cell r="E1072">
            <v>72051000000</v>
          </cell>
        </row>
        <row r="1073">
          <cell r="B1073" t="str">
            <v>MRK</v>
          </cell>
          <cell r="C1073" t="str">
            <v>Year 1</v>
          </cell>
          <cell r="E1073">
            <v>47267000000</v>
          </cell>
        </row>
        <row r="1074">
          <cell r="B1074" t="str">
            <v>MRK</v>
          </cell>
          <cell r="C1074" t="str">
            <v>Year 2</v>
          </cell>
          <cell r="E1074">
            <v>44033000000</v>
          </cell>
        </row>
        <row r="1075">
          <cell r="B1075" t="str">
            <v>MRK</v>
          </cell>
          <cell r="C1075" t="str">
            <v>Year 3</v>
          </cell>
          <cell r="E1075">
            <v>42237000000</v>
          </cell>
        </row>
        <row r="1076">
          <cell r="B1076" t="str">
            <v>MRK</v>
          </cell>
          <cell r="C1076" t="str">
            <v>Year 4</v>
          </cell>
          <cell r="E1076">
            <v>39498000000</v>
          </cell>
        </row>
        <row r="1077">
          <cell r="B1077" t="str">
            <v>MRO</v>
          </cell>
          <cell r="C1077" t="str">
            <v>Year 1</v>
          </cell>
          <cell r="E1077">
            <v>11966000000</v>
          </cell>
        </row>
        <row r="1078">
          <cell r="B1078" t="str">
            <v>MRO</v>
          </cell>
          <cell r="C1078" t="str">
            <v>Year 2</v>
          </cell>
          <cell r="E1078">
            <v>11325000000</v>
          </cell>
        </row>
        <row r="1079">
          <cell r="B1079" t="str">
            <v>MRO</v>
          </cell>
          <cell r="C1079" t="str">
            <v>Year 3</v>
          </cell>
          <cell r="E1079">
            <v>10846000000</v>
          </cell>
        </row>
        <row r="1080">
          <cell r="B1080" t="str">
            <v>MRO</v>
          </cell>
          <cell r="C1080" t="str">
            <v>Year 4</v>
          </cell>
          <cell r="E1080">
            <v>5522000000</v>
          </cell>
        </row>
        <row r="1081">
          <cell r="B1081" t="str">
            <v>MSFT</v>
          </cell>
          <cell r="C1081" t="str">
            <v>Year 1</v>
          </cell>
          <cell r="E1081">
            <v>77849000000</v>
          </cell>
        </row>
        <row r="1082">
          <cell r="B1082" t="str">
            <v>MSFT</v>
          </cell>
          <cell r="C1082" t="str">
            <v>Year 2</v>
          </cell>
          <cell r="E1082">
            <v>86833000000</v>
          </cell>
        </row>
        <row r="1083">
          <cell r="B1083" t="str">
            <v>MSFT</v>
          </cell>
          <cell r="C1083" t="str">
            <v>Year 3</v>
          </cell>
          <cell r="E1083">
            <v>93580000000</v>
          </cell>
        </row>
        <row r="1084">
          <cell r="B1084" t="str">
            <v>MSFT</v>
          </cell>
          <cell r="C1084" t="str">
            <v>Year 4</v>
          </cell>
          <cell r="E1084">
            <v>85320000000</v>
          </cell>
        </row>
        <row r="1085">
          <cell r="B1085" t="str">
            <v>MTB</v>
          </cell>
          <cell r="C1085" t="str">
            <v>Year 1</v>
          </cell>
          <cell r="E1085">
            <v>4608955000</v>
          </cell>
        </row>
        <row r="1086">
          <cell r="B1086" t="str">
            <v>MTB</v>
          </cell>
          <cell r="C1086" t="str">
            <v>Year 2</v>
          </cell>
          <cell r="E1086">
            <v>4822539000</v>
          </cell>
        </row>
        <row r="1087">
          <cell r="B1087" t="str">
            <v>MTB</v>
          </cell>
          <cell r="C1087" t="str">
            <v>Year 3</v>
          </cell>
          <cell r="E1087">
            <v>4736150000</v>
          </cell>
        </row>
        <row r="1088">
          <cell r="B1088" t="str">
            <v>MTB</v>
          </cell>
          <cell r="C1088" t="str">
            <v>Year 4</v>
          </cell>
          <cell r="E1088">
            <v>4995881000</v>
          </cell>
        </row>
        <row r="1089">
          <cell r="B1089" t="str">
            <v>MTD</v>
          </cell>
          <cell r="C1089" t="str">
            <v>Year 1</v>
          </cell>
          <cell r="E1089">
            <v>2378972000</v>
          </cell>
        </row>
        <row r="1090">
          <cell r="B1090" t="str">
            <v>MTD</v>
          </cell>
          <cell r="C1090" t="str">
            <v>Year 2</v>
          </cell>
          <cell r="E1090">
            <v>2485983000</v>
          </cell>
        </row>
        <row r="1091">
          <cell r="B1091" t="str">
            <v>MTD</v>
          </cell>
          <cell r="C1091" t="str">
            <v>Year 3</v>
          </cell>
          <cell r="E1091">
            <v>2395447000</v>
          </cell>
        </row>
        <row r="1092">
          <cell r="B1092" t="str">
            <v>MTD</v>
          </cell>
          <cell r="C1092" t="str">
            <v>Year 4</v>
          </cell>
          <cell r="E1092">
            <v>2508257000</v>
          </cell>
        </row>
        <row r="1093">
          <cell r="B1093" t="str">
            <v>MU</v>
          </cell>
          <cell r="C1093" t="str">
            <v>Year 1</v>
          </cell>
          <cell r="E1093">
            <v>9073000000</v>
          </cell>
        </row>
        <row r="1094">
          <cell r="B1094" t="str">
            <v>MU</v>
          </cell>
          <cell r="C1094" t="str">
            <v>Year 2</v>
          </cell>
          <cell r="E1094">
            <v>16358000000</v>
          </cell>
        </row>
        <row r="1095">
          <cell r="B1095" t="str">
            <v>MU</v>
          </cell>
          <cell r="C1095" t="str">
            <v>Year 3</v>
          </cell>
          <cell r="E1095">
            <v>16192000000</v>
          </cell>
        </row>
        <row r="1096">
          <cell r="B1096" t="str">
            <v>MU</v>
          </cell>
          <cell r="C1096" t="str">
            <v>Year 4</v>
          </cell>
          <cell r="E1096">
            <v>12399000000</v>
          </cell>
        </row>
        <row r="1097">
          <cell r="B1097" t="str">
            <v>MUR</v>
          </cell>
          <cell r="C1097" t="str">
            <v>Year 1</v>
          </cell>
          <cell r="E1097">
            <v>4608563000</v>
          </cell>
        </row>
        <row r="1098">
          <cell r="B1098" t="str">
            <v>MUR</v>
          </cell>
          <cell r="C1098" t="str">
            <v>Year 2</v>
          </cell>
          <cell r="E1098">
            <v>5312686000</v>
          </cell>
        </row>
        <row r="1099">
          <cell r="B1099" t="str">
            <v>MUR</v>
          </cell>
          <cell r="C1099" t="str">
            <v>Year 3</v>
          </cell>
          <cell r="E1099">
            <v>5288933000</v>
          </cell>
        </row>
        <row r="1100">
          <cell r="B1100" t="str">
            <v>MUR</v>
          </cell>
          <cell r="C1100" t="str">
            <v>Year 4</v>
          </cell>
          <cell r="E1100">
            <v>2787116000</v>
          </cell>
        </row>
        <row r="1101">
          <cell r="B1101" t="str">
            <v>MYL</v>
          </cell>
          <cell r="C1101" t="str">
            <v>Year 1</v>
          </cell>
          <cell r="E1101">
            <v>7719600000</v>
          </cell>
        </row>
        <row r="1102">
          <cell r="B1102" t="str">
            <v>MYL</v>
          </cell>
          <cell r="C1102" t="str">
            <v>Year 2</v>
          </cell>
          <cell r="E1102">
            <v>9429300000</v>
          </cell>
        </row>
        <row r="1103">
          <cell r="B1103" t="str">
            <v>NBL</v>
          </cell>
          <cell r="C1103" t="str">
            <v>Year 1</v>
          </cell>
          <cell r="E1103">
            <v>5015000000</v>
          </cell>
        </row>
        <row r="1104">
          <cell r="B1104" t="str">
            <v>NBL</v>
          </cell>
          <cell r="C1104" t="str">
            <v>Year 2</v>
          </cell>
          <cell r="E1104">
            <v>5115000000</v>
          </cell>
        </row>
        <row r="1105">
          <cell r="B1105" t="str">
            <v>NBL</v>
          </cell>
          <cell r="C1105" t="str">
            <v>Year 3</v>
          </cell>
          <cell r="E1105">
            <v>3183000000</v>
          </cell>
        </row>
        <row r="1106">
          <cell r="B1106" t="str">
            <v>NBL</v>
          </cell>
          <cell r="C1106" t="str">
            <v>Year 4</v>
          </cell>
          <cell r="E1106">
            <v>3491000000</v>
          </cell>
        </row>
        <row r="1107">
          <cell r="B1107" t="str">
            <v>NDAQ</v>
          </cell>
          <cell r="C1107" t="str">
            <v>Year 1</v>
          </cell>
          <cell r="E1107">
            <v>3023000000</v>
          </cell>
        </row>
        <row r="1108">
          <cell r="B1108" t="str">
            <v>NDAQ</v>
          </cell>
          <cell r="C1108" t="str">
            <v>Year 2</v>
          </cell>
          <cell r="E1108">
            <v>3100000000</v>
          </cell>
        </row>
        <row r="1109">
          <cell r="B1109" t="str">
            <v>NDAQ</v>
          </cell>
          <cell r="C1109" t="str">
            <v>Year 3</v>
          </cell>
          <cell r="E1109">
            <v>3383000000</v>
          </cell>
        </row>
        <row r="1110">
          <cell r="B1110" t="str">
            <v>NDAQ</v>
          </cell>
          <cell r="C1110" t="str">
            <v>Year 4</v>
          </cell>
          <cell r="E1110">
            <v>3292000000</v>
          </cell>
        </row>
        <row r="1111">
          <cell r="B1111" t="str">
            <v>NEE</v>
          </cell>
          <cell r="C1111" t="str">
            <v>Year 1</v>
          </cell>
          <cell r="E1111">
            <v>14256000000</v>
          </cell>
        </row>
        <row r="1112">
          <cell r="B1112" t="str">
            <v>NEE</v>
          </cell>
          <cell r="C1112" t="str">
            <v>Year 2</v>
          </cell>
          <cell r="E1112">
            <v>15136000000</v>
          </cell>
        </row>
        <row r="1113">
          <cell r="B1113" t="str">
            <v>NEE</v>
          </cell>
          <cell r="C1113" t="str">
            <v>Year 3</v>
          </cell>
          <cell r="E1113">
            <v>17021000000</v>
          </cell>
        </row>
        <row r="1114">
          <cell r="B1114" t="str">
            <v>NEE</v>
          </cell>
          <cell r="C1114" t="str">
            <v>Year 4</v>
          </cell>
          <cell r="E1114">
            <v>17486000000</v>
          </cell>
        </row>
        <row r="1115">
          <cell r="B1115" t="str">
            <v>NEM</v>
          </cell>
          <cell r="C1115" t="str">
            <v>Year 1</v>
          </cell>
          <cell r="E1115">
            <v>9964000000</v>
          </cell>
        </row>
        <row r="1116">
          <cell r="B1116" t="str">
            <v>NEM</v>
          </cell>
          <cell r="C1116" t="str">
            <v>Year 2</v>
          </cell>
          <cell r="E1116">
            <v>8414000000</v>
          </cell>
        </row>
        <row r="1117">
          <cell r="B1117" t="str">
            <v>NEM</v>
          </cell>
          <cell r="C1117" t="str">
            <v>Year 3</v>
          </cell>
          <cell r="E1117">
            <v>7292000000</v>
          </cell>
        </row>
        <row r="1118">
          <cell r="B1118" t="str">
            <v>NEM</v>
          </cell>
          <cell r="C1118" t="str">
            <v>Year 4</v>
          </cell>
          <cell r="E1118">
            <v>7729000000</v>
          </cell>
        </row>
        <row r="1119">
          <cell r="B1119" t="str">
            <v>NFLX</v>
          </cell>
          <cell r="C1119" t="str">
            <v>Year 1</v>
          </cell>
          <cell r="E1119">
            <v>4374562000</v>
          </cell>
        </row>
        <row r="1120">
          <cell r="B1120" t="str">
            <v>NFLX</v>
          </cell>
          <cell r="C1120" t="str">
            <v>Year 2</v>
          </cell>
          <cell r="E1120">
            <v>5504656000</v>
          </cell>
        </row>
        <row r="1121">
          <cell r="B1121" t="str">
            <v>NFLX</v>
          </cell>
          <cell r="C1121" t="str">
            <v>Year 3</v>
          </cell>
          <cell r="E1121">
            <v>6779511000</v>
          </cell>
        </row>
        <row r="1122">
          <cell r="B1122" t="str">
            <v>NFLX</v>
          </cell>
          <cell r="C1122" t="str">
            <v>Year 4</v>
          </cell>
          <cell r="E1122">
            <v>8830669000</v>
          </cell>
        </row>
        <row r="1123">
          <cell r="B1123" t="str">
            <v>NFX</v>
          </cell>
          <cell r="C1123" t="str">
            <v>Year 1</v>
          </cell>
          <cell r="E1123">
            <v>1562000000</v>
          </cell>
        </row>
        <row r="1124">
          <cell r="B1124" t="str">
            <v>NFX</v>
          </cell>
          <cell r="C1124" t="str">
            <v>Year 2</v>
          </cell>
          <cell r="E1124">
            <v>1857000000</v>
          </cell>
        </row>
        <row r="1125">
          <cell r="B1125" t="str">
            <v>NFX</v>
          </cell>
          <cell r="C1125" t="str">
            <v>Year 3</v>
          </cell>
          <cell r="E1125">
            <v>2288000000</v>
          </cell>
        </row>
        <row r="1126">
          <cell r="B1126" t="str">
            <v>NFX</v>
          </cell>
          <cell r="C1126" t="str">
            <v>Year 4</v>
          </cell>
          <cell r="E1126">
            <v>1557000000</v>
          </cell>
        </row>
        <row r="1127">
          <cell r="B1127" t="str">
            <v>NKE</v>
          </cell>
          <cell r="C1127" t="str">
            <v>Year 1</v>
          </cell>
          <cell r="E1127">
            <v>25313000000</v>
          </cell>
        </row>
        <row r="1128">
          <cell r="B1128" t="str">
            <v>NKE</v>
          </cell>
          <cell r="C1128" t="str">
            <v>Year 2</v>
          </cell>
          <cell r="E1128">
            <v>27799000000</v>
          </cell>
        </row>
        <row r="1129">
          <cell r="B1129" t="str">
            <v>NKE</v>
          </cell>
          <cell r="C1129" t="str">
            <v>Year 3</v>
          </cell>
          <cell r="E1129">
            <v>30601000000</v>
          </cell>
        </row>
        <row r="1130">
          <cell r="B1130" t="str">
            <v>NKE</v>
          </cell>
          <cell r="C1130" t="str">
            <v>Year 4</v>
          </cell>
          <cell r="E1130">
            <v>32376000000</v>
          </cell>
        </row>
        <row r="1131">
          <cell r="B1131" t="str">
            <v>NLSN</v>
          </cell>
          <cell r="C1131" t="str">
            <v>Year 1</v>
          </cell>
          <cell r="E1131">
            <v>5703000000</v>
          </cell>
        </row>
        <row r="1132">
          <cell r="B1132" t="str">
            <v>NLSN</v>
          </cell>
          <cell r="C1132" t="str">
            <v>Year 2</v>
          </cell>
          <cell r="E1132">
            <v>6288000000</v>
          </cell>
        </row>
        <row r="1133">
          <cell r="B1133" t="str">
            <v>NLSN</v>
          </cell>
          <cell r="C1133" t="str">
            <v>Year 3</v>
          </cell>
          <cell r="E1133">
            <v>6172000000</v>
          </cell>
        </row>
        <row r="1134">
          <cell r="B1134" t="str">
            <v>NLSN</v>
          </cell>
          <cell r="C1134" t="str">
            <v>Year 4</v>
          </cell>
          <cell r="E1134">
            <v>6309000000</v>
          </cell>
        </row>
        <row r="1135">
          <cell r="B1135" t="str">
            <v>NOV</v>
          </cell>
          <cell r="C1135" t="str">
            <v>Year 1</v>
          </cell>
          <cell r="E1135">
            <v>17194000000</v>
          </cell>
        </row>
        <row r="1136">
          <cell r="B1136" t="str">
            <v>NOV</v>
          </cell>
          <cell r="C1136" t="str">
            <v>Year 2</v>
          </cell>
          <cell r="E1136">
            <v>19221000000</v>
          </cell>
        </row>
        <row r="1137">
          <cell r="B1137" t="str">
            <v>NOV</v>
          </cell>
          <cell r="C1137" t="str">
            <v>Year 3</v>
          </cell>
          <cell r="E1137">
            <v>21440000000</v>
          </cell>
        </row>
        <row r="1138">
          <cell r="B1138" t="str">
            <v>NOV</v>
          </cell>
          <cell r="C1138" t="str">
            <v>Year 4</v>
          </cell>
          <cell r="E1138">
            <v>14757000000</v>
          </cell>
        </row>
        <row r="1139">
          <cell r="B1139" t="str">
            <v>NSC</v>
          </cell>
          <cell r="C1139" t="str">
            <v>Year 1</v>
          </cell>
          <cell r="E1139">
            <v>11245000000</v>
          </cell>
        </row>
        <row r="1140">
          <cell r="B1140" t="str">
            <v>NSC</v>
          </cell>
          <cell r="C1140" t="str">
            <v>Year 2</v>
          </cell>
          <cell r="E1140">
            <v>11624000000</v>
          </cell>
        </row>
        <row r="1141">
          <cell r="B1141" t="str">
            <v>NSC</v>
          </cell>
          <cell r="C1141" t="str">
            <v>Year 3</v>
          </cell>
          <cell r="E1141">
            <v>10511000000</v>
          </cell>
        </row>
        <row r="1142">
          <cell r="B1142" t="str">
            <v>NSC</v>
          </cell>
          <cell r="C1142" t="str">
            <v>Year 4</v>
          </cell>
          <cell r="E1142">
            <v>9888000000</v>
          </cell>
        </row>
        <row r="1143">
          <cell r="B1143" t="str">
            <v>NTAP</v>
          </cell>
          <cell r="C1143" t="str">
            <v>Year 1</v>
          </cell>
          <cell r="E1143">
            <v>6332400000</v>
          </cell>
        </row>
        <row r="1144">
          <cell r="B1144" t="str">
            <v>NTAP</v>
          </cell>
          <cell r="C1144" t="str">
            <v>Year 2</v>
          </cell>
          <cell r="E1144">
            <v>6325000000</v>
          </cell>
        </row>
        <row r="1145">
          <cell r="B1145" t="str">
            <v>NTAP</v>
          </cell>
          <cell r="C1145" t="str">
            <v>Year 3</v>
          </cell>
          <cell r="E1145">
            <v>6123000000</v>
          </cell>
        </row>
        <row r="1146">
          <cell r="B1146" t="str">
            <v>NTAP</v>
          </cell>
          <cell r="C1146" t="str">
            <v>Year 4</v>
          </cell>
          <cell r="E1146">
            <v>5546000000</v>
          </cell>
        </row>
        <row r="1147">
          <cell r="B1147" t="str">
            <v>NUE</v>
          </cell>
          <cell r="C1147" t="str">
            <v>Year 1</v>
          </cell>
          <cell r="E1147">
            <v>19429273000</v>
          </cell>
        </row>
        <row r="1148">
          <cell r="B1148" t="str">
            <v>NUE</v>
          </cell>
          <cell r="C1148" t="str">
            <v>Year 2</v>
          </cell>
          <cell r="E1148">
            <v>19052046000</v>
          </cell>
        </row>
        <row r="1149">
          <cell r="B1149" t="str">
            <v>NUE</v>
          </cell>
          <cell r="C1149" t="str">
            <v>Year 3</v>
          </cell>
          <cell r="E1149">
            <v>21105141000</v>
          </cell>
        </row>
        <row r="1150">
          <cell r="B1150" t="str">
            <v>NUE</v>
          </cell>
          <cell r="C1150" t="str">
            <v>Year 4</v>
          </cell>
          <cell r="E1150">
            <v>16439276000</v>
          </cell>
        </row>
        <row r="1151">
          <cell r="B1151" t="str">
            <v>NVDA</v>
          </cell>
          <cell r="C1151" t="str">
            <v>Year 1</v>
          </cell>
          <cell r="E1151">
            <v>4280159000</v>
          </cell>
        </row>
        <row r="1152">
          <cell r="B1152" t="str">
            <v>NVDA</v>
          </cell>
          <cell r="C1152" t="str">
            <v>Year 2</v>
          </cell>
          <cell r="E1152">
            <v>4130000000</v>
          </cell>
        </row>
        <row r="1153">
          <cell r="B1153" t="str">
            <v>NVDA</v>
          </cell>
          <cell r="C1153" t="str">
            <v>Year 3</v>
          </cell>
          <cell r="E1153">
            <v>4682000000</v>
          </cell>
        </row>
        <row r="1154">
          <cell r="B1154" t="str">
            <v>NVDA</v>
          </cell>
          <cell r="C1154" t="str">
            <v>Year 4</v>
          </cell>
          <cell r="E1154">
            <v>5010000000</v>
          </cell>
        </row>
        <row r="1155">
          <cell r="B1155" t="str">
            <v>NWL</v>
          </cell>
          <cell r="C1155" t="str">
            <v>Year 1</v>
          </cell>
          <cell r="E1155">
            <v>5508500000</v>
          </cell>
        </row>
        <row r="1156">
          <cell r="B1156" t="str">
            <v>NWL</v>
          </cell>
          <cell r="C1156" t="str">
            <v>Year 2</v>
          </cell>
          <cell r="E1156">
            <v>5607000000</v>
          </cell>
        </row>
        <row r="1157">
          <cell r="B1157" t="str">
            <v>NWL</v>
          </cell>
          <cell r="C1157" t="str">
            <v>Year 3</v>
          </cell>
          <cell r="E1157">
            <v>5727000000</v>
          </cell>
        </row>
        <row r="1158">
          <cell r="B1158" t="str">
            <v>NWL</v>
          </cell>
          <cell r="C1158" t="str">
            <v>Year 4</v>
          </cell>
          <cell r="E1158">
            <v>5915700000</v>
          </cell>
        </row>
        <row r="1159">
          <cell r="B1159" t="str">
            <v>O</v>
          </cell>
          <cell r="C1159" t="str">
            <v>Year 1</v>
          </cell>
          <cell r="E1159">
            <v>484581000</v>
          </cell>
        </row>
        <row r="1160">
          <cell r="B1160" t="str">
            <v>O</v>
          </cell>
          <cell r="C1160" t="str">
            <v>Year 2</v>
          </cell>
          <cell r="E1160">
            <v>780209000</v>
          </cell>
        </row>
        <row r="1161">
          <cell r="B1161" t="str">
            <v>O</v>
          </cell>
          <cell r="C1161" t="str">
            <v>Year 3</v>
          </cell>
          <cell r="E1161">
            <v>933505000</v>
          </cell>
        </row>
        <row r="1162">
          <cell r="B1162" t="str">
            <v>O</v>
          </cell>
          <cell r="C1162" t="str">
            <v>Year 4</v>
          </cell>
          <cell r="E1162">
            <v>1023285000</v>
          </cell>
        </row>
        <row r="1163">
          <cell r="B1163" t="str">
            <v>OKE</v>
          </cell>
          <cell r="C1163" t="str">
            <v>Year 1</v>
          </cell>
          <cell r="E1163">
            <v>10184121000</v>
          </cell>
        </row>
        <row r="1164">
          <cell r="B1164" t="str">
            <v>OKE</v>
          </cell>
          <cell r="C1164" t="str">
            <v>Year 2</v>
          </cell>
          <cell r="E1164">
            <v>11871879000</v>
          </cell>
        </row>
        <row r="1165">
          <cell r="B1165" t="str">
            <v>OKE</v>
          </cell>
          <cell r="C1165" t="str">
            <v>Year 3</v>
          </cell>
          <cell r="E1165">
            <v>12195091000</v>
          </cell>
        </row>
        <row r="1166">
          <cell r="B1166" t="str">
            <v>OKE</v>
          </cell>
          <cell r="C1166" t="str">
            <v>Year 4</v>
          </cell>
          <cell r="E1166">
            <v>7763206000</v>
          </cell>
        </row>
        <row r="1167">
          <cell r="B1167" t="str">
            <v>OMC</v>
          </cell>
          <cell r="C1167" t="str">
            <v>Year 1</v>
          </cell>
          <cell r="E1167">
            <v>15317800000</v>
          </cell>
        </row>
        <row r="1168">
          <cell r="B1168" t="str">
            <v>OMC</v>
          </cell>
          <cell r="C1168" t="str">
            <v>Year 2</v>
          </cell>
          <cell r="E1168">
            <v>15134400000</v>
          </cell>
        </row>
        <row r="1169">
          <cell r="B1169" t="str">
            <v>OMC</v>
          </cell>
          <cell r="C1169" t="str">
            <v>Year 3</v>
          </cell>
          <cell r="E1169">
            <v>15416900000</v>
          </cell>
        </row>
        <row r="1170">
          <cell r="B1170" t="str">
            <v>ORLY</v>
          </cell>
          <cell r="C1170" t="str">
            <v>Year 1</v>
          </cell>
          <cell r="E1170">
            <v>6182184000</v>
          </cell>
        </row>
        <row r="1171">
          <cell r="B1171" t="str">
            <v>ORLY</v>
          </cell>
          <cell r="C1171" t="str">
            <v>Year 2</v>
          </cell>
          <cell r="E1171">
            <v>6649237000</v>
          </cell>
        </row>
        <row r="1172">
          <cell r="B1172" t="str">
            <v>ORLY</v>
          </cell>
          <cell r="C1172" t="str">
            <v>Year 3</v>
          </cell>
          <cell r="E1172">
            <v>7216081000</v>
          </cell>
        </row>
        <row r="1173">
          <cell r="B1173" t="str">
            <v>ORLY</v>
          </cell>
          <cell r="C1173" t="str">
            <v>Year 4</v>
          </cell>
          <cell r="E1173">
            <v>7966674000</v>
          </cell>
        </row>
        <row r="1174">
          <cell r="B1174" t="str">
            <v>OXY</v>
          </cell>
          <cell r="C1174" t="str">
            <v>Year 1</v>
          </cell>
          <cell r="E1174">
            <v>20100000000</v>
          </cell>
        </row>
        <row r="1175">
          <cell r="B1175" t="str">
            <v>OXY</v>
          </cell>
          <cell r="C1175" t="str">
            <v>Year 2</v>
          </cell>
          <cell r="E1175">
            <v>20170000000</v>
          </cell>
        </row>
        <row r="1176">
          <cell r="B1176" t="str">
            <v>OXY</v>
          </cell>
          <cell r="C1176" t="str">
            <v>Year 3</v>
          </cell>
          <cell r="E1176">
            <v>19312000000</v>
          </cell>
        </row>
        <row r="1177">
          <cell r="B1177" t="str">
            <v>OXY</v>
          </cell>
          <cell r="C1177" t="str">
            <v>Year 4</v>
          </cell>
          <cell r="E1177">
            <v>12480000000</v>
          </cell>
        </row>
        <row r="1178">
          <cell r="B1178" t="str">
            <v>PBCT</v>
          </cell>
          <cell r="C1178" t="str">
            <v>Year 1</v>
          </cell>
          <cell r="E1178">
            <v>1355300000</v>
          </cell>
        </row>
        <row r="1179">
          <cell r="B1179" t="str">
            <v>PBCT</v>
          </cell>
          <cell r="C1179" t="str">
            <v>Year 2</v>
          </cell>
          <cell r="E1179">
            <v>1346100000</v>
          </cell>
        </row>
        <row r="1180">
          <cell r="B1180" t="str">
            <v>PBCT</v>
          </cell>
          <cell r="C1180" t="str">
            <v>Year 3</v>
          </cell>
          <cell r="E1180">
            <v>1381400000</v>
          </cell>
        </row>
        <row r="1181">
          <cell r="B1181" t="str">
            <v>PBCT</v>
          </cell>
          <cell r="C1181" t="str">
            <v>Year 4</v>
          </cell>
          <cell r="E1181">
            <v>1421300000</v>
          </cell>
        </row>
        <row r="1182">
          <cell r="B1182" t="str">
            <v>PBI</v>
          </cell>
          <cell r="C1182" t="str">
            <v>Year 1</v>
          </cell>
          <cell r="E1182">
            <v>3823713000</v>
          </cell>
        </row>
        <row r="1183">
          <cell r="B1183" t="str">
            <v>PBI</v>
          </cell>
          <cell r="C1183" t="str">
            <v>Year 2</v>
          </cell>
          <cell r="E1183">
            <v>3791335000</v>
          </cell>
        </row>
        <row r="1184">
          <cell r="B1184" t="str">
            <v>PBI</v>
          </cell>
          <cell r="C1184" t="str">
            <v>Year 3</v>
          </cell>
          <cell r="E1184">
            <v>3821504000</v>
          </cell>
        </row>
        <row r="1185">
          <cell r="B1185" t="str">
            <v>PBI</v>
          </cell>
          <cell r="C1185" t="str">
            <v>Year 4</v>
          </cell>
          <cell r="E1185">
            <v>3578060000</v>
          </cell>
        </row>
        <row r="1186">
          <cell r="B1186" t="str">
            <v>PCAR</v>
          </cell>
          <cell r="C1186" t="str">
            <v>Year 1</v>
          </cell>
          <cell r="E1186">
            <v>16596800000</v>
          </cell>
        </row>
        <row r="1187">
          <cell r="B1187" t="str">
            <v>PCAR</v>
          </cell>
          <cell r="C1187" t="str">
            <v>Year 2</v>
          </cell>
          <cell r="E1187">
            <v>16661000000</v>
          </cell>
        </row>
        <row r="1188">
          <cell r="B1188" t="str">
            <v>PCAR</v>
          </cell>
          <cell r="C1188" t="str">
            <v>Year 3</v>
          </cell>
          <cell r="E1188">
            <v>18534400000</v>
          </cell>
        </row>
        <row r="1189">
          <cell r="B1189" t="str">
            <v>PCAR</v>
          </cell>
          <cell r="C1189" t="str">
            <v>Year 4</v>
          </cell>
          <cell r="E1189">
            <v>18671300000</v>
          </cell>
        </row>
        <row r="1190">
          <cell r="B1190" t="str">
            <v>PCG</v>
          </cell>
          <cell r="C1190" t="str">
            <v>Year 1</v>
          </cell>
          <cell r="E1190">
            <v>15598000000</v>
          </cell>
        </row>
        <row r="1191">
          <cell r="B1191" t="str">
            <v>PCG</v>
          </cell>
          <cell r="C1191" t="str">
            <v>Year 2</v>
          </cell>
          <cell r="E1191">
            <v>17090000000</v>
          </cell>
        </row>
        <row r="1192">
          <cell r="B1192" t="str">
            <v>PCG</v>
          </cell>
          <cell r="C1192" t="str">
            <v>Year 3</v>
          </cell>
          <cell r="E1192">
            <v>16833000000</v>
          </cell>
        </row>
        <row r="1193">
          <cell r="B1193" t="str">
            <v>PCG</v>
          </cell>
          <cell r="C1193" t="str">
            <v>Year 4</v>
          </cell>
          <cell r="E1193">
            <v>17666000000</v>
          </cell>
        </row>
        <row r="1194">
          <cell r="B1194" t="str">
            <v>PCLN</v>
          </cell>
          <cell r="C1194" t="str">
            <v>Year 1</v>
          </cell>
          <cell r="E1194">
            <v>5260956000</v>
          </cell>
        </row>
        <row r="1195">
          <cell r="B1195" t="str">
            <v>PCLN</v>
          </cell>
          <cell r="C1195" t="str">
            <v>Year 2</v>
          </cell>
          <cell r="E1195">
            <v>6793306000</v>
          </cell>
        </row>
        <row r="1196">
          <cell r="B1196" t="str">
            <v>PCLN</v>
          </cell>
          <cell r="C1196" t="str">
            <v>Year 3</v>
          </cell>
          <cell r="E1196">
            <v>8441971000</v>
          </cell>
        </row>
        <row r="1197">
          <cell r="B1197" t="str">
            <v>PCLN</v>
          </cell>
          <cell r="C1197" t="str">
            <v>Year 4</v>
          </cell>
          <cell r="E1197">
            <v>9223987000</v>
          </cell>
        </row>
        <row r="1198">
          <cell r="B1198" t="str">
            <v>PDCO</v>
          </cell>
          <cell r="C1198" t="str">
            <v>Year 1</v>
          </cell>
          <cell r="E1198">
            <v>3637212000</v>
          </cell>
        </row>
        <row r="1199">
          <cell r="B1199" t="str">
            <v>PDCO</v>
          </cell>
          <cell r="C1199" t="str">
            <v>Year 2</v>
          </cell>
          <cell r="E1199">
            <v>3585141000</v>
          </cell>
        </row>
        <row r="1200">
          <cell r="B1200" t="str">
            <v>PDCO</v>
          </cell>
          <cell r="C1200" t="str">
            <v>Year 3</v>
          </cell>
          <cell r="E1200">
            <v>3910865000</v>
          </cell>
        </row>
        <row r="1201">
          <cell r="B1201" t="str">
            <v>PDCO</v>
          </cell>
          <cell r="C1201" t="str">
            <v>Year 4</v>
          </cell>
          <cell r="E1201">
            <v>5386703000</v>
          </cell>
        </row>
        <row r="1202">
          <cell r="B1202" t="str">
            <v>PEG</v>
          </cell>
          <cell r="C1202" t="str">
            <v>Year 1</v>
          </cell>
          <cell r="E1202">
            <v>9781000000</v>
          </cell>
        </row>
        <row r="1203">
          <cell r="B1203" t="str">
            <v>PEG</v>
          </cell>
          <cell r="C1203" t="str">
            <v>Year 2</v>
          </cell>
          <cell r="E1203">
            <v>9968000000</v>
          </cell>
        </row>
        <row r="1204">
          <cell r="B1204" t="str">
            <v>PEG</v>
          </cell>
          <cell r="C1204" t="str">
            <v>Year 3</v>
          </cell>
          <cell r="E1204">
            <v>10886000000</v>
          </cell>
        </row>
        <row r="1205">
          <cell r="B1205" t="str">
            <v>PEG</v>
          </cell>
          <cell r="C1205" t="str">
            <v>Year 4</v>
          </cell>
          <cell r="E1205">
            <v>10415000000</v>
          </cell>
        </row>
        <row r="1206">
          <cell r="B1206" t="str">
            <v>PEP</v>
          </cell>
          <cell r="C1206" t="str">
            <v>Year 1</v>
          </cell>
          <cell r="E1206">
            <v>66415000000</v>
          </cell>
        </row>
        <row r="1207">
          <cell r="B1207" t="str">
            <v>PEP</v>
          </cell>
          <cell r="C1207" t="str">
            <v>Year 2</v>
          </cell>
          <cell r="E1207">
            <v>66683000000</v>
          </cell>
        </row>
        <row r="1208">
          <cell r="B1208" t="str">
            <v>PEP</v>
          </cell>
          <cell r="C1208" t="str">
            <v>Year 3</v>
          </cell>
          <cell r="E1208">
            <v>63056000000</v>
          </cell>
        </row>
        <row r="1209">
          <cell r="B1209" t="str">
            <v>PEP</v>
          </cell>
          <cell r="C1209" t="str">
            <v>Year 4</v>
          </cell>
          <cell r="E1209">
            <v>62799000000</v>
          </cell>
        </row>
        <row r="1210">
          <cell r="B1210" t="str">
            <v>PFE</v>
          </cell>
          <cell r="C1210" t="str">
            <v>Year 1</v>
          </cell>
          <cell r="E1210">
            <v>54657000000</v>
          </cell>
        </row>
        <row r="1211">
          <cell r="B1211" t="str">
            <v>PFE</v>
          </cell>
          <cell r="C1211" t="str">
            <v>Year 2</v>
          </cell>
          <cell r="E1211">
            <v>51584000000</v>
          </cell>
        </row>
        <row r="1212">
          <cell r="B1212" t="str">
            <v>PFE</v>
          </cell>
          <cell r="C1212" t="str">
            <v>Year 3</v>
          </cell>
          <cell r="E1212">
            <v>49605000000</v>
          </cell>
        </row>
        <row r="1213">
          <cell r="B1213" t="str">
            <v>PFE</v>
          </cell>
          <cell r="C1213" t="str">
            <v>Year 4</v>
          </cell>
          <cell r="E1213">
            <v>48851000000</v>
          </cell>
        </row>
        <row r="1214">
          <cell r="B1214" t="str">
            <v>PFG</v>
          </cell>
          <cell r="C1214" t="str">
            <v>Year 1</v>
          </cell>
          <cell r="E1214">
            <v>9289500000</v>
          </cell>
        </row>
        <row r="1215">
          <cell r="B1215" t="str">
            <v>PFG</v>
          </cell>
          <cell r="C1215" t="str">
            <v>Year 2</v>
          </cell>
          <cell r="E1215">
            <v>10477600000</v>
          </cell>
        </row>
        <row r="1216">
          <cell r="B1216" t="str">
            <v>PFG</v>
          </cell>
          <cell r="C1216" t="str">
            <v>Year 3</v>
          </cell>
          <cell r="E1216">
            <v>11964400000</v>
          </cell>
        </row>
        <row r="1217">
          <cell r="B1217" t="str">
            <v>PFG</v>
          </cell>
          <cell r="C1217" t="str">
            <v>Year 4</v>
          </cell>
          <cell r="E1217">
            <v>12394100000</v>
          </cell>
        </row>
        <row r="1218">
          <cell r="B1218" t="str">
            <v>PG</v>
          </cell>
          <cell r="C1218" t="str">
            <v>Year 1</v>
          </cell>
          <cell r="E1218">
            <v>2104745000</v>
          </cell>
        </row>
        <row r="1219">
          <cell r="B1219" t="str">
            <v>PG</v>
          </cell>
          <cell r="C1219" t="str">
            <v>Year 2</v>
          </cell>
          <cell r="E1219">
            <v>2819557000</v>
          </cell>
        </row>
        <row r="1220">
          <cell r="B1220" t="str">
            <v>PG</v>
          </cell>
          <cell r="C1220" t="str">
            <v>Year 3</v>
          </cell>
          <cell r="E1220">
            <v>4103728000</v>
          </cell>
        </row>
        <row r="1221">
          <cell r="B1221" t="str">
            <v>PG</v>
          </cell>
          <cell r="C1221" t="str">
            <v>Year 4</v>
          </cell>
          <cell r="E1221">
            <v>4860427000</v>
          </cell>
        </row>
        <row r="1222">
          <cell r="B1222" t="str">
            <v>PGR</v>
          </cell>
          <cell r="C1222" t="str">
            <v>Year 1</v>
          </cell>
          <cell r="E1222">
            <v>17083900000</v>
          </cell>
        </row>
        <row r="1223">
          <cell r="B1223" t="str">
            <v>PGR</v>
          </cell>
          <cell r="C1223" t="str">
            <v>Year 2</v>
          </cell>
          <cell r="E1223">
            <v>18170900000</v>
          </cell>
        </row>
        <row r="1224">
          <cell r="B1224" t="str">
            <v>PGR</v>
          </cell>
          <cell r="C1224" t="str">
            <v>Year 3</v>
          </cell>
          <cell r="E1224">
            <v>19391400000</v>
          </cell>
        </row>
        <row r="1225">
          <cell r="B1225" t="str">
            <v>PGR</v>
          </cell>
          <cell r="C1225" t="str">
            <v>Year 4</v>
          </cell>
          <cell r="E1225">
            <v>20853800000</v>
          </cell>
        </row>
        <row r="1226">
          <cell r="B1226" t="str">
            <v>PH</v>
          </cell>
          <cell r="C1226" t="str">
            <v>Year 1</v>
          </cell>
          <cell r="E1226">
            <v>13015704000</v>
          </cell>
        </row>
        <row r="1227">
          <cell r="B1227" t="str">
            <v>PH</v>
          </cell>
          <cell r="C1227" t="str">
            <v>Year 2</v>
          </cell>
          <cell r="E1227">
            <v>13215971000</v>
          </cell>
        </row>
        <row r="1228">
          <cell r="B1228" t="str">
            <v>PH</v>
          </cell>
          <cell r="C1228" t="str">
            <v>Year 3</v>
          </cell>
          <cell r="E1228">
            <v>12711744000</v>
          </cell>
        </row>
        <row r="1229">
          <cell r="B1229" t="str">
            <v>PH</v>
          </cell>
          <cell r="C1229" t="str">
            <v>Year 4</v>
          </cell>
          <cell r="E1229">
            <v>11360753000</v>
          </cell>
        </row>
        <row r="1230">
          <cell r="B1230" t="str">
            <v>PHM</v>
          </cell>
          <cell r="C1230" t="str">
            <v>Year 1</v>
          </cell>
          <cell r="E1230">
            <v>5679595000</v>
          </cell>
        </row>
        <row r="1231">
          <cell r="B1231" t="str">
            <v>PHM</v>
          </cell>
          <cell r="C1231" t="str">
            <v>Year 2</v>
          </cell>
          <cell r="E1231">
            <v>5822363000</v>
          </cell>
        </row>
        <row r="1232">
          <cell r="B1232" t="str">
            <v>PHM</v>
          </cell>
          <cell r="C1232" t="str">
            <v>Year 3</v>
          </cell>
          <cell r="E1232">
            <v>5981964000</v>
          </cell>
        </row>
        <row r="1233">
          <cell r="B1233" t="str">
            <v>PHM</v>
          </cell>
          <cell r="C1233" t="str">
            <v>Year 4</v>
          </cell>
          <cell r="E1233">
            <v>7668476000</v>
          </cell>
        </row>
        <row r="1234">
          <cell r="B1234" t="str">
            <v>PKI</v>
          </cell>
          <cell r="C1234" t="str">
            <v>Year 1</v>
          </cell>
          <cell r="E1234">
            <v>2105188000</v>
          </cell>
        </row>
        <row r="1235">
          <cell r="B1235" t="str">
            <v>PKI</v>
          </cell>
          <cell r="C1235" t="str">
            <v>Year 2</v>
          </cell>
          <cell r="E1235">
            <v>2157586000</v>
          </cell>
        </row>
        <row r="1236">
          <cell r="B1236" t="str">
            <v>PKI</v>
          </cell>
          <cell r="C1236" t="str">
            <v>Year 3</v>
          </cell>
          <cell r="E1236">
            <v>2237219000</v>
          </cell>
        </row>
        <row r="1237">
          <cell r="B1237" t="str">
            <v>PKI</v>
          </cell>
          <cell r="C1237" t="str">
            <v>Year 4</v>
          </cell>
          <cell r="E1237">
            <v>2262359000</v>
          </cell>
        </row>
        <row r="1238">
          <cell r="B1238" t="str">
            <v>PM</v>
          </cell>
          <cell r="C1238" t="str">
            <v>Year 1</v>
          </cell>
          <cell r="E1238">
            <v>80029000000</v>
          </cell>
        </row>
        <row r="1239">
          <cell r="B1239" t="str">
            <v>PM</v>
          </cell>
          <cell r="C1239" t="str">
            <v>Year 2</v>
          </cell>
          <cell r="E1239">
            <v>80106000000</v>
          </cell>
        </row>
        <row r="1240">
          <cell r="B1240" t="str">
            <v>PM</v>
          </cell>
          <cell r="C1240" t="str">
            <v>Year 3</v>
          </cell>
          <cell r="E1240">
            <v>73908000000</v>
          </cell>
        </row>
        <row r="1241">
          <cell r="B1241" t="str">
            <v>PM</v>
          </cell>
          <cell r="C1241" t="str">
            <v>Year 4</v>
          </cell>
          <cell r="E1241">
            <v>74953000000</v>
          </cell>
        </row>
        <row r="1242">
          <cell r="B1242" t="str">
            <v>PNC</v>
          </cell>
          <cell r="C1242" t="str">
            <v>Year 1</v>
          </cell>
          <cell r="E1242">
            <v>16606000000</v>
          </cell>
        </row>
        <row r="1243">
          <cell r="B1243" t="str">
            <v>PNC</v>
          </cell>
          <cell r="C1243" t="str">
            <v>Year 2</v>
          </cell>
          <cell r="E1243">
            <v>16872000000</v>
          </cell>
        </row>
        <row r="1244">
          <cell r="B1244" t="str">
            <v>PNC</v>
          </cell>
          <cell r="C1244" t="str">
            <v>Year 3</v>
          </cell>
          <cell r="E1244">
            <v>16281000000</v>
          </cell>
        </row>
        <row r="1245">
          <cell r="B1245" t="str">
            <v>PNC</v>
          </cell>
          <cell r="C1245" t="str">
            <v>Year 4</v>
          </cell>
          <cell r="E1245">
            <v>16270000000</v>
          </cell>
        </row>
        <row r="1246">
          <cell r="B1246" t="str">
            <v>PNR</v>
          </cell>
          <cell r="C1246" t="str">
            <v>Year 1</v>
          </cell>
          <cell r="E1246">
            <v>4306800000</v>
          </cell>
        </row>
        <row r="1247">
          <cell r="B1247" t="str">
            <v>PNR</v>
          </cell>
          <cell r="C1247" t="str">
            <v>Year 2</v>
          </cell>
          <cell r="E1247">
            <v>6999700000</v>
          </cell>
        </row>
        <row r="1248">
          <cell r="B1248" t="str">
            <v>PNR</v>
          </cell>
          <cell r="C1248" t="str">
            <v>Year 3</v>
          </cell>
          <cell r="E1248">
            <v>7039000000</v>
          </cell>
        </row>
        <row r="1249">
          <cell r="B1249" t="str">
            <v>PNR</v>
          </cell>
          <cell r="C1249" t="str">
            <v>Year 4</v>
          </cell>
          <cell r="E1249">
            <v>6449000000</v>
          </cell>
        </row>
        <row r="1250">
          <cell r="B1250" t="str">
            <v>PNW</v>
          </cell>
          <cell r="C1250" t="str">
            <v>Year 1</v>
          </cell>
          <cell r="E1250">
            <v>3301804000</v>
          </cell>
        </row>
        <row r="1251">
          <cell r="B1251" t="str">
            <v>PNW</v>
          </cell>
          <cell r="C1251" t="str">
            <v>Year 2</v>
          </cell>
          <cell r="E1251">
            <v>3454628000</v>
          </cell>
        </row>
        <row r="1252">
          <cell r="B1252" t="str">
            <v>PNW</v>
          </cell>
          <cell r="C1252" t="str">
            <v>Year 3</v>
          </cell>
          <cell r="E1252">
            <v>3491632000</v>
          </cell>
        </row>
        <row r="1253">
          <cell r="B1253" t="str">
            <v>PNW</v>
          </cell>
          <cell r="C1253" t="str">
            <v>Year 4</v>
          </cell>
          <cell r="E1253">
            <v>3495443000</v>
          </cell>
        </row>
        <row r="1254">
          <cell r="B1254" t="str">
            <v>PPG</v>
          </cell>
          <cell r="C1254" t="str">
            <v>Year 1</v>
          </cell>
          <cell r="E1254">
            <v>14265000000</v>
          </cell>
        </row>
        <row r="1255">
          <cell r="B1255" t="str">
            <v>PPG</v>
          </cell>
          <cell r="C1255" t="str">
            <v>Year 2</v>
          </cell>
          <cell r="E1255">
            <v>14791000000</v>
          </cell>
        </row>
        <row r="1256">
          <cell r="B1256" t="str">
            <v>PPG</v>
          </cell>
          <cell r="C1256" t="str">
            <v>Year 3</v>
          </cell>
          <cell r="E1256">
            <v>14766000000</v>
          </cell>
        </row>
        <row r="1257">
          <cell r="B1257" t="str">
            <v>PPG</v>
          </cell>
          <cell r="C1257" t="str">
            <v>Year 4</v>
          </cell>
          <cell r="E1257">
            <v>14751000000</v>
          </cell>
        </row>
        <row r="1258">
          <cell r="B1258" t="str">
            <v>PPL</v>
          </cell>
          <cell r="C1258" t="str">
            <v>Year 1</v>
          </cell>
          <cell r="E1258">
            <v>12132000000</v>
          </cell>
        </row>
        <row r="1259">
          <cell r="B1259" t="str">
            <v>PPL</v>
          </cell>
          <cell r="C1259" t="str">
            <v>Year 2</v>
          </cell>
          <cell r="E1259">
            <v>7263000000</v>
          </cell>
        </row>
        <row r="1260">
          <cell r="B1260" t="str">
            <v>PPL</v>
          </cell>
          <cell r="C1260" t="str">
            <v>Year 3</v>
          </cell>
          <cell r="E1260">
            <v>7852000000</v>
          </cell>
        </row>
        <row r="1261">
          <cell r="B1261" t="str">
            <v>PPL</v>
          </cell>
          <cell r="C1261" t="str">
            <v>Year 4</v>
          </cell>
          <cell r="E1261">
            <v>7669000000</v>
          </cell>
        </row>
        <row r="1262">
          <cell r="B1262" t="str">
            <v>PRU</v>
          </cell>
          <cell r="C1262" t="str">
            <v>Year 1</v>
          </cell>
          <cell r="E1262">
            <v>84847000000</v>
          </cell>
        </row>
        <row r="1263">
          <cell r="B1263" t="str">
            <v>PRU</v>
          </cell>
          <cell r="C1263" t="str">
            <v>Year 2</v>
          </cell>
          <cell r="E1263">
            <v>41461000000</v>
          </cell>
        </row>
        <row r="1264">
          <cell r="B1264" t="str">
            <v>PRU</v>
          </cell>
          <cell r="C1264" t="str">
            <v>Year 3</v>
          </cell>
          <cell r="E1264">
            <v>54105000000</v>
          </cell>
        </row>
        <row r="1265">
          <cell r="B1265" t="str">
            <v>PRU</v>
          </cell>
          <cell r="C1265" t="str">
            <v>Year 4</v>
          </cell>
          <cell r="E1265">
            <v>57119000000</v>
          </cell>
        </row>
        <row r="1266">
          <cell r="B1266" t="str">
            <v>PSX</v>
          </cell>
          <cell r="C1266" t="str">
            <v>Year 1</v>
          </cell>
          <cell r="E1266">
            <v>179290000000</v>
          </cell>
        </row>
        <row r="1267">
          <cell r="B1267" t="str">
            <v>PSX</v>
          </cell>
          <cell r="C1267" t="str">
            <v>Year 2</v>
          </cell>
          <cell r="E1267">
            <v>171596000000</v>
          </cell>
        </row>
        <row r="1268">
          <cell r="B1268" t="str">
            <v>PSX</v>
          </cell>
          <cell r="C1268" t="str">
            <v>Year 3</v>
          </cell>
          <cell r="E1268">
            <v>161212000000</v>
          </cell>
        </row>
        <row r="1269">
          <cell r="B1269" t="str">
            <v>PSX</v>
          </cell>
          <cell r="C1269" t="str">
            <v>Year 4</v>
          </cell>
          <cell r="E1269">
            <v>98975000000</v>
          </cell>
        </row>
        <row r="1270">
          <cell r="B1270" t="str">
            <v>PVH</v>
          </cell>
          <cell r="C1270" t="str">
            <v>Year 1</v>
          </cell>
          <cell r="E1270">
            <v>6043000000</v>
          </cell>
        </row>
        <row r="1271">
          <cell r="B1271" t="str">
            <v>PVH</v>
          </cell>
          <cell r="C1271" t="str">
            <v>Year 2</v>
          </cell>
          <cell r="E1271">
            <v>8186400000</v>
          </cell>
        </row>
        <row r="1272">
          <cell r="B1272" t="str">
            <v>PVH</v>
          </cell>
          <cell r="C1272" t="str">
            <v>Year 3</v>
          </cell>
          <cell r="E1272">
            <v>8241200000</v>
          </cell>
        </row>
        <row r="1273">
          <cell r="B1273" t="str">
            <v>PVH</v>
          </cell>
          <cell r="C1273" t="str">
            <v>Year 4</v>
          </cell>
          <cell r="E1273">
            <v>8020300000</v>
          </cell>
        </row>
        <row r="1274">
          <cell r="B1274" t="str">
            <v>PWR</v>
          </cell>
          <cell r="C1274" t="str">
            <v>Year 1</v>
          </cell>
          <cell r="E1274">
            <v>5920269000</v>
          </cell>
        </row>
        <row r="1275">
          <cell r="B1275" t="str">
            <v>PWR</v>
          </cell>
          <cell r="C1275" t="str">
            <v>Year 2</v>
          </cell>
          <cell r="E1275">
            <v>6411577000</v>
          </cell>
        </row>
        <row r="1276">
          <cell r="B1276" t="str">
            <v>PWR</v>
          </cell>
          <cell r="C1276" t="str">
            <v>Year 3</v>
          </cell>
          <cell r="E1276">
            <v>7747229000</v>
          </cell>
        </row>
        <row r="1277">
          <cell r="B1277" t="str">
            <v>PWR</v>
          </cell>
          <cell r="C1277" t="str">
            <v>Year 4</v>
          </cell>
          <cell r="E1277">
            <v>7572436000</v>
          </cell>
        </row>
        <row r="1278">
          <cell r="B1278" t="str">
            <v>PX</v>
          </cell>
          <cell r="C1278" t="str">
            <v>Year 1</v>
          </cell>
          <cell r="E1278">
            <v>11224000000</v>
          </cell>
        </row>
        <row r="1279">
          <cell r="B1279" t="str">
            <v>PX</v>
          </cell>
          <cell r="C1279" t="str">
            <v>Year 2</v>
          </cell>
          <cell r="E1279">
            <v>11925000000</v>
          </cell>
        </row>
        <row r="1280">
          <cell r="B1280" t="str">
            <v>PX</v>
          </cell>
          <cell r="C1280" t="str">
            <v>Year 3</v>
          </cell>
          <cell r="E1280">
            <v>12273000000</v>
          </cell>
        </row>
        <row r="1281">
          <cell r="B1281" t="str">
            <v>PX</v>
          </cell>
          <cell r="C1281" t="str">
            <v>Year 4</v>
          </cell>
          <cell r="E1281">
            <v>10776000000</v>
          </cell>
        </row>
        <row r="1282">
          <cell r="B1282" t="str">
            <v>QCOM</v>
          </cell>
          <cell r="C1282" t="str">
            <v>Year 1</v>
          </cell>
          <cell r="E1282">
            <v>24866000000</v>
          </cell>
        </row>
        <row r="1283">
          <cell r="B1283" t="str">
            <v>QCOM</v>
          </cell>
          <cell r="C1283" t="str">
            <v>Year 2</v>
          </cell>
          <cell r="E1283">
            <v>26487000000</v>
          </cell>
        </row>
        <row r="1284">
          <cell r="B1284" t="str">
            <v>QCOM</v>
          </cell>
          <cell r="C1284" t="str">
            <v>Year 3</v>
          </cell>
          <cell r="E1284">
            <v>25281000000</v>
          </cell>
        </row>
        <row r="1285">
          <cell r="B1285" t="str">
            <v>QCOM</v>
          </cell>
          <cell r="C1285" t="str">
            <v>Year 4</v>
          </cell>
          <cell r="E1285">
            <v>23554000000</v>
          </cell>
        </row>
        <row r="1286">
          <cell r="B1286" t="str">
            <v>QRVO</v>
          </cell>
          <cell r="C1286" t="str">
            <v>Year 1</v>
          </cell>
          <cell r="E1286">
            <v>1148231000</v>
          </cell>
        </row>
        <row r="1287">
          <cell r="B1287" t="str">
            <v>QRVO</v>
          </cell>
          <cell r="C1287" t="str">
            <v>Year 2</v>
          </cell>
          <cell r="E1287">
            <v>1710966000</v>
          </cell>
        </row>
        <row r="1288">
          <cell r="B1288" t="str">
            <v>QRVO</v>
          </cell>
          <cell r="C1288" t="str">
            <v>Year 3</v>
          </cell>
          <cell r="E1288">
            <v>2610726000</v>
          </cell>
        </row>
        <row r="1289">
          <cell r="B1289" t="str">
            <v>R</v>
          </cell>
          <cell r="C1289" t="str">
            <v>Year 1</v>
          </cell>
          <cell r="E1289">
            <v>6419285000</v>
          </cell>
        </row>
        <row r="1290">
          <cell r="B1290" t="str">
            <v>R</v>
          </cell>
          <cell r="C1290" t="str">
            <v>Year 2</v>
          </cell>
          <cell r="E1290">
            <v>6638774000</v>
          </cell>
        </row>
        <row r="1291">
          <cell r="B1291" t="str">
            <v>R</v>
          </cell>
          <cell r="C1291" t="str">
            <v>Year 3</v>
          </cell>
          <cell r="E1291">
            <v>6571893000</v>
          </cell>
        </row>
        <row r="1292">
          <cell r="B1292" t="str">
            <v>R</v>
          </cell>
          <cell r="C1292" t="str">
            <v>Year 4</v>
          </cell>
          <cell r="E1292">
            <v>6786984000</v>
          </cell>
        </row>
        <row r="1293">
          <cell r="B1293" t="str">
            <v>RCL</v>
          </cell>
          <cell r="C1293" t="str">
            <v>Year 1</v>
          </cell>
          <cell r="E1293">
            <v>7688024000</v>
          </cell>
        </row>
        <row r="1294">
          <cell r="B1294" t="str">
            <v>RCL</v>
          </cell>
          <cell r="C1294" t="str">
            <v>Year 2</v>
          </cell>
          <cell r="E1294">
            <v>7959894000</v>
          </cell>
        </row>
        <row r="1295">
          <cell r="B1295" t="str">
            <v>RCL</v>
          </cell>
          <cell r="C1295" t="str">
            <v>Year 3</v>
          </cell>
          <cell r="E1295">
            <v>8073855000</v>
          </cell>
        </row>
        <row r="1296">
          <cell r="B1296" t="str">
            <v>RCL</v>
          </cell>
          <cell r="C1296" t="str">
            <v>Year 4</v>
          </cell>
          <cell r="E1296">
            <v>8299074000</v>
          </cell>
        </row>
        <row r="1297">
          <cell r="B1297" t="str">
            <v>REGN</v>
          </cell>
          <cell r="C1297" t="str">
            <v>Year 1</v>
          </cell>
          <cell r="E1297">
            <v>2104745000</v>
          </cell>
        </row>
        <row r="1298">
          <cell r="B1298" t="str">
            <v>REGN</v>
          </cell>
          <cell r="C1298" t="str">
            <v>Year 2</v>
          </cell>
          <cell r="E1298">
            <v>2819557000</v>
          </cell>
        </row>
        <row r="1299">
          <cell r="B1299" t="str">
            <v>REGN</v>
          </cell>
          <cell r="C1299" t="str">
            <v>Year 3</v>
          </cell>
          <cell r="E1299">
            <v>4103728000</v>
          </cell>
        </row>
        <row r="1300">
          <cell r="B1300" t="str">
            <v>REGN</v>
          </cell>
          <cell r="C1300" t="str">
            <v>Year 4</v>
          </cell>
          <cell r="E1300">
            <v>4860427000</v>
          </cell>
        </row>
        <row r="1301">
          <cell r="B1301" t="str">
            <v>RHI</v>
          </cell>
          <cell r="C1301" t="str">
            <v>Year 1</v>
          </cell>
          <cell r="E1301">
            <v>4245895000</v>
          </cell>
        </row>
        <row r="1302">
          <cell r="B1302" t="str">
            <v>RHI</v>
          </cell>
          <cell r="C1302" t="str">
            <v>Year 2</v>
          </cell>
          <cell r="E1302">
            <v>4695014000</v>
          </cell>
        </row>
        <row r="1303">
          <cell r="B1303" t="str">
            <v>RHI</v>
          </cell>
          <cell r="C1303" t="str">
            <v>Year 3</v>
          </cell>
          <cell r="E1303">
            <v>5094933000</v>
          </cell>
        </row>
        <row r="1304">
          <cell r="B1304" t="str">
            <v>RHI</v>
          </cell>
          <cell r="C1304" t="str">
            <v>Year 4</v>
          </cell>
          <cell r="E1304">
            <v>5250399000</v>
          </cell>
        </row>
        <row r="1305">
          <cell r="B1305" t="str">
            <v>RHT</v>
          </cell>
          <cell r="C1305" t="str">
            <v>Year 1</v>
          </cell>
          <cell r="E1305">
            <v>1328817000</v>
          </cell>
        </row>
        <row r="1306">
          <cell r="B1306" t="str">
            <v>RHT</v>
          </cell>
          <cell r="C1306" t="str">
            <v>Year 2</v>
          </cell>
          <cell r="E1306">
            <v>1534615000</v>
          </cell>
        </row>
        <row r="1307">
          <cell r="B1307" t="str">
            <v>RHT</v>
          </cell>
          <cell r="C1307" t="str">
            <v>Year 3</v>
          </cell>
          <cell r="E1307">
            <v>1789489000</v>
          </cell>
        </row>
        <row r="1308">
          <cell r="B1308" t="str">
            <v>RHT</v>
          </cell>
          <cell r="C1308" t="str">
            <v>Year 4</v>
          </cell>
          <cell r="E1308">
            <v>2052230000</v>
          </cell>
        </row>
        <row r="1309">
          <cell r="B1309" t="str">
            <v>RL</v>
          </cell>
          <cell r="C1309" t="str">
            <v>Year 1</v>
          </cell>
          <cell r="E1309">
            <v>6945000000</v>
          </cell>
        </row>
        <row r="1310">
          <cell r="B1310" t="str">
            <v>RL</v>
          </cell>
          <cell r="C1310" t="str">
            <v>Year 2</v>
          </cell>
          <cell r="E1310">
            <v>7450000000</v>
          </cell>
        </row>
        <row r="1311">
          <cell r="B1311" t="str">
            <v>RL</v>
          </cell>
          <cell r="C1311" t="str">
            <v>Year 3</v>
          </cell>
          <cell r="E1311">
            <v>7620000000</v>
          </cell>
        </row>
        <row r="1312">
          <cell r="B1312" t="str">
            <v>RL</v>
          </cell>
          <cell r="C1312" t="str">
            <v>Year 4</v>
          </cell>
          <cell r="E1312">
            <v>7405000000</v>
          </cell>
        </row>
        <row r="1313">
          <cell r="B1313" t="str">
            <v>ROK</v>
          </cell>
          <cell r="C1313" t="str">
            <v>Year 1</v>
          </cell>
          <cell r="E1313">
            <v>6351900000</v>
          </cell>
        </row>
        <row r="1314">
          <cell r="B1314" t="str">
            <v>ROK</v>
          </cell>
          <cell r="C1314" t="str">
            <v>Year 2</v>
          </cell>
          <cell r="E1314">
            <v>6623500000</v>
          </cell>
        </row>
        <row r="1315">
          <cell r="B1315" t="str">
            <v>ROK</v>
          </cell>
          <cell r="C1315" t="str">
            <v>Year 3</v>
          </cell>
          <cell r="E1315">
            <v>6307900000</v>
          </cell>
        </row>
        <row r="1316">
          <cell r="B1316" t="str">
            <v>ROK</v>
          </cell>
          <cell r="C1316" t="str">
            <v>Year 4</v>
          </cell>
          <cell r="E1316">
            <v>5879500000</v>
          </cell>
        </row>
        <row r="1317">
          <cell r="B1317" t="str">
            <v>ROP</v>
          </cell>
          <cell r="C1317" t="str">
            <v>Year 1</v>
          </cell>
          <cell r="E1317">
            <v>2993489000</v>
          </cell>
        </row>
        <row r="1318">
          <cell r="B1318" t="str">
            <v>ROP</v>
          </cell>
          <cell r="C1318" t="str">
            <v>Year 2</v>
          </cell>
          <cell r="E1318">
            <v>3238128000</v>
          </cell>
        </row>
        <row r="1319">
          <cell r="B1319" t="str">
            <v>ROP</v>
          </cell>
          <cell r="C1319" t="str">
            <v>Year 3</v>
          </cell>
          <cell r="E1319">
            <v>3549494000</v>
          </cell>
        </row>
        <row r="1320">
          <cell r="B1320" t="str">
            <v>ROP</v>
          </cell>
          <cell r="C1320" t="str">
            <v>Year 4</v>
          </cell>
          <cell r="E1320">
            <v>3582395000</v>
          </cell>
        </row>
        <row r="1321">
          <cell r="B1321" t="str">
            <v>ROST</v>
          </cell>
          <cell r="C1321" t="str">
            <v>Year 1</v>
          </cell>
          <cell r="E1321">
            <v>9721065000</v>
          </cell>
        </row>
        <row r="1322">
          <cell r="B1322" t="str">
            <v>ROST</v>
          </cell>
          <cell r="C1322" t="str">
            <v>Year 2</v>
          </cell>
          <cell r="E1322">
            <v>10230353000</v>
          </cell>
        </row>
        <row r="1323">
          <cell r="B1323" t="str">
            <v>ROST</v>
          </cell>
          <cell r="C1323" t="str">
            <v>Year 3</v>
          </cell>
          <cell r="E1323">
            <v>11041677000</v>
          </cell>
        </row>
        <row r="1324">
          <cell r="B1324" t="str">
            <v>ROST</v>
          </cell>
          <cell r="C1324" t="str">
            <v>Year 4</v>
          </cell>
          <cell r="E1324">
            <v>11939999000</v>
          </cell>
        </row>
        <row r="1325">
          <cell r="B1325" t="str">
            <v>RRC</v>
          </cell>
          <cell r="C1325" t="str">
            <v>Year 1</v>
          </cell>
          <cell r="E1325">
            <v>1367135000</v>
          </cell>
        </row>
        <row r="1326">
          <cell r="B1326" t="str">
            <v>RRC</v>
          </cell>
          <cell r="C1326" t="str">
            <v>Year 2</v>
          </cell>
          <cell r="E1326">
            <v>1832253000</v>
          </cell>
        </row>
        <row r="1327">
          <cell r="B1327" t="str">
            <v>RRC</v>
          </cell>
          <cell r="C1327" t="str">
            <v>Year 3</v>
          </cell>
          <cell r="E1327">
            <v>2042537000</v>
          </cell>
        </row>
        <row r="1328">
          <cell r="B1328" t="str">
            <v>RRC</v>
          </cell>
          <cell r="C1328" t="str">
            <v>Year 4</v>
          </cell>
          <cell r="E1328">
            <v>1181704000</v>
          </cell>
        </row>
        <row r="1329">
          <cell r="B1329" t="str">
            <v>RSG</v>
          </cell>
          <cell r="C1329" t="str">
            <v>Year 1</v>
          </cell>
          <cell r="E1329">
            <v>8417200000</v>
          </cell>
        </row>
        <row r="1330">
          <cell r="B1330" t="str">
            <v>RSG</v>
          </cell>
          <cell r="C1330" t="str">
            <v>Year 2</v>
          </cell>
          <cell r="E1330">
            <v>8803300000</v>
          </cell>
        </row>
        <row r="1331">
          <cell r="B1331" t="str">
            <v>RSG</v>
          </cell>
          <cell r="C1331" t="str">
            <v>Year 3</v>
          </cell>
          <cell r="E1331">
            <v>9115000000</v>
          </cell>
        </row>
        <row r="1332">
          <cell r="B1332" t="str">
            <v>RSG</v>
          </cell>
          <cell r="C1332" t="str">
            <v>Year 4</v>
          </cell>
          <cell r="E1332">
            <v>9387700000</v>
          </cell>
        </row>
        <row r="1333">
          <cell r="B1333" t="str">
            <v>SBUX</v>
          </cell>
          <cell r="C1333" t="str">
            <v>Year 1</v>
          </cell>
          <cell r="E1333">
            <v>14866800000</v>
          </cell>
        </row>
        <row r="1334">
          <cell r="B1334" t="str">
            <v>SBUX</v>
          </cell>
          <cell r="C1334" t="str">
            <v>Year 2</v>
          </cell>
          <cell r="E1334">
            <v>16447800000</v>
          </cell>
        </row>
        <row r="1335">
          <cell r="B1335" t="str">
            <v>SBUX</v>
          </cell>
          <cell r="C1335" t="str">
            <v>Year 3</v>
          </cell>
          <cell r="E1335">
            <v>19162700000</v>
          </cell>
        </row>
        <row r="1336">
          <cell r="B1336" t="str">
            <v>SBUX</v>
          </cell>
          <cell r="C1336" t="str">
            <v>Year 4</v>
          </cell>
          <cell r="E1336">
            <v>21315900000</v>
          </cell>
        </row>
        <row r="1337">
          <cell r="B1337" t="str">
            <v>SCG</v>
          </cell>
          <cell r="C1337" t="str">
            <v>Year 1</v>
          </cell>
          <cell r="E1337">
            <v>4176000000</v>
          </cell>
        </row>
        <row r="1338">
          <cell r="B1338" t="str">
            <v>SCG</v>
          </cell>
          <cell r="C1338" t="str">
            <v>Year 2</v>
          </cell>
          <cell r="E1338">
            <v>4495000000</v>
          </cell>
        </row>
        <row r="1339">
          <cell r="B1339" t="str">
            <v>SCG</v>
          </cell>
          <cell r="C1339" t="str">
            <v>Year 3</v>
          </cell>
          <cell r="E1339">
            <v>4951000000</v>
          </cell>
        </row>
        <row r="1340">
          <cell r="B1340" t="str">
            <v>SCG</v>
          </cell>
          <cell r="C1340" t="str">
            <v>Year 4</v>
          </cell>
          <cell r="E1340">
            <v>4380000000</v>
          </cell>
        </row>
        <row r="1341">
          <cell r="B1341" t="str">
            <v>SE</v>
          </cell>
          <cell r="C1341" t="str">
            <v>Year 1</v>
          </cell>
          <cell r="E1341">
            <v>5075000000</v>
          </cell>
        </row>
        <row r="1342">
          <cell r="B1342" t="str">
            <v>SE</v>
          </cell>
          <cell r="C1342" t="str">
            <v>Year 2</v>
          </cell>
          <cell r="E1342">
            <v>5518000000</v>
          </cell>
        </row>
        <row r="1343">
          <cell r="B1343" t="str">
            <v>SE</v>
          </cell>
          <cell r="C1343" t="str">
            <v>Year 3</v>
          </cell>
          <cell r="E1343">
            <v>5903000000</v>
          </cell>
        </row>
        <row r="1344">
          <cell r="B1344" t="str">
            <v>SE</v>
          </cell>
          <cell r="C1344" t="str">
            <v>Year 4</v>
          </cell>
          <cell r="E1344">
            <v>5234000000</v>
          </cell>
        </row>
        <row r="1345">
          <cell r="B1345" t="str">
            <v>SEE</v>
          </cell>
          <cell r="C1345" t="str">
            <v>Year 1</v>
          </cell>
          <cell r="E1345">
            <v>7690800000</v>
          </cell>
        </row>
        <row r="1346">
          <cell r="B1346" t="str">
            <v>SEE</v>
          </cell>
          <cell r="C1346" t="str">
            <v>Year 2</v>
          </cell>
          <cell r="E1346">
            <v>7750500000</v>
          </cell>
        </row>
        <row r="1347">
          <cell r="B1347" t="str">
            <v>SEE</v>
          </cell>
          <cell r="C1347" t="str">
            <v>Year 3</v>
          </cell>
          <cell r="E1347">
            <v>7031500000</v>
          </cell>
        </row>
        <row r="1348">
          <cell r="B1348" t="str">
            <v>SEE</v>
          </cell>
          <cell r="C1348" t="str">
            <v>Year 4</v>
          </cell>
          <cell r="E1348">
            <v>6778300000</v>
          </cell>
        </row>
        <row r="1349">
          <cell r="B1349" t="str">
            <v>SHW</v>
          </cell>
          <cell r="C1349" t="str">
            <v>Year 1</v>
          </cell>
          <cell r="E1349">
            <v>9534462000</v>
          </cell>
        </row>
        <row r="1350">
          <cell r="B1350" t="str">
            <v>SHW</v>
          </cell>
          <cell r="C1350" t="str">
            <v>Year 2</v>
          </cell>
          <cell r="E1350">
            <v>10185532000</v>
          </cell>
        </row>
        <row r="1351">
          <cell r="B1351" t="str">
            <v>SHW</v>
          </cell>
          <cell r="C1351" t="str">
            <v>Year 3</v>
          </cell>
          <cell r="E1351">
            <v>11129533000</v>
          </cell>
        </row>
        <row r="1352">
          <cell r="B1352" t="str">
            <v>SHW</v>
          </cell>
          <cell r="C1352" t="str">
            <v>Year 4</v>
          </cell>
          <cell r="E1352">
            <v>11339304000</v>
          </cell>
        </row>
        <row r="1353">
          <cell r="B1353" t="str">
            <v>SIG</v>
          </cell>
          <cell r="C1353" t="str">
            <v>Year 1</v>
          </cell>
          <cell r="E1353">
            <v>3983400000</v>
          </cell>
        </row>
        <row r="1354">
          <cell r="B1354" t="str">
            <v>SIG</v>
          </cell>
          <cell r="C1354" t="str">
            <v>Year 2</v>
          </cell>
          <cell r="E1354">
            <v>4209200000</v>
          </cell>
        </row>
        <row r="1355">
          <cell r="B1355" t="str">
            <v>SIG</v>
          </cell>
          <cell r="C1355" t="str">
            <v>Year 3</v>
          </cell>
          <cell r="E1355">
            <v>5736300000</v>
          </cell>
        </row>
        <row r="1356">
          <cell r="B1356" t="str">
            <v>SIG</v>
          </cell>
          <cell r="C1356" t="str">
            <v>Year 4</v>
          </cell>
          <cell r="E1356">
            <v>6550200000</v>
          </cell>
        </row>
        <row r="1357">
          <cell r="B1357" t="str">
            <v>SJM</v>
          </cell>
          <cell r="C1357" t="str">
            <v>Year 1</v>
          </cell>
          <cell r="E1357">
            <v>5897700000</v>
          </cell>
        </row>
        <row r="1358">
          <cell r="B1358" t="str">
            <v>SJM</v>
          </cell>
          <cell r="C1358" t="str">
            <v>Year 2</v>
          </cell>
          <cell r="E1358">
            <v>5610600000</v>
          </cell>
        </row>
        <row r="1359">
          <cell r="B1359" t="str">
            <v>SJM</v>
          </cell>
          <cell r="C1359" t="str">
            <v>Year 3</v>
          </cell>
          <cell r="E1359">
            <v>5692700000</v>
          </cell>
        </row>
        <row r="1360">
          <cell r="B1360" t="str">
            <v>SJM</v>
          </cell>
          <cell r="C1360" t="str">
            <v>Year 4</v>
          </cell>
          <cell r="E1360">
            <v>7811200000</v>
          </cell>
        </row>
        <row r="1361">
          <cell r="B1361" t="str">
            <v>SLG</v>
          </cell>
          <cell r="C1361" t="str">
            <v>Year 1</v>
          </cell>
          <cell r="E1361">
            <v>1290052000</v>
          </cell>
        </row>
        <row r="1362">
          <cell r="B1362" t="str">
            <v>SLG</v>
          </cell>
          <cell r="C1362" t="str">
            <v>Year 2</v>
          </cell>
          <cell r="E1362">
            <v>1371065000</v>
          </cell>
        </row>
        <row r="1363">
          <cell r="B1363" t="str">
            <v>SLG</v>
          </cell>
          <cell r="C1363" t="str">
            <v>Year 3</v>
          </cell>
          <cell r="E1363">
            <v>1519978000</v>
          </cell>
        </row>
        <row r="1364">
          <cell r="B1364" t="str">
            <v>SLG</v>
          </cell>
          <cell r="C1364" t="str">
            <v>Year 4</v>
          </cell>
          <cell r="E1364">
            <v>1662829000</v>
          </cell>
        </row>
        <row r="1365">
          <cell r="B1365" t="str">
            <v>SNA</v>
          </cell>
          <cell r="C1365" t="str">
            <v>Year 1</v>
          </cell>
          <cell r="E1365">
            <v>3237500000</v>
          </cell>
        </row>
        <row r="1366">
          <cell r="B1366" t="str">
            <v>SNA</v>
          </cell>
          <cell r="C1366" t="str">
            <v>Year 2</v>
          </cell>
          <cell r="E1366">
            <v>3492600000</v>
          </cell>
        </row>
        <row r="1367">
          <cell r="B1367" t="str">
            <v>SNA</v>
          </cell>
          <cell r="C1367" t="str">
            <v>Year 3</v>
          </cell>
          <cell r="E1367">
            <v>3593100000</v>
          </cell>
        </row>
        <row r="1368">
          <cell r="B1368" t="str">
            <v>SNA</v>
          </cell>
          <cell r="C1368" t="str">
            <v>Year 4</v>
          </cell>
          <cell r="E1368">
            <v>3711800000</v>
          </cell>
        </row>
        <row r="1369">
          <cell r="B1369" t="str">
            <v>SNI</v>
          </cell>
          <cell r="C1369" t="str">
            <v>Year 1</v>
          </cell>
          <cell r="E1369">
            <v>2307182000</v>
          </cell>
        </row>
        <row r="1370">
          <cell r="B1370" t="str">
            <v>SNI</v>
          </cell>
          <cell r="C1370" t="str">
            <v>Year 2</v>
          </cell>
          <cell r="E1370">
            <v>2530809000</v>
          </cell>
        </row>
        <row r="1371">
          <cell r="B1371" t="str">
            <v>SNI</v>
          </cell>
          <cell r="C1371" t="str">
            <v>Year 3</v>
          </cell>
          <cell r="E1371">
            <v>2665456000</v>
          </cell>
        </row>
        <row r="1372">
          <cell r="B1372" t="str">
            <v>SNI</v>
          </cell>
          <cell r="C1372" t="str">
            <v>Year 4</v>
          </cell>
          <cell r="E1372">
            <v>3018227000</v>
          </cell>
        </row>
        <row r="1373">
          <cell r="B1373" t="str">
            <v>SO</v>
          </cell>
          <cell r="C1373" t="str">
            <v>Year 1</v>
          </cell>
          <cell r="E1373">
            <v>16537000000</v>
          </cell>
        </row>
        <row r="1374">
          <cell r="B1374" t="str">
            <v>SO</v>
          </cell>
          <cell r="C1374" t="str">
            <v>Year 2</v>
          </cell>
          <cell r="E1374">
            <v>17087000000</v>
          </cell>
        </row>
        <row r="1375">
          <cell r="B1375" t="str">
            <v>SO</v>
          </cell>
          <cell r="C1375" t="str">
            <v>Year 3</v>
          </cell>
          <cell r="E1375">
            <v>18467000000</v>
          </cell>
        </row>
        <row r="1376">
          <cell r="B1376" t="str">
            <v>SO</v>
          </cell>
          <cell r="C1376" t="str">
            <v>Year 4</v>
          </cell>
          <cell r="E1376">
            <v>17489000000</v>
          </cell>
        </row>
        <row r="1377">
          <cell r="B1377" t="str">
            <v>SPG</v>
          </cell>
          <cell r="C1377" t="str">
            <v>Year 1</v>
          </cell>
          <cell r="E1377">
            <v>4256157000</v>
          </cell>
        </row>
        <row r="1378">
          <cell r="B1378" t="str">
            <v>SPG</v>
          </cell>
          <cell r="C1378" t="str">
            <v>Year 2</v>
          </cell>
          <cell r="E1378">
            <v>4543849000</v>
          </cell>
        </row>
        <row r="1379">
          <cell r="B1379" t="str">
            <v>SPG</v>
          </cell>
          <cell r="C1379" t="str">
            <v>Year 3</v>
          </cell>
          <cell r="E1379">
            <v>4870818000</v>
          </cell>
        </row>
        <row r="1380">
          <cell r="B1380" t="str">
            <v>SPG</v>
          </cell>
          <cell r="C1380" t="str">
            <v>Year 4</v>
          </cell>
          <cell r="E1380">
            <v>5266103000</v>
          </cell>
        </row>
        <row r="1381">
          <cell r="B1381" t="str">
            <v>SPLS</v>
          </cell>
          <cell r="C1381" t="str">
            <v>Year 1</v>
          </cell>
          <cell r="E1381">
            <v>24380510000</v>
          </cell>
        </row>
        <row r="1382">
          <cell r="B1382" t="str">
            <v>SPLS</v>
          </cell>
          <cell r="C1382" t="str">
            <v>Year 2</v>
          </cell>
          <cell r="E1382">
            <v>23114000000</v>
          </cell>
        </row>
        <row r="1383">
          <cell r="B1383" t="str">
            <v>SPLS</v>
          </cell>
          <cell r="C1383" t="str">
            <v>Year 3</v>
          </cell>
          <cell r="E1383">
            <v>22492000000</v>
          </cell>
        </row>
        <row r="1384">
          <cell r="B1384" t="str">
            <v>SPLS</v>
          </cell>
          <cell r="C1384" t="str">
            <v>Year 4</v>
          </cell>
          <cell r="E1384">
            <v>21059000000</v>
          </cell>
        </row>
        <row r="1385">
          <cell r="B1385" t="str">
            <v>SRCL</v>
          </cell>
          <cell r="C1385" t="str">
            <v>Year 1</v>
          </cell>
          <cell r="E1385">
            <v>1913149000</v>
          </cell>
        </row>
        <row r="1386">
          <cell r="B1386" t="str">
            <v>SRCL</v>
          </cell>
          <cell r="C1386" t="str">
            <v>Year 2</v>
          </cell>
          <cell r="E1386">
            <v>2142807000</v>
          </cell>
        </row>
        <row r="1387">
          <cell r="B1387" t="str">
            <v>SRCL</v>
          </cell>
          <cell r="C1387" t="str">
            <v>Year 3</v>
          </cell>
          <cell r="E1387">
            <v>2555601000</v>
          </cell>
        </row>
        <row r="1388">
          <cell r="B1388" t="str">
            <v>SRCL</v>
          </cell>
          <cell r="C1388" t="str">
            <v>Year 4</v>
          </cell>
          <cell r="E1388">
            <v>2985908000</v>
          </cell>
        </row>
        <row r="1389">
          <cell r="B1389" t="str">
            <v>SRE</v>
          </cell>
          <cell r="C1389" t="str">
            <v>Year 1</v>
          </cell>
          <cell r="E1389">
            <v>9647000000</v>
          </cell>
        </row>
        <row r="1390">
          <cell r="B1390" t="str">
            <v>SRE</v>
          </cell>
          <cell r="C1390" t="str">
            <v>Year 2</v>
          </cell>
          <cell r="E1390">
            <v>10557000000</v>
          </cell>
        </row>
        <row r="1391">
          <cell r="B1391" t="str">
            <v>SRE</v>
          </cell>
          <cell r="C1391" t="str">
            <v>Year 3</v>
          </cell>
          <cell r="E1391">
            <v>11035000000</v>
          </cell>
        </row>
        <row r="1392">
          <cell r="B1392" t="str">
            <v>SRE</v>
          </cell>
          <cell r="C1392" t="str">
            <v>Year 4</v>
          </cell>
          <cell r="E1392">
            <v>10231000000</v>
          </cell>
        </row>
        <row r="1393">
          <cell r="B1393" t="str">
            <v>STI</v>
          </cell>
          <cell r="C1393" t="str">
            <v>Year 1</v>
          </cell>
          <cell r="E1393">
            <v>11240000000</v>
          </cell>
        </row>
        <row r="1394">
          <cell r="B1394" t="str">
            <v>STI</v>
          </cell>
          <cell r="C1394" t="str">
            <v>Year 2</v>
          </cell>
          <cell r="E1394">
            <v>8602000000</v>
          </cell>
        </row>
        <row r="1395">
          <cell r="B1395" t="str">
            <v>STI</v>
          </cell>
          <cell r="C1395" t="str">
            <v>Year 3</v>
          </cell>
          <cell r="E1395">
            <v>8707000000</v>
          </cell>
        </row>
        <row r="1396">
          <cell r="B1396" t="str">
            <v>STI</v>
          </cell>
          <cell r="C1396" t="str">
            <v>Year 4</v>
          </cell>
          <cell r="E1396">
            <v>8533000000</v>
          </cell>
        </row>
        <row r="1397">
          <cell r="B1397" t="str">
            <v>STX</v>
          </cell>
          <cell r="C1397" t="str">
            <v>Year 1</v>
          </cell>
          <cell r="E1397">
            <v>14351000000</v>
          </cell>
        </row>
        <row r="1398">
          <cell r="B1398" t="str">
            <v>STX</v>
          </cell>
          <cell r="C1398" t="str">
            <v>Year 2</v>
          </cell>
          <cell r="E1398">
            <v>13724000000</v>
          </cell>
        </row>
        <row r="1399">
          <cell r="B1399" t="str">
            <v>STX</v>
          </cell>
          <cell r="C1399" t="str">
            <v>Year 3</v>
          </cell>
          <cell r="E1399">
            <v>13739000000</v>
          </cell>
        </row>
        <row r="1400">
          <cell r="B1400" t="str">
            <v>STX</v>
          </cell>
          <cell r="C1400" t="str">
            <v>Year 4</v>
          </cell>
          <cell r="E1400">
            <v>11160000000</v>
          </cell>
        </row>
        <row r="1401">
          <cell r="B1401" t="str">
            <v>STZ</v>
          </cell>
          <cell r="C1401" t="str">
            <v>Year 1</v>
          </cell>
          <cell r="E1401">
            <v>2796100000</v>
          </cell>
        </row>
        <row r="1402">
          <cell r="B1402" t="str">
            <v>STZ</v>
          </cell>
          <cell r="C1402" t="str">
            <v>Year 2</v>
          </cell>
          <cell r="E1402">
            <v>4867700000</v>
          </cell>
        </row>
        <row r="1403">
          <cell r="B1403" t="str">
            <v>STZ</v>
          </cell>
          <cell r="C1403" t="str">
            <v>Year 3</v>
          </cell>
          <cell r="E1403">
            <v>6028000000</v>
          </cell>
        </row>
        <row r="1404">
          <cell r="B1404" t="str">
            <v>STZ</v>
          </cell>
          <cell r="C1404" t="str">
            <v>Year 4</v>
          </cell>
          <cell r="E1404">
            <v>6548400000</v>
          </cell>
        </row>
        <row r="1405">
          <cell r="B1405" t="str">
            <v>SWK</v>
          </cell>
          <cell r="C1405" t="str">
            <v>Year 1</v>
          </cell>
          <cell r="E1405">
            <v>10889500000</v>
          </cell>
        </row>
        <row r="1406">
          <cell r="B1406" t="str">
            <v>SWK</v>
          </cell>
          <cell r="C1406" t="str">
            <v>Year 2</v>
          </cell>
          <cell r="E1406">
            <v>11338600000</v>
          </cell>
        </row>
        <row r="1407">
          <cell r="B1407" t="str">
            <v>SWK</v>
          </cell>
          <cell r="C1407" t="str">
            <v>Year 3</v>
          </cell>
          <cell r="E1407">
            <v>11171800000</v>
          </cell>
        </row>
        <row r="1408">
          <cell r="B1408" t="str">
            <v>SWK</v>
          </cell>
          <cell r="C1408" t="str">
            <v>Year 4</v>
          </cell>
          <cell r="E1408">
            <v>11406900000</v>
          </cell>
        </row>
        <row r="1409">
          <cell r="B1409" t="str">
            <v>SWKS</v>
          </cell>
          <cell r="C1409" t="str">
            <v>Year 1</v>
          </cell>
          <cell r="E1409">
            <v>1792000000</v>
          </cell>
        </row>
        <row r="1410">
          <cell r="B1410" t="str">
            <v>SWKS</v>
          </cell>
          <cell r="C1410" t="str">
            <v>Year 2</v>
          </cell>
          <cell r="E1410">
            <v>2291500000</v>
          </cell>
        </row>
        <row r="1411">
          <cell r="B1411" t="str">
            <v>SWKS</v>
          </cell>
          <cell r="C1411" t="str">
            <v>Year 3</v>
          </cell>
          <cell r="E1411">
            <v>3258400000</v>
          </cell>
        </row>
        <row r="1412">
          <cell r="B1412" t="str">
            <v>SWKS</v>
          </cell>
          <cell r="C1412" t="str">
            <v>Year 4</v>
          </cell>
          <cell r="E1412">
            <v>3289000000</v>
          </cell>
        </row>
        <row r="1413">
          <cell r="B1413" t="str">
            <v>SWN</v>
          </cell>
          <cell r="C1413" t="str">
            <v>Year 1</v>
          </cell>
          <cell r="E1413">
            <v>2730000000</v>
          </cell>
        </row>
        <row r="1414">
          <cell r="B1414" t="str">
            <v>SWN</v>
          </cell>
          <cell r="C1414" t="str">
            <v>Year 2</v>
          </cell>
          <cell r="E1414">
            <v>3371000000</v>
          </cell>
        </row>
        <row r="1415">
          <cell r="B1415" t="str">
            <v>SWN</v>
          </cell>
          <cell r="C1415" t="str">
            <v>Year 3</v>
          </cell>
          <cell r="E1415">
            <v>4038000000</v>
          </cell>
        </row>
        <row r="1416">
          <cell r="B1416" t="str">
            <v>SWN</v>
          </cell>
          <cell r="C1416" t="str">
            <v>Year 4</v>
          </cell>
          <cell r="E1416">
            <v>3133000000</v>
          </cell>
        </row>
        <row r="1417">
          <cell r="B1417" t="str">
            <v>SYF</v>
          </cell>
          <cell r="C1417" t="str">
            <v>Year 1</v>
          </cell>
          <cell r="E1417">
            <v>10793000000</v>
          </cell>
        </row>
        <row r="1418">
          <cell r="B1418" t="str">
            <v>SYF</v>
          </cell>
          <cell r="C1418" t="str">
            <v>Year 2</v>
          </cell>
          <cell r="E1418">
            <v>11813000000</v>
          </cell>
        </row>
        <row r="1419">
          <cell r="B1419" t="str">
            <v>SYF</v>
          </cell>
          <cell r="C1419" t="str">
            <v>Year 3</v>
          </cell>
          <cell r="E1419">
            <v>12727000000</v>
          </cell>
        </row>
        <row r="1420">
          <cell r="B1420" t="str">
            <v>SYF</v>
          </cell>
          <cell r="C1420" t="str">
            <v>Year 4</v>
          </cell>
          <cell r="E1420">
            <v>13620000000</v>
          </cell>
        </row>
        <row r="1421">
          <cell r="B1421" t="str">
            <v>SYK</v>
          </cell>
          <cell r="C1421" t="str">
            <v>Year 1</v>
          </cell>
          <cell r="E1421">
            <v>9021000000</v>
          </cell>
        </row>
        <row r="1422">
          <cell r="B1422" t="str">
            <v>SYK</v>
          </cell>
          <cell r="C1422" t="str">
            <v>Year 2</v>
          </cell>
          <cell r="E1422">
            <v>9675000000</v>
          </cell>
        </row>
        <row r="1423">
          <cell r="B1423" t="str">
            <v>SYK</v>
          </cell>
          <cell r="C1423" t="str">
            <v>Year 3</v>
          </cell>
          <cell r="E1423">
            <v>9946000000</v>
          </cell>
        </row>
        <row r="1424">
          <cell r="B1424" t="str">
            <v>SYK</v>
          </cell>
          <cell r="C1424" t="str">
            <v>Year 4</v>
          </cell>
          <cell r="E1424">
            <v>11325000000</v>
          </cell>
        </row>
        <row r="1425">
          <cell r="B1425" t="str">
            <v>SYMC</v>
          </cell>
          <cell r="C1425" t="str">
            <v>Year 1</v>
          </cell>
          <cell r="E1425">
            <v>6906000000</v>
          </cell>
        </row>
        <row r="1426">
          <cell r="B1426" t="str">
            <v>SYMC</v>
          </cell>
          <cell r="C1426" t="str">
            <v>Year 2</v>
          </cell>
          <cell r="E1426">
            <v>4183000000</v>
          </cell>
        </row>
        <row r="1427">
          <cell r="B1427" t="str">
            <v>SYMC</v>
          </cell>
          <cell r="C1427" t="str">
            <v>Year 3</v>
          </cell>
          <cell r="E1427">
            <v>3956000000</v>
          </cell>
        </row>
        <row r="1428">
          <cell r="B1428" t="str">
            <v>SYMC</v>
          </cell>
          <cell r="C1428" t="str">
            <v>Year 4</v>
          </cell>
          <cell r="E1428">
            <v>3600000000</v>
          </cell>
        </row>
        <row r="1429">
          <cell r="B1429" t="str">
            <v>SYY</v>
          </cell>
          <cell r="C1429" t="str">
            <v>Year 1</v>
          </cell>
          <cell r="E1429">
            <v>44411233000</v>
          </cell>
        </row>
        <row r="1430">
          <cell r="B1430" t="str">
            <v>SYY</v>
          </cell>
          <cell r="C1430" t="str">
            <v>Year 2</v>
          </cell>
          <cell r="E1430">
            <v>46516712000</v>
          </cell>
        </row>
        <row r="1431">
          <cell r="B1431" t="str">
            <v>SYY</v>
          </cell>
          <cell r="C1431" t="str">
            <v>Year 3</v>
          </cell>
          <cell r="E1431">
            <v>48680752000</v>
          </cell>
        </row>
        <row r="1432">
          <cell r="B1432" t="str">
            <v>SYY</v>
          </cell>
          <cell r="C1432" t="str">
            <v>Year 4</v>
          </cell>
          <cell r="E1432">
            <v>50366919000</v>
          </cell>
        </row>
        <row r="1433">
          <cell r="B1433" t="str">
            <v>T</v>
          </cell>
          <cell r="C1433" t="str">
            <v>Year 1</v>
          </cell>
          <cell r="E1433">
            <v>127434000000</v>
          </cell>
        </row>
        <row r="1434">
          <cell r="B1434" t="str">
            <v>T</v>
          </cell>
          <cell r="C1434" t="str">
            <v>Year 2</v>
          </cell>
          <cell r="E1434">
            <v>128752000000</v>
          </cell>
        </row>
        <row r="1435">
          <cell r="B1435" t="str">
            <v>T</v>
          </cell>
          <cell r="C1435" t="str">
            <v>Year 3</v>
          </cell>
          <cell r="E1435">
            <v>132447000000</v>
          </cell>
        </row>
        <row r="1436">
          <cell r="B1436" t="str">
            <v>T</v>
          </cell>
          <cell r="C1436" t="str">
            <v>Year 4</v>
          </cell>
          <cell r="E1436">
            <v>146801000000</v>
          </cell>
        </row>
        <row r="1437">
          <cell r="B1437" t="str">
            <v>TAP</v>
          </cell>
          <cell r="C1437" t="str">
            <v>Year 1</v>
          </cell>
          <cell r="E1437">
            <v>4206100000</v>
          </cell>
        </row>
        <row r="1438">
          <cell r="B1438" t="str">
            <v>TAP</v>
          </cell>
          <cell r="C1438" t="str">
            <v>Year 2</v>
          </cell>
          <cell r="E1438">
            <v>4146300000</v>
          </cell>
        </row>
        <row r="1439">
          <cell r="B1439" t="str">
            <v>TAP</v>
          </cell>
          <cell r="C1439" t="str">
            <v>Year 3</v>
          </cell>
          <cell r="E1439">
            <v>3567500000</v>
          </cell>
        </row>
        <row r="1440">
          <cell r="B1440" t="str">
            <v>TAP</v>
          </cell>
          <cell r="C1440" t="str">
            <v>Year 4</v>
          </cell>
          <cell r="E1440">
            <v>4885000000</v>
          </cell>
        </row>
        <row r="1441">
          <cell r="B1441" t="str">
            <v>TDC</v>
          </cell>
          <cell r="C1441" t="str">
            <v>Year 1</v>
          </cell>
          <cell r="E1441">
            <v>2665000000</v>
          </cell>
        </row>
        <row r="1442">
          <cell r="B1442" t="str">
            <v>TDC</v>
          </cell>
          <cell r="C1442" t="str">
            <v>Year 2</v>
          </cell>
          <cell r="E1442">
            <v>2692000000</v>
          </cell>
        </row>
        <row r="1443">
          <cell r="B1443" t="str">
            <v>TDC</v>
          </cell>
          <cell r="C1443" t="str">
            <v>Year 3</v>
          </cell>
          <cell r="E1443">
            <v>2732000000</v>
          </cell>
        </row>
        <row r="1444">
          <cell r="B1444" t="str">
            <v>TDC</v>
          </cell>
          <cell r="C1444" t="str">
            <v>Year 4</v>
          </cell>
          <cell r="E1444">
            <v>2530000000</v>
          </cell>
        </row>
        <row r="1445">
          <cell r="B1445" t="str">
            <v>TDG</v>
          </cell>
          <cell r="C1445" t="str">
            <v>Year 1</v>
          </cell>
          <cell r="E1445">
            <v>1924400000</v>
          </cell>
        </row>
        <row r="1446">
          <cell r="B1446" t="str">
            <v>TDG</v>
          </cell>
          <cell r="C1446" t="str">
            <v>Year 2</v>
          </cell>
          <cell r="E1446">
            <v>2372906000</v>
          </cell>
        </row>
        <row r="1447">
          <cell r="B1447" t="str">
            <v>TDG</v>
          </cell>
          <cell r="C1447" t="str">
            <v>Year 3</v>
          </cell>
          <cell r="E1447">
            <v>2707115000</v>
          </cell>
        </row>
        <row r="1448">
          <cell r="B1448" t="str">
            <v>TDG</v>
          </cell>
          <cell r="C1448" t="str">
            <v>Year 4</v>
          </cell>
          <cell r="E1448">
            <v>3171411000</v>
          </cell>
        </row>
        <row r="1449">
          <cell r="B1449" t="str">
            <v>TEL</v>
          </cell>
          <cell r="C1449" t="str">
            <v>Year 1</v>
          </cell>
          <cell r="E1449">
            <v>11390000000</v>
          </cell>
        </row>
        <row r="1450">
          <cell r="B1450" t="str">
            <v>TEL</v>
          </cell>
          <cell r="C1450" t="str">
            <v>Year 2</v>
          </cell>
          <cell r="E1450">
            <v>11973000000</v>
          </cell>
        </row>
        <row r="1451">
          <cell r="B1451" t="str">
            <v>TEL</v>
          </cell>
          <cell r="C1451" t="str">
            <v>Year 3</v>
          </cell>
          <cell r="E1451">
            <v>12233000000</v>
          </cell>
        </row>
        <row r="1452">
          <cell r="B1452" t="str">
            <v>TEL</v>
          </cell>
          <cell r="C1452" t="str">
            <v>Year 4</v>
          </cell>
          <cell r="E1452">
            <v>12238000000</v>
          </cell>
        </row>
        <row r="1453">
          <cell r="B1453" t="str">
            <v>TGNA</v>
          </cell>
          <cell r="C1453" t="str">
            <v>Year 1</v>
          </cell>
          <cell r="E1453">
            <v>5353197000</v>
          </cell>
        </row>
        <row r="1454">
          <cell r="B1454" t="str">
            <v>TGNA</v>
          </cell>
          <cell r="C1454" t="str">
            <v>Year 2</v>
          </cell>
          <cell r="E1454">
            <v>1603123000</v>
          </cell>
        </row>
        <row r="1455">
          <cell r="B1455" t="str">
            <v>TGNA</v>
          </cell>
          <cell r="C1455" t="str">
            <v>Year 3</v>
          </cell>
          <cell r="E1455">
            <v>2626141000</v>
          </cell>
        </row>
        <row r="1456">
          <cell r="B1456" t="str">
            <v>TGNA</v>
          </cell>
          <cell r="C1456" t="str">
            <v>Year 4</v>
          </cell>
          <cell r="E1456">
            <v>3050945000</v>
          </cell>
        </row>
        <row r="1457">
          <cell r="B1457" t="str">
            <v>TGT</v>
          </cell>
          <cell r="C1457" t="str">
            <v>Year 1</v>
          </cell>
          <cell r="E1457">
            <v>73301000000</v>
          </cell>
        </row>
        <row r="1458">
          <cell r="B1458" t="str">
            <v>TGT</v>
          </cell>
          <cell r="C1458" t="str">
            <v>Year 2</v>
          </cell>
          <cell r="E1458">
            <v>71279000000</v>
          </cell>
        </row>
        <row r="1459">
          <cell r="B1459" t="str">
            <v>TGT</v>
          </cell>
          <cell r="C1459" t="str">
            <v>Year 3</v>
          </cell>
          <cell r="E1459">
            <v>72618000000</v>
          </cell>
        </row>
        <row r="1460">
          <cell r="B1460" t="str">
            <v>TGT</v>
          </cell>
          <cell r="C1460" t="str">
            <v>Year 4</v>
          </cell>
          <cell r="E1460">
            <v>73785000000</v>
          </cell>
        </row>
        <row r="1461">
          <cell r="B1461" t="str">
            <v>TIF</v>
          </cell>
          <cell r="C1461" t="str">
            <v>Year 1</v>
          </cell>
          <cell r="E1461">
            <v>3794249000</v>
          </cell>
        </row>
        <row r="1462">
          <cell r="B1462" t="str">
            <v>TIF</v>
          </cell>
          <cell r="C1462" t="str">
            <v>Year 2</v>
          </cell>
          <cell r="E1462">
            <v>4031100000</v>
          </cell>
        </row>
        <row r="1463">
          <cell r="B1463" t="str">
            <v>TIF</v>
          </cell>
          <cell r="C1463" t="str">
            <v>Year 3</v>
          </cell>
          <cell r="E1463">
            <v>4249900000</v>
          </cell>
        </row>
        <row r="1464">
          <cell r="B1464" t="str">
            <v>TIF</v>
          </cell>
          <cell r="C1464" t="str">
            <v>Year 4</v>
          </cell>
          <cell r="E1464">
            <v>4104900000</v>
          </cell>
        </row>
        <row r="1465">
          <cell r="B1465" t="str">
            <v>TJX</v>
          </cell>
          <cell r="C1465" t="str">
            <v>Year 1</v>
          </cell>
          <cell r="E1465">
            <v>25878372000</v>
          </cell>
        </row>
        <row r="1466">
          <cell r="B1466" t="str">
            <v>TJX</v>
          </cell>
          <cell r="C1466" t="str">
            <v>Year 2</v>
          </cell>
          <cell r="E1466">
            <v>27422696000</v>
          </cell>
        </row>
        <row r="1467">
          <cell r="B1467" t="str">
            <v>TJX</v>
          </cell>
          <cell r="C1467" t="str">
            <v>Year 3</v>
          </cell>
          <cell r="E1467">
            <v>29078407000</v>
          </cell>
        </row>
        <row r="1468">
          <cell r="B1468" t="str">
            <v>TJX</v>
          </cell>
          <cell r="C1468" t="str">
            <v>Year 4</v>
          </cell>
          <cell r="E1468">
            <v>30944938000</v>
          </cell>
        </row>
        <row r="1469">
          <cell r="B1469" t="str">
            <v>TMK</v>
          </cell>
          <cell r="C1469" t="str">
            <v>Year 1</v>
          </cell>
          <cell r="E1469">
            <v>3589516000</v>
          </cell>
        </row>
        <row r="1470">
          <cell r="B1470" t="str">
            <v>TMK</v>
          </cell>
          <cell r="C1470" t="str">
            <v>Year 2</v>
          </cell>
          <cell r="E1470">
            <v>3494253000</v>
          </cell>
        </row>
        <row r="1471">
          <cell r="B1471" t="str">
            <v>TMK</v>
          </cell>
          <cell r="C1471" t="str">
            <v>Year 3</v>
          </cell>
          <cell r="E1471">
            <v>3620095000</v>
          </cell>
        </row>
        <row r="1472">
          <cell r="B1472" t="str">
            <v>TMK</v>
          </cell>
          <cell r="C1472" t="str">
            <v>Year 4</v>
          </cell>
          <cell r="E1472">
            <v>3766065000</v>
          </cell>
        </row>
        <row r="1473">
          <cell r="B1473" t="str">
            <v>TMO</v>
          </cell>
          <cell r="C1473" t="str">
            <v>Year 1</v>
          </cell>
          <cell r="E1473">
            <v>12509900000</v>
          </cell>
        </row>
        <row r="1474">
          <cell r="B1474" t="str">
            <v>TMO</v>
          </cell>
          <cell r="C1474" t="str">
            <v>Year 2</v>
          </cell>
          <cell r="E1474">
            <v>13090300000</v>
          </cell>
        </row>
        <row r="1475">
          <cell r="B1475" t="str">
            <v>TMO</v>
          </cell>
          <cell r="C1475" t="str">
            <v>Year 3</v>
          </cell>
          <cell r="E1475">
            <v>16889600000</v>
          </cell>
        </row>
        <row r="1476">
          <cell r="B1476" t="str">
            <v>TMO</v>
          </cell>
          <cell r="C1476" t="str">
            <v>Year 4</v>
          </cell>
          <cell r="E1476">
            <v>16965400000</v>
          </cell>
        </row>
        <row r="1477">
          <cell r="B1477" t="str">
            <v>TRIP</v>
          </cell>
          <cell r="C1477" t="str">
            <v>Year 1</v>
          </cell>
          <cell r="E1477">
            <v>763000000</v>
          </cell>
        </row>
        <row r="1478">
          <cell r="B1478" t="str">
            <v>TRIP</v>
          </cell>
          <cell r="C1478" t="str">
            <v>Year 2</v>
          </cell>
          <cell r="E1478">
            <v>945000000</v>
          </cell>
        </row>
        <row r="1479">
          <cell r="B1479" t="str">
            <v>TRIP</v>
          </cell>
          <cell r="C1479" t="str">
            <v>Year 3</v>
          </cell>
          <cell r="E1479">
            <v>1246000000</v>
          </cell>
        </row>
        <row r="1480">
          <cell r="B1480" t="str">
            <v>TRIP</v>
          </cell>
          <cell r="C1480" t="str">
            <v>Year 4</v>
          </cell>
          <cell r="E1480">
            <v>1492000000</v>
          </cell>
        </row>
        <row r="1481">
          <cell r="B1481" t="str">
            <v>TRV</v>
          </cell>
          <cell r="C1481" t="str">
            <v>Year 1</v>
          </cell>
          <cell r="E1481">
            <v>26191000000</v>
          </cell>
        </row>
        <row r="1482">
          <cell r="B1482" t="str">
            <v>TRV</v>
          </cell>
          <cell r="C1482" t="str">
            <v>Year 2</v>
          </cell>
          <cell r="E1482">
            <v>27174000000</v>
          </cell>
        </row>
        <row r="1483">
          <cell r="B1483" t="str">
            <v>TRV</v>
          </cell>
          <cell r="C1483" t="str">
            <v>Year 3</v>
          </cell>
          <cell r="E1483">
            <v>26815000000</v>
          </cell>
        </row>
        <row r="1484">
          <cell r="B1484" t="str">
            <v>TRV</v>
          </cell>
          <cell r="C1484" t="str">
            <v>Year 4</v>
          </cell>
          <cell r="E1484">
            <v>27625000000</v>
          </cell>
        </row>
        <row r="1485">
          <cell r="B1485" t="str">
            <v>TSCO</v>
          </cell>
          <cell r="C1485" t="str">
            <v>Year 1</v>
          </cell>
          <cell r="E1485">
            <v>4664120000</v>
          </cell>
        </row>
        <row r="1486">
          <cell r="B1486" t="str">
            <v>TSCO</v>
          </cell>
          <cell r="C1486" t="str">
            <v>Year 2</v>
          </cell>
          <cell r="E1486">
            <v>5164784000</v>
          </cell>
        </row>
        <row r="1487">
          <cell r="B1487" t="str">
            <v>TSCO</v>
          </cell>
          <cell r="C1487" t="str">
            <v>Year 3</v>
          </cell>
          <cell r="E1487">
            <v>5711715000</v>
          </cell>
        </row>
        <row r="1488">
          <cell r="B1488" t="str">
            <v>TSCO</v>
          </cell>
          <cell r="C1488" t="str">
            <v>Year 4</v>
          </cell>
          <cell r="E1488">
            <v>6226507000</v>
          </cell>
        </row>
        <row r="1489">
          <cell r="B1489" t="str">
            <v>TSN</v>
          </cell>
          <cell r="C1489" t="str">
            <v>Year 1</v>
          </cell>
          <cell r="E1489">
            <v>34374000000</v>
          </cell>
        </row>
        <row r="1490">
          <cell r="B1490" t="str">
            <v>TSN</v>
          </cell>
          <cell r="C1490" t="str">
            <v>Year 2</v>
          </cell>
          <cell r="E1490">
            <v>37580000000</v>
          </cell>
        </row>
        <row r="1491">
          <cell r="B1491" t="str">
            <v>TSN</v>
          </cell>
          <cell r="C1491" t="str">
            <v>Year 3</v>
          </cell>
          <cell r="E1491">
            <v>41373000000</v>
          </cell>
        </row>
        <row r="1492">
          <cell r="B1492" t="str">
            <v>TSN</v>
          </cell>
          <cell r="C1492" t="str">
            <v>Year 4</v>
          </cell>
          <cell r="E1492">
            <v>36881000000</v>
          </cell>
        </row>
        <row r="1493">
          <cell r="B1493" t="str">
            <v>TSO</v>
          </cell>
          <cell r="C1493" t="str">
            <v>Year 1</v>
          </cell>
          <cell r="E1493">
            <v>29809000000</v>
          </cell>
        </row>
        <row r="1494">
          <cell r="B1494" t="str">
            <v>TSO</v>
          </cell>
          <cell r="C1494" t="str">
            <v>Year 2</v>
          </cell>
          <cell r="E1494">
            <v>37601000000</v>
          </cell>
        </row>
        <row r="1495">
          <cell r="B1495" t="str">
            <v>TSO</v>
          </cell>
          <cell r="C1495" t="str">
            <v>Year 3</v>
          </cell>
          <cell r="E1495">
            <v>40633000000</v>
          </cell>
        </row>
        <row r="1496">
          <cell r="B1496" t="str">
            <v>TSO</v>
          </cell>
          <cell r="C1496" t="str">
            <v>Year 4</v>
          </cell>
          <cell r="E1496">
            <v>28711000000</v>
          </cell>
        </row>
        <row r="1497">
          <cell r="B1497" t="str">
            <v>TSS</v>
          </cell>
          <cell r="C1497" t="str">
            <v>Year 1</v>
          </cell>
          <cell r="E1497">
            <v>1793557000</v>
          </cell>
        </row>
        <row r="1498">
          <cell r="B1498" t="str">
            <v>TSS</v>
          </cell>
          <cell r="C1498" t="str">
            <v>Year 2</v>
          </cell>
          <cell r="E1498">
            <v>2064305000</v>
          </cell>
        </row>
        <row r="1499">
          <cell r="B1499" t="str">
            <v>TSS</v>
          </cell>
          <cell r="C1499" t="str">
            <v>Year 3</v>
          </cell>
          <cell r="E1499">
            <v>2446877000</v>
          </cell>
        </row>
        <row r="1500">
          <cell r="B1500" t="str">
            <v>TSS</v>
          </cell>
          <cell r="C1500" t="str">
            <v>Year 4</v>
          </cell>
          <cell r="E1500">
            <v>2779541000</v>
          </cell>
        </row>
        <row r="1501">
          <cell r="B1501" t="str">
            <v>TXN</v>
          </cell>
          <cell r="C1501" t="str">
            <v>Year 1</v>
          </cell>
          <cell r="E1501">
            <v>12825000000</v>
          </cell>
        </row>
        <row r="1502">
          <cell r="B1502" t="str">
            <v>TXN</v>
          </cell>
          <cell r="C1502" t="str">
            <v>Year 2</v>
          </cell>
          <cell r="E1502">
            <v>12205000000</v>
          </cell>
        </row>
        <row r="1503">
          <cell r="B1503" t="str">
            <v>TXN</v>
          </cell>
          <cell r="C1503" t="str">
            <v>Year 3</v>
          </cell>
          <cell r="E1503">
            <v>13045000000</v>
          </cell>
        </row>
        <row r="1504">
          <cell r="B1504" t="str">
            <v>TXN</v>
          </cell>
          <cell r="C1504" t="str">
            <v>Year 4</v>
          </cell>
          <cell r="E1504">
            <v>13000000000</v>
          </cell>
        </row>
        <row r="1505">
          <cell r="B1505" t="str">
            <v>TXT</v>
          </cell>
          <cell r="C1505" t="str">
            <v>Year 1</v>
          </cell>
          <cell r="E1505">
            <v>12237000000</v>
          </cell>
        </row>
        <row r="1506">
          <cell r="B1506" t="str">
            <v>TXT</v>
          </cell>
          <cell r="C1506" t="str">
            <v>Year 2</v>
          </cell>
          <cell r="E1506">
            <v>12104000000</v>
          </cell>
        </row>
        <row r="1507">
          <cell r="B1507" t="str">
            <v>TXT</v>
          </cell>
          <cell r="C1507" t="str">
            <v>Year 3</v>
          </cell>
          <cell r="E1507">
            <v>13878000000</v>
          </cell>
        </row>
        <row r="1508">
          <cell r="B1508" t="str">
            <v>TXT</v>
          </cell>
          <cell r="C1508" t="str">
            <v>Year 4</v>
          </cell>
          <cell r="E1508">
            <v>13423000000</v>
          </cell>
        </row>
        <row r="1509">
          <cell r="B1509" t="str">
            <v>UA</v>
          </cell>
          <cell r="C1509" t="str">
            <v>Year 1</v>
          </cell>
          <cell r="E1509">
            <v>1834921000</v>
          </cell>
        </row>
        <row r="1510">
          <cell r="B1510" t="str">
            <v>UA</v>
          </cell>
          <cell r="C1510" t="str">
            <v>Year 2</v>
          </cell>
          <cell r="E1510">
            <v>2332051000</v>
          </cell>
        </row>
        <row r="1511">
          <cell r="B1511" t="str">
            <v>UA</v>
          </cell>
          <cell r="C1511" t="str">
            <v>Year 3</v>
          </cell>
          <cell r="E1511">
            <v>3084370000</v>
          </cell>
        </row>
        <row r="1512">
          <cell r="B1512" t="str">
            <v>UA</v>
          </cell>
          <cell r="C1512" t="str">
            <v>Year 4</v>
          </cell>
          <cell r="E1512">
            <v>3963313000</v>
          </cell>
        </row>
        <row r="1513">
          <cell r="B1513" t="str">
            <v>UAA</v>
          </cell>
          <cell r="C1513" t="str">
            <v>Year 1</v>
          </cell>
          <cell r="E1513">
            <v>1834921000</v>
          </cell>
        </row>
        <row r="1514">
          <cell r="B1514" t="str">
            <v>UAA</v>
          </cell>
          <cell r="C1514" t="str">
            <v>Year 2</v>
          </cell>
          <cell r="E1514">
            <v>2332051000</v>
          </cell>
        </row>
        <row r="1515">
          <cell r="B1515" t="str">
            <v>UAA</v>
          </cell>
          <cell r="C1515" t="str">
            <v>Year 3</v>
          </cell>
          <cell r="E1515">
            <v>3084370000</v>
          </cell>
        </row>
        <row r="1516">
          <cell r="B1516" t="str">
            <v>UAA</v>
          </cell>
          <cell r="C1516" t="str">
            <v>Year 4</v>
          </cell>
          <cell r="E1516">
            <v>3963313000</v>
          </cell>
        </row>
        <row r="1517">
          <cell r="B1517" t="str">
            <v>UAL</v>
          </cell>
          <cell r="C1517" t="str">
            <v>Year 1</v>
          </cell>
          <cell r="E1517">
            <v>37152000000</v>
          </cell>
        </row>
        <row r="1518">
          <cell r="B1518" t="str">
            <v>UAL</v>
          </cell>
          <cell r="C1518" t="str">
            <v>Year 2</v>
          </cell>
          <cell r="E1518">
            <v>38279000000</v>
          </cell>
        </row>
        <row r="1519">
          <cell r="B1519" t="str">
            <v>UAL</v>
          </cell>
          <cell r="C1519" t="str">
            <v>Year 3</v>
          </cell>
          <cell r="E1519">
            <v>38901000000</v>
          </cell>
        </row>
        <row r="1520">
          <cell r="B1520" t="str">
            <v>UAL</v>
          </cell>
          <cell r="C1520" t="str">
            <v>Year 4</v>
          </cell>
          <cell r="E1520">
            <v>37864000000</v>
          </cell>
        </row>
        <row r="1521">
          <cell r="B1521" t="str">
            <v>UDR</v>
          </cell>
          <cell r="C1521" t="str">
            <v>Year 1</v>
          </cell>
          <cell r="E1521">
            <v>716612000</v>
          </cell>
        </row>
        <row r="1522">
          <cell r="B1522" t="str">
            <v>UDR</v>
          </cell>
          <cell r="C1522" t="str">
            <v>Year 2</v>
          </cell>
          <cell r="E1522">
            <v>758926000</v>
          </cell>
        </row>
        <row r="1523">
          <cell r="B1523" t="str">
            <v>UDR</v>
          </cell>
          <cell r="C1523" t="str">
            <v>Year 3</v>
          </cell>
          <cell r="E1523">
            <v>818046000</v>
          </cell>
        </row>
        <row r="1524">
          <cell r="B1524" t="str">
            <v>UDR</v>
          </cell>
          <cell r="C1524" t="str">
            <v>Year 4</v>
          </cell>
          <cell r="E1524">
            <v>894638000</v>
          </cell>
        </row>
        <row r="1525">
          <cell r="B1525" t="str">
            <v>ULTA</v>
          </cell>
          <cell r="C1525" t="str">
            <v>Year 1</v>
          </cell>
          <cell r="E1525">
            <v>2220256000</v>
          </cell>
        </row>
        <row r="1526">
          <cell r="B1526" t="str">
            <v>ULTA</v>
          </cell>
          <cell r="C1526" t="str">
            <v>Year 2</v>
          </cell>
          <cell r="E1526">
            <v>2670573000</v>
          </cell>
        </row>
        <row r="1527">
          <cell r="B1527" t="str">
            <v>ULTA</v>
          </cell>
          <cell r="C1527" t="str">
            <v>Year 3</v>
          </cell>
          <cell r="E1527">
            <v>3241369000</v>
          </cell>
        </row>
        <row r="1528">
          <cell r="B1528" t="str">
            <v>ULTA</v>
          </cell>
          <cell r="C1528" t="str">
            <v>Year 4</v>
          </cell>
          <cell r="E1528">
            <v>3924116000</v>
          </cell>
        </row>
        <row r="1529">
          <cell r="B1529" t="str">
            <v>UNH</v>
          </cell>
          <cell r="C1529" t="str">
            <v>Year 1</v>
          </cell>
          <cell r="E1529">
            <v>122489000000</v>
          </cell>
        </row>
        <row r="1530">
          <cell r="B1530" t="str">
            <v>UNH</v>
          </cell>
          <cell r="C1530" t="str">
            <v>Year 2</v>
          </cell>
          <cell r="E1530">
            <v>130474000000</v>
          </cell>
        </row>
        <row r="1531">
          <cell r="B1531" t="str">
            <v>UNH</v>
          </cell>
          <cell r="C1531" t="str">
            <v>Year 3</v>
          </cell>
          <cell r="E1531">
            <v>157107000000</v>
          </cell>
        </row>
        <row r="1532">
          <cell r="B1532" t="str">
            <v>UNH</v>
          </cell>
          <cell r="C1532" t="str">
            <v>Year 4</v>
          </cell>
          <cell r="E1532">
            <v>184840000000</v>
          </cell>
        </row>
        <row r="1533">
          <cell r="B1533" t="str">
            <v>UNM</v>
          </cell>
          <cell r="C1533" t="str">
            <v>Year 1</v>
          </cell>
          <cell r="E1533">
            <v>10515400000</v>
          </cell>
        </row>
        <row r="1534">
          <cell r="B1534" t="str">
            <v>UNM</v>
          </cell>
          <cell r="C1534" t="str">
            <v>Year 2</v>
          </cell>
          <cell r="E1534">
            <v>10368600000</v>
          </cell>
        </row>
        <row r="1535">
          <cell r="B1535" t="str">
            <v>UNM</v>
          </cell>
          <cell r="C1535" t="str">
            <v>Year 3</v>
          </cell>
          <cell r="E1535">
            <v>10524500000</v>
          </cell>
        </row>
        <row r="1536">
          <cell r="B1536" t="str">
            <v>UNM</v>
          </cell>
          <cell r="C1536" t="str">
            <v>Year 4</v>
          </cell>
          <cell r="E1536">
            <v>10731300000</v>
          </cell>
        </row>
        <row r="1537">
          <cell r="B1537" t="str">
            <v>UNP</v>
          </cell>
          <cell r="C1537" t="str">
            <v>Year 1</v>
          </cell>
          <cell r="E1537">
            <v>21963000000</v>
          </cell>
        </row>
        <row r="1538">
          <cell r="B1538" t="str">
            <v>UNP</v>
          </cell>
          <cell r="C1538" t="str">
            <v>Year 2</v>
          </cell>
          <cell r="E1538">
            <v>23988000000</v>
          </cell>
        </row>
        <row r="1539">
          <cell r="B1539" t="str">
            <v>UNP</v>
          </cell>
          <cell r="C1539" t="str">
            <v>Year 3</v>
          </cell>
          <cell r="E1539">
            <v>21813000000</v>
          </cell>
        </row>
        <row r="1540">
          <cell r="B1540" t="str">
            <v>UNP</v>
          </cell>
          <cell r="C1540" t="str">
            <v>Year 4</v>
          </cell>
          <cell r="E1540">
            <v>19941000000</v>
          </cell>
        </row>
        <row r="1541">
          <cell r="B1541" t="str">
            <v>UPS</v>
          </cell>
          <cell r="C1541" t="str">
            <v>Year 1</v>
          </cell>
          <cell r="E1541">
            <v>54127000000</v>
          </cell>
        </row>
        <row r="1542">
          <cell r="B1542" t="str">
            <v>UPS</v>
          </cell>
          <cell r="C1542" t="str">
            <v>Year 2</v>
          </cell>
          <cell r="E1542">
            <v>55438000000</v>
          </cell>
        </row>
        <row r="1543">
          <cell r="B1543" t="str">
            <v>UPS</v>
          </cell>
          <cell r="C1543" t="str">
            <v>Year 3</v>
          </cell>
          <cell r="E1543">
            <v>58232000000</v>
          </cell>
        </row>
        <row r="1544">
          <cell r="B1544" t="str">
            <v>UPS</v>
          </cell>
          <cell r="C1544" t="str">
            <v>Year 4</v>
          </cell>
          <cell r="E1544">
            <v>58363000000</v>
          </cell>
        </row>
        <row r="1545">
          <cell r="B1545" t="str">
            <v>URBN</v>
          </cell>
          <cell r="C1545" t="str">
            <v>Year 1</v>
          </cell>
          <cell r="E1545">
            <v>2794925000</v>
          </cell>
        </row>
        <row r="1546">
          <cell r="B1546" t="str">
            <v>URBN</v>
          </cell>
          <cell r="C1546" t="str">
            <v>Year 2</v>
          </cell>
          <cell r="E1546">
            <v>3086608000</v>
          </cell>
        </row>
        <row r="1547">
          <cell r="B1547" t="str">
            <v>URBN</v>
          </cell>
          <cell r="C1547" t="str">
            <v>Year 3</v>
          </cell>
          <cell r="E1547">
            <v>3323077000</v>
          </cell>
        </row>
        <row r="1548">
          <cell r="B1548" t="str">
            <v>URBN</v>
          </cell>
          <cell r="C1548" t="str">
            <v>Year 4</v>
          </cell>
          <cell r="E1548">
            <v>3445134000</v>
          </cell>
        </row>
        <row r="1549">
          <cell r="B1549" t="str">
            <v>USB</v>
          </cell>
          <cell r="C1549" t="str">
            <v>Year 1</v>
          </cell>
          <cell r="E1549">
            <v>2436948000</v>
          </cell>
        </row>
        <row r="1550">
          <cell r="B1550" t="str">
            <v>USB</v>
          </cell>
          <cell r="C1550" t="str">
            <v>Year 2</v>
          </cell>
          <cell r="E1550">
            <v>2473500000</v>
          </cell>
        </row>
        <row r="1551">
          <cell r="B1551" t="str">
            <v>USB</v>
          </cell>
          <cell r="C1551" t="str">
            <v>Year 3</v>
          </cell>
          <cell r="E1551">
            <v>2371200000</v>
          </cell>
        </row>
        <row r="1552">
          <cell r="B1552" t="str">
            <v>USB</v>
          </cell>
          <cell r="C1552" t="str">
            <v>Year 4</v>
          </cell>
          <cell r="E1552">
            <v>2220300000</v>
          </cell>
        </row>
        <row r="1553">
          <cell r="B1553" t="str">
            <v>UTX</v>
          </cell>
          <cell r="C1553" t="str">
            <v>Year 1</v>
          </cell>
          <cell r="E1553">
            <v>56600000000</v>
          </cell>
        </row>
        <row r="1554">
          <cell r="B1554" t="str">
            <v>UTX</v>
          </cell>
          <cell r="C1554" t="str">
            <v>Year 2</v>
          </cell>
          <cell r="E1554">
            <v>57900000000</v>
          </cell>
        </row>
        <row r="1555">
          <cell r="B1555" t="str">
            <v>UTX</v>
          </cell>
          <cell r="C1555" t="str">
            <v>Year 3</v>
          </cell>
          <cell r="E1555">
            <v>56098000000</v>
          </cell>
        </row>
        <row r="1556">
          <cell r="B1556" t="str">
            <v>UTX</v>
          </cell>
          <cell r="C1556" t="str">
            <v>Year 4</v>
          </cell>
          <cell r="E1556">
            <v>57244000000</v>
          </cell>
        </row>
        <row r="1557">
          <cell r="B1557" t="str">
            <v>V</v>
          </cell>
          <cell r="C1557" t="str">
            <v>Year 1</v>
          </cell>
          <cell r="E1557">
            <v>11778000000</v>
          </cell>
        </row>
        <row r="1558">
          <cell r="B1558" t="str">
            <v>V</v>
          </cell>
          <cell r="C1558" t="str">
            <v>Year 2</v>
          </cell>
          <cell r="E1558">
            <v>12702000000</v>
          </cell>
        </row>
        <row r="1559">
          <cell r="B1559" t="str">
            <v>V</v>
          </cell>
          <cell r="C1559" t="str">
            <v>Year 3</v>
          </cell>
          <cell r="E1559">
            <v>13880000000</v>
          </cell>
        </row>
        <row r="1560">
          <cell r="B1560" t="str">
            <v>V</v>
          </cell>
          <cell r="C1560" t="str">
            <v>Year 4</v>
          </cell>
          <cell r="E1560">
            <v>15082000000</v>
          </cell>
        </row>
        <row r="1561">
          <cell r="B1561" t="str">
            <v>VAR</v>
          </cell>
          <cell r="C1561" t="str">
            <v>Year 1</v>
          </cell>
          <cell r="E1561">
            <v>2942897000</v>
          </cell>
        </row>
        <row r="1562">
          <cell r="B1562" t="str">
            <v>VAR</v>
          </cell>
          <cell r="C1562" t="str">
            <v>Year 2</v>
          </cell>
          <cell r="E1562">
            <v>3049800000</v>
          </cell>
        </row>
        <row r="1563">
          <cell r="B1563" t="str">
            <v>VAR</v>
          </cell>
          <cell r="C1563" t="str">
            <v>Year 3</v>
          </cell>
          <cell r="E1563">
            <v>3099100000</v>
          </cell>
        </row>
        <row r="1564">
          <cell r="B1564" t="str">
            <v>VAR</v>
          </cell>
          <cell r="C1564" t="str">
            <v>Year 4</v>
          </cell>
          <cell r="E1564">
            <v>3217800000</v>
          </cell>
        </row>
        <row r="1565">
          <cell r="B1565" t="str">
            <v>VFC</v>
          </cell>
          <cell r="C1565" t="str">
            <v>Year 1</v>
          </cell>
          <cell r="E1565">
            <v>10879855000</v>
          </cell>
        </row>
        <row r="1566">
          <cell r="B1566" t="str">
            <v>VFC</v>
          </cell>
          <cell r="C1566" t="str">
            <v>Year 2</v>
          </cell>
          <cell r="E1566">
            <v>11419648000</v>
          </cell>
        </row>
        <row r="1567">
          <cell r="B1567" t="str">
            <v>VFC</v>
          </cell>
          <cell r="C1567" t="str">
            <v>Year 3</v>
          </cell>
          <cell r="E1567">
            <v>12282161000</v>
          </cell>
        </row>
        <row r="1568">
          <cell r="B1568" t="str">
            <v>VFC</v>
          </cell>
          <cell r="C1568" t="str">
            <v>Year 4</v>
          </cell>
          <cell r="E1568">
            <v>12376744000</v>
          </cell>
        </row>
        <row r="1569">
          <cell r="B1569" t="str">
            <v>VIAB</v>
          </cell>
          <cell r="C1569" t="str">
            <v>Year 1</v>
          </cell>
          <cell r="E1569">
            <v>13794000000</v>
          </cell>
        </row>
        <row r="1570">
          <cell r="B1570" t="str">
            <v>VIAB</v>
          </cell>
          <cell r="C1570" t="str">
            <v>Year 2</v>
          </cell>
          <cell r="E1570">
            <v>13783000000</v>
          </cell>
        </row>
        <row r="1571">
          <cell r="B1571" t="str">
            <v>VIAB</v>
          </cell>
          <cell r="C1571" t="str">
            <v>Year 3</v>
          </cell>
          <cell r="E1571">
            <v>13268000000</v>
          </cell>
        </row>
        <row r="1572">
          <cell r="B1572" t="str">
            <v>VIAB</v>
          </cell>
          <cell r="C1572" t="str">
            <v>Year 4</v>
          </cell>
          <cell r="E1572">
            <v>12488000000</v>
          </cell>
        </row>
        <row r="1573">
          <cell r="B1573" t="str">
            <v>VLO</v>
          </cell>
          <cell r="C1573" t="str">
            <v>Year 1</v>
          </cell>
          <cell r="E1573">
            <v>138393000000</v>
          </cell>
        </row>
        <row r="1574">
          <cell r="B1574" t="str">
            <v>VLO</v>
          </cell>
          <cell r="C1574" t="str">
            <v>Year 2</v>
          </cell>
          <cell r="E1574">
            <v>138074000000</v>
          </cell>
        </row>
        <row r="1575">
          <cell r="B1575" t="str">
            <v>VLO</v>
          </cell>
          <cell r="C1575" t="str">
            <v>Year 3</v>
          </cell>
          <cell r="E1575">
            <v>130844000000</v>
          </cell>
        </row>
        <row r="1576">
          <cell r="B1576" t="str">
            <v>VLO</v>
          </cell>
          <cell r="C1576" t="str">
            <v>Year 4</v>
          </cell>
          <cell r="E1576">
            <v>87804000000</v>
          </cell>
        </row>
        <row r="1577">
          <cell r="B1577" t="str">
            <v>VMC</v>
          </cell>
          <cell r="C1577" t="str">
            <v>Year 1</v>
          </cell>
          <cell r="E1577">
            <v>2567310000</v>
          </cell>
        </row>
        <row r="1578">
          <cell r="B1578" t="str">
            <v>VMC</v>
          </cell>
          <cell r="C1578" t="str">
            <v>Year 2</v>
          </cell>
          <cell r="E1578">
            <v>2770709000</v>
          </cell>
        </row>
        <row r="1579">
          <cell r="B1579" t="str">
            <v>VMC</v>
          </cell>
          <cell r="C1579" t="str">
            <v>Year 3</v>
          </cell>
          <cell r="E1579">
            <v>2994169000</v>
          </cell>
        </row>
        <row r="1580">
          <cell r="B1580" t="str">
            <v>VMC</v>
          </cell>
          <cell r="C1580" t="str">
            <v>Year 4</v>
          </cell>
          <cell r="E1580">
            <v>3422181000</v>
          </cell>
        </row>
        <row r="1581">
          <cell r="B1581" t="str">
            <v>VNO</v>
          </cell>
          <cell r="C1581" t="str">
            <v>Year 1</v>
          </cell>
          <cell r="E1581">
            <v>2299176000</v>
          </cell>
        </row>
        <row r="1582">
          <cell r="B1582" t="str">
            <v>VNO</v>
          </cell>
          <cell r="C1582" t="str">
            <v>Year 2</v>
          </cell>
          <cell r="E1582">
            <v>2312512000</v>
          </cell>
        </row>
        <row r="1583">
          <cell r="B1583" t="str">
            <v>VNO</v>
          </cell>
          <cell r="C1583" t="str">
            <v>Year 3</v>
          </cell>
          <cell r="E1583">
            <v>2502267000</v>
          </cell>
        </row>
        <row r="1584">
          <cell r="B1584" t="str">
            <v>VNO</v>
          </cell>
          <cell r="C1584" t="str">
            <v>Year 4</v>
          </cell>
          <cell r="E1584">
            <v>2506202000</v>
          </cell>
        </row>
        <row r="1585">
          <cell r="B1585" t="str">
            <v>VRSK</v>
          </cell>
          <cell r="C1585" t="str">
            <v>Year 1</v>
          </cell>
          <cell r="E1585">
            <v>1407848000</v>
          </cell>
        </row>
        <row r="1586">
          <cell r="B1586" t="str">
            <v>VRSK</v>
          </cell>
          <cell r="C1586" t="str">
            <v>Year 2</v>
          </cell>
          <cell r="E1586">
            <v>1595703000</v>
          </cell>
        </row>
        <row r="1587">
          <cell r="B1587" t="str">
            <v>VRSK</v>
          </cell>
          <cell r="C1587" t="str">
            <v>Year 3</v>
          </cell>
          <cell r="E1587">
            <v>1746726000</v>
          </cell>
        </row>
        <row r="1588">
          <cell r="B1588" t="str">
            <v>VRSK</v>
          </cell>
          <cell r="C1588" t="str">
            <v>Year 4</v>
          </cell>
          <cell r="E1588">
            <v>2068010000</v>
          </cell>
        </row>
        <row r="1589">
          <cell r="B1589" t="str">
            <v>VRSN</v>
          </cell>
          <cell r="C1589" t="str">
            <v>Year 1</v>
          </cell>
          <cell r="E1589">
            <v>873592000</v>
          </cell>
        </row>
        <row r="1590">
          <cell r="B1590" t="str">
            <v>VRSN</v>
          </cell>
          <cell r="C1590" t="str">
            <v>Year 2</v>
          </cell>
          <cell r="E1590">
            <v>965087000</v>
          </cell>
        </row>
        <row r="1591">
          <cell r="B1591" t="str">
            <v>VRSN</v>
          </cell>
          <cell r="C1591" t="str">
            <v>Year 3</v>
          </cell>
          <cell r="E1591">
            <v>1010117000</v>
          </cell>
        </row>
        <row r="1592">
          <cell r="B1592" t="str">
            <v>VRSN</v>
          </cell>
          <cell r="C1592" t="str">
            <v>Year 4</v>
          </cell>
          <cell r="E1592">
            <v>1059366000</v>
          </cell>
        </row>
        <row r="1593">
          <cell r="B1593" t="str">
            <v>VRTX</v>
          </cell>
          <cell r="C1593" t="str">
            <v>Year 1</v>
          </cell>
          <cell r="E1593">
            <v>1527042000</v>
          </cell>
        </row>
        <row r="1594">
          <cell r="B1594" t="str">
            <v>VRTX</v>
          </cell>
          <cell r="C1594" t="str">
            <v>Year 2</v>
          </cell>
          <cell r="E1594">
            <v>1211975000</v>
          </cell>
        </row>
        <row r="1595">
          <cell r="B1595" t="str">
            <v>VRTX</v>
          </cell>
          <cell r="C1595" t="str">
            <v>Year 3</v>
          </cell>
          <cell r="E1595">
            <v>580415000</v>
          </cell>
        </row>
        <row r="1596">
          <cell r="B1596" t="str">
            <v>VRTX</v>
          </cell>
          <cell r="C1596" t="str">
            <v>Year 4</v>
          </cell>
          <cell r="E1596">
            <v>1032336000</v>
          </cell>
        </row>
        <row r="1597">
          <cell r="B1597" t="str">
            <v>VTR</v>
          </cell>
          <cell r="C1597" t="str">
            <v>Year 1</v>
          </cell>
          <cell r="E1597">
            <v>2514595000</v>
          </cell>
        </row>
        <row r="1598">
          <cell r="B1598" t="str">
            <v>VTR</v>
          </cell>
          <cell r="C1598" t="str">
            <v>Year 2</v>
          </cell>
          <cell r="E1598">
            <v>2772550000</v>
          </cell>
        </row>
        <row r="1599">
          <cell r="B1599" t="str">
            <v>VTR</v>
          </cell>
          <cell r="C1599" t="str">
            <v>Year 3</v>
          </cell>
          <cell r="E1599">
            <v>3285346000</v>
          </cell>
        </row>
        <row r="1600">
          <cell r="B1600" t="str">
            <v>VTR</v>
          </cell>
          <cell r="C1600" t="str">
            <v>Year 4</v>
          </cell>
          <cell r="E1600">
            <v>3442646000</v>
          </cell>
        </row>
        <row r="1601">
          <cell r="B1601" t="str">
            <v>VZ</v>
          </cell>
          <cell r="C1601" t="str">
            <v>Year 1</v>
          </cell>
          <cell r="E1601">
            <v>115846000000</v>
          </cell>
        </row>
        <row r="1602">
          <cell r="B1602" t="str">
            <v>VZ</v>
          </cell>
          <cell r="C1602" t="str">
            <v>Year 2</v>
          </cell>
          <cell r="E1602">
            <v>120550000000</v>
          </cell>
        </row>
        <row r="1603">
          <cell r="B1603" t="str">
            <v>VZ</v>
          </cell>
          <cell r="C1603" t="str">
            <v>Year 3</v>
          </cell>
          <cell r="E1603">
            <v>127079000000</v>
          </cell>
        </row>
        <row r="1604">
          <cell r="B1604" t="str">
            <v>VZ</v>
          </cell>
          <cell r="C1604" t="str">
            <v>Year 4</v>
          </cell>
          <cell r="E1604">
            <v>131620000000</v>
          </cell>
        </row>
        <row r="1605">
          <cell r="B1605" t="str">
            <v>WAT</v>
          </cell>
          <cell r="C1605" t="str">
            <v>Year 1</v>
          </cell>
          <cell r="E1605">
            <v>1843641000</v>
          </cell>
        </row>
        <row r="1606">
          <cell r="B1606" t="str">
            <v>WAT</v>
          </cell>
          <cell r="C1606" t="str">
            <v>Year 2</v>
          </cell>
          <cell r="E1606">
            <v>1904218000</v>
          </cell>
        </row>
        <row r="1607">
          <cell r="B1607" t="str">
            <v>WAT</v>
          </cell>
          <cell r="C1607" t="str">
            <v>Year 3</v>
          </cell>
          <cell r="E1607">
            <v>1989344000</v>
          </cell>
        </row>
        <row r="1608">
          <cell r="B1608" t="str">
            <v>WAT</v>
          </cell>
          <cell r="C1608" t="str">
            <v>Year 4</v>
          </cell>
          <cell r="E1608">
            <v>2042332000</v>
          </cell>
        </row>
        <row r="1609">
          <cell r="B1609" t="str">
            <v>WDC</v>
          </cell>
          <cell r="C1609" t="str">
            <v>Year 1</v>
          </cell>
          <cell r="E1609">
            <v>15351000000</v>
          </cell>
        </row>
        <row r="1610">
          <cell r="B1610" t="str">
            <v>WDC</v>
          </cell>
          <cell r="C1610" t="str">
            <v>Year 2</v>
          </cell>
          <cell r="E1610">
            <v>15130000000</v>
          </cell>
        </row>
        <row r="1611">
          <cell r="B1611" t="str">
            <v>WDC</v>
          </cell>
          <cell r="C1611" t="str">
            <v>Year 3</v>
          </cell>
          <cell r="E1611">
            <v>14572000000</v>
          </cell>
        </row>
        <row r="1612">
          <cell r="B1612" t="str">
            <v>WDC</v>
          </cell>
          <cell r="C1612" t="str">
            <v>Year 4</v>
          </cell>
          <cell r="E1612">
            <v>12994000000</v>
          </cell>
        </row>
        <row r="1613">
          <cell r="B1613" t="str">
            <v>WEC</v>
          </cell>
          <cell r="C1613" t="str">
            <v>Year 1</v>
          </cell>
          <cell r="E1613">
            <v>4246400000</v>
          </cell>
        </row>
        <row r="1614">
          <cell r="B1614" t="str">
            <v>WEC</v>
          </cell>
          <cell r="C1614" t="str">
            <v>Year 2</v>
          </cell>
          <cell r="E1614">
            <v>4519000000</v>
          </cell>
        </row>
        <row r="1615">
          <cell r="B1615" t="str">
            <v>WEC</v>
          </cell>
          <cell r="C1615" t="str">
            <v>Year 3</v>
          </cell>
          <cell r="E1615">
            <v>4997100000</v>
          </cell>
        </row>
        <row r="1616">
          <cell r="B1616" t="str">
            <v>WEC</v>
          </cell>
          <cell r="C1616" t="str">
            <v>Year 4</v>
          </cell>
          <cell r="E1616">
            <v>5926100000</v>
          </cell>
        </row>
        <row r="1617">
          <cell r="B1617" t="str">
            <v>WFC</v>
          </cell>
          <cell r="C1617" t="str">
            <v>Year 1</v>
          </cell>
          <cell r="E1617">
            <v>91247000000</v>
          </cell>
        </row>
        <row r="1618">
          <cell r="B1618" t="str">
            <v>WFC</v>
          </cell>
          <cell r="C1618" t="str">
            <v>Year 2</v>
          </cell>
          <cell r="E1618">
            <v>88069000000</v>
          </cell>
        </row>
        <row r="1619">
          <cell r="B1619" t="str">
            <v>WFC</v>
          </cell>
          <cell r="C1619" t="str">
            <v>Year 3</v>
          </cell>
          <cell r="E1619">
            <v>88372000000</v>
          </cell>
        </row>
        <row r="1620">
          <cell r="B1620" t="str">
            <v>WFC</v>
          </cell>
          <cell r="C1620" t="str">
            <v>Year 4</v>
          </cell>
          <cell r="E1620">
            <v>90033000000</v>
          </cell>
        </row>
        <row r="1621">
          <cell r="B1621" t="str">
            <v>WFM</v>
          </cell>
          <cell r="C1621" t="str">
            <v>Year 1</v>
          </cell>
          <cell r="E1621">
            <v>12917000000</v>
          </cell>
        </row>
        <row r="1622">
          <cell r="B1622" t="str">
            <v>WFM</v>
          </cell>
          <cell r="C1622" t="str">
            <v>Year 2</v>
          </cell>
          <cell r="E1622">
            <v>14194000000</v>
          </cell>
        </row>
        <row r="1623">
          <cell r="B1623" t="str">
            <v>WFM</v>
          </cell>
          <cell r="C1623" t="str">
            <v>Year 3</v>
          </cell>
          <cell r="E1623">
            <v>15389000000</v>
          </cell>
        </row>
        <row r="1624">
          <cell r="B1624" t="str">
            <v>WFM</v>
          </cell>
          <cell r="C1624" t="str">
            <v>Year 4</v>
          </cell>
          <cell r="E1624">
            <v>15724000000</v>
          </cell>
        </row>
        <row r="1625">
          <cell r="B1625" t="str">
            <v>WHR</v>
          </cell>
          <cell r="C1625" t="str">
            <v>Year 1</v>
          </cell>
          <cell r="E1625">
            <v>18769000000</v>
          </cell>
        </row>
        <row r="1626">
          <cell r="B1626" t="str">
            <v>WHR</v>
          </cell>
          <cell r="C1626" t="str">
            <v>Year 2</v>
          </cell>
          <cell r="E1626">
            <v>19872000000</v>
          </cell>
        </row>
        <row r="1627">
          <cell r="B1627" t="str">
            <v>WHR</v>
          </cell>
          <cell r="C1627" t="str">
            <v>Year 3</v>
          </cell>
          <cell r="E1627">
            <v>20891000000</v>
          </cell>
        </row>
        <row r="1628">
          <cell r="B1628" t="str">
            <v>WHR</v>
          </cell>
          <cell r="C1628" t="str">
            <v>Year 4</v>
          </cell>
          <cell r="E1628">
            <v>20718000000</v>
          </cell>
        </row>
        <row r="1629">
          <cell r="B1629" t="str">
            <v>WM</v>
          </cell>
          <cell r="C1629" t="str">
            <v>Year 1</v>
          </cell>
          <cell r="E1629">
            <v>13983000000</v>
          </cell>
        </row>
        <row r="1630">
          <cell r="B1630" t="str">
            <v>WM</v>
          </cell>
          <cell r="C1630" t="str">
            <v>Year 2</v>
          </cell>
          <cell r="E1630">
            <v>13996000000</v>
          </cell>
        </row>
        <row r="1631">
          <cell r="B1631" t="str">
            <v>WM</v>
          </cell>
          <cell r="C1631" t="str">
            <v>Year 3</v>
          </cell>
          <cell r="E1631">
            <v>12961000000</v>
          </cell>
        </row>
        <row r="1632">
          <cell r="B1632" t="str">
            <v>WM</v>
          </cell>
          <cell r="C1632" t="str">
            <v>Year 4</v>
          </cell>
          <cell r="E1632">
            <v>13609000000</v>
          </cell>
        </row>
        <row r="1633">
          <cell r="B1633" t="str">
            <v>WMB</v>
          </cell>
          <cell r="C1633" t="str">
            <v>Year 1</v>
          </cell>
          <cell r="E1633">
            <v>7486000000</v>
          </cell>
        </row>
        <row r="1634">
          <cell r="B1634" t="str">
            <v>WMB</v>
          </cell>
          <cell r="C1634" t="str">
            <v>Year 2</v>
          </cell>
          <cell r="E1634">
            <v>6860000000</v>
          </cell>
        </row>
        <row r="1635">
          <cell r="B1635" t="str">
            <v>WMB</v>
          </cell>
          <cell r="C1635" t="str">
            <v>Year 3</v>
          </cell>
          <cell r="E1635">
            <v>7637000000</v>
          </cell>
        </row>
        <row r="1636">
          <cell r="B1636" t="str">
            <v>WMB</v>
          </cell>
          <cell r="C1636" t="str">
            <v>Year 4</v>
          </cell>
          <cell r="E1636">
            <v>7360000000</v>
          </cell>
        </row>
        <row r="1637">
          <cell r="B1637" t="str">
            <v>WMT</v>
          </cell>
          <cell r="C1637" t="str">
            <v>Year 1</v>
          </cell>
          <cell r="E1637">
            <v>468651000000</v>
          </cell>
        </row>
        <row r="1638">
          <cell r="B1638" t="str">
            <v>WMT</v>
          </cell>
          <cell r="C1638" t="str">
            <v>Year 2</v>
          </cell>
          <cell r="E1638">
            <v>476294000000</v>
          </cell>
        </row>
        <row r="1639">
          <cell r="B1639" t="str">
            <v>WMT</v>
          </cell>
          <cell r="C1639" t="str">
            <v>Year 3</v>
          </cell>
          <cell r="E1639">
            <v>485651000000</v>
          </cell>
        </row>
        <row r="1640">
          <cell r="B1640" t="str">
            <v>WMT</v>
          </cell>
          <cell r="C1640" t="str">
            <v>Year 4</v>
          </cell>
          <cell r="E1640">
            <v>482130000000</v>
          </cell>
        </row>
        <row r="1641">
          <cell r="B1641" t="str">
            <v>WRK</v>
          </cell>
          <cell r="C1641" t="str">
            <v>Year 1</v>
          </cell>
          <cell r="E1641">
            <v>9895100000</v>
          </cell>
        </row>
        <row r="1642">
          <cell r="B1642" t="str">
            <v>WRK</v>
          </cell>
          <cell r="C1642" t="str">
            <v>Year 2</v>
          </cell>
          <cell r="E1642">
            <v>11124800000</v>
          </cell>
        </row>
        <row r="1643">
          <cell r="B1643" t="str">
            <v>WRK</v>
          </cell>
          <cell r="C1643" t="str">
            <v>Year 3</v>
          </cell>
          <cell r="E1643">
            <v>14171800000</v>
          </cell>
        </row>
        <row r="1644">
          <cell r="B1644" t="str">
            <v>WU</v>
          </cell>
          <cell r="C1644" t="str">
            <v>Year 1</v>
          </cell>
          <cell r="E1644">
            <v>5664800000</v>
          </cell>
        </row>
        <row r="1645">
          <cell r="B1645" t="str">
            <v>WU</v>
          </cell>
          <cell r="C1645" t="str">
            <v>Year 2</v>
          </cell>
          <cell r="E1645">
            <v>5542000000</v>
          </cell>
        </row>
        <row r="1646">
          <cell r="B1646" t="str">
            <v>WU</v>
          </cell>
          <cell r="C1646" t="str">
            <v>Year 3</v>
          </cell>
          <cell r="E1646">
            <v>5607200000</v>
          </cell>
        </row>
        <row r="1647">
          <cell r="B1647" t="str">
            <v>WU</v>
          </cell>
          <cell r="C1647" t="str">
            <v>Year 4</v>
          </cell>
          <cell r="E1647">
            <v>5483700000</v>
          </cell>
        </row>
        <row r="1648">
          <cell r="B1648" t="str">
            <v>WY</v>
          </cell>
          <cell r="C1648" t="str">
            <v>Year 1</v>
          </cell>
          <cell r="E1648">
            <v>5989000000</v>
          </cell>
        </row>
        <row r="1649">
          <cell r="B1649" t="str">
            <v>WY</v>
          </cell>
          <cell r="C1649" t="str">
            <v>Year 2</v>
          </cell>
          <cell r="E1649">
            <v>7254000000</v>
          </cell>
        </row>
        <row r="1650">
          <cell r="B1650" t="str">
            <v>WY</v>
          </cell>
          <cell r="C1650" t="str">
            <v>Year 3</v>
          </cell>
          <cell r="E1650">
            <v>7403000000</v>
          </cell>
        </row>
        <row r="1651">
          <cell r="B1651" t="str">
            <v>WY</v>
          </cell>
          <cell r="C1651" t="str">
            <v>Year 4</v>
          </cell>
          <cell r="E1651">
            <v>7082000000</v>
          </cell>
        </row>
        <row r="1652">
          <cell r="B1652" t="str">
            <v>WYN</v>
          </cell>
          <cell r="C1652" t="str">
            <v>Year 1</v>
          </cell>
          <cell r="E1652">
            <v>4534000000</v>
          </cell>
        </row>
        <row r="1653">
          <cell r="B1653" t="str">
            <v>WYN</v>
          </cell>
          <cell r="C1653" t="str">
            <v>Year 2</v>
          </cell>
          <cell r="E1653">
            <v>5009000000</v>
          </cell>
        </row>
        <row r="1654">
          <cell r="B1654" t="str">
            <v>WYN</v>
          </cell>
          <cell r="C1654" t="str">
            <v>Year 3</v>
          </cell>
          <cell r="E1654">
            <v>5281000000</v>
          </cell>
        </row>
        <row r="1655">
          <cell r="B1655" t="str">
            <v>WYN</v>
          </cell>
          <cell r="C1655" t="str">
            <v>Year 4</v>
          </cell>
          <cell r="E1655">
            <v>5536000000</v>
          </cell>
        </row>
        <row r="1656">
          <cell r="B1656" t="str">
            <v>WYNN</v>
          </cell>
          <cell r="C1656" t="str">
            <v>Year 1</v>
          </cell>
          <cell r="E1656">
            <v>5154284000</v>
          </cell>
        </row>
        <row r="1657">
          <cell r="B1657" t="str">
            <v>WYNN</v>
          </cell>
          <cell r="C1657" t="str">
            <v>Year 2</v>
          </cell>
          <cell r="E1657">
            <v>5620936000</v>
          </cell>
        </row>
        <row r="1658">
          <cell r="B1658" t="str">
            <v>WYNN</v>
          </cell>
          <cell r="C1658" t="str">
            <v>Year 3</v>
          </cell>
          <cell r="E1658">
            <v>5433661000</v>
          </cell>
        </row>
        <row r="1659">
          <cell r="B1659" t="str">
            <v>WYNN</v>
          </cell>
          <cell r="C1659" t="str">
            <v>Year 4</v>
          </cell>
          <cell r="E1659">
            <v>4075883000</v>
          </cell>
        </row>
        <row r="1660">
          <cell r="B1660" t="str">
            <v>XEC</v>
          </cell>
          <cell r="C1660" t="str">
            <v>Year 1</v>
          </cell>
          <cell r="E1660">
            <v>1623938000</v>
          </cell>
        </row>
        <row r="1661">
          <cell r="B1661" t="str">
            <v>XEC</v>
          </cell>
          <cell r="C1661" t="str">
            <v>Year 2</v>
          </cell>
          <cell r="E1661">
            <v>1998051000</v>
          </cell>
        </row>
        <row r="1662">
          <cell r="B1662" t="str">
            <v>XEC</v>
          </cell>
          <cell r="C1662" t="str">
            <v>Year 3</v>
          </cell>
          <cell r="E1662">
            <v>2424176000</v>
          </cell>
        </row>
        <row r="1663">
          <cell r="B1663" t="str">
            <v>XEC</v>
          </cell>
          <cell r="C1663" t="str">
            <v>Year 4</v>
          </cell>
          <cell r="E1663">
            <v>1452619000</v>
          </cell>
        </row>
        <row r="1664">
          <cell r="B1664" t="str">
            <v>XEL</v>
          </cell>
          <cell r="C1664" t="str">
            <v>Year 1</v>
          </cell>
          <cell r="E1664">
            <v>10128223000</v>
          </cell>
        </row>
        <row r="1665">
          <cell r="B1665" t="str">
            <v>XEL</v>
          </cell>
          <cell r="C1665" t="str">
            <v>Year 2</v>
          </cell>
          <cell r="E1665">
            <v>10914922000</v>
          </cell>
        </row>
        <row r="1666">
          <cell r="B1666" t="str">
            <v>XEL</v>
          </cell>
          <cell r="C1666" t="str">
            <v>Year 3</v>
          </cell>
          <cell r="E1666">
            <v>11686135000</v>
          </cell>
        </row>
        <row r="1667">
          <cell r="B1667" t="str">
            <v>XEL</v>
          </cell>
          <cell r="C1667" t="str">
            <v>Year 4</v>
          </cell>
          <cell r="E1667">
            <v>11024486000</v>
          </cell>
        </row>
        <row r="1668">
          <cell r="B1668" t="str">
            <v>XL</v>
          </cell>
          <cell r="C1668" t="str">
            <v>Year 1</v>
          </cell>
          <cell r="E1668">
            <v>7232397000</v>
          </cell>
        </row>
        <row r="1669">
          <cell r="B1669" t="str">
            <v>XL</v>
          </cell>
          <cell r="C1669" t="str">
            <v>Year 2</v>
          </cell>
          <cell r="E1669">
            <v>7541234000</v>
          </cell>
        </row>
        <row r="1670">
          <cell r="B1670" t="str">
            <v>XL</v>
          </cell>
          <cell r="C1670" t="str">
            <v>Year 3</v>
          </cell>
          <cell r="E1670">
            <v>6602267000</v>
          </cell>
        </row>
        <row r="1671">
          <cell r="B1671" t="str">
            <v>XL</v>
          </cell>
          <cell r="C1671" t="str">
            <v>Year 4</v>
          </cell>
          <cell r="E1671">
            <v>9308926000</v>
          </cell>
        </row>
        <row r="1672">
          <cell r="B1672" t="str">
            <v>XLNX</v>
          </cell>
          <cell r="C1672" t="str">
            <v>Year 1</v>
          </cell>
          <cell r="E1672">
            <v>2168652000</v>
          </cell>
        </row>
        <row r="1673">
          <cell r="B1673" t="str">
            <v>XLNX</v>
          </cell>
          <cell r="C1673" t="str">
            <v>Year 2</v>
          </cell>
          <cell r="E1673">
            <v>2382531000</v>
          </cell>
        </row>
        <row r="1674">
          <cell r="B1674" t="str">
            <v>XLNX</v>
          </cell>
          <cell r="C1674" t="str">
            <v>Year 3</v>
          </cell>
          <cell r="E1674">
            <v>2377344000</v>
          </cell>
        </row>
        <row r="1675">
          <cell r="B1675" t="str">
            <v>XLNX</v>
          </cell>
          <cell r="C1675" t="str">
            <v>Year 4</v>
          </cell>
          <cell r="E1675">
            <v>2213881000</v>
          </cell>
        </row>
        <row r="1676">
          <cell r="B1676" t="str">
            <v>XOM</v>
          </cell>
          <cell r="C1676" t="str">
            <v>Year 1</v>
          </cell>
          <cell r="E1676">
            <v>451509000000</v>
          </cell>
        </row>
        <row r="1677">
          <cell r="B1677" t="str">
            <v>XOM</v>
          </cell>
          <cell r="C1677" t="str">
            <v>Year 2</v>
          </cell>
          <cell r="E1677">
            <v>420836000000</v>
          </cell>
        </row>
        <row r="1678">
          <cell r="B1678" t="str">
            <v>XOM</v>
          </cell>
          <cell r="C1678" t="str">
            <v>Year 3</v>
          </cell>
          <cell r="E1678">
            <v>394105000000</v>
          </cell>
        </row>
        <row r="1679">
          <cell r="B1679" t="str">
            <v>XOM</v>
          </cell>
          <cell r="C1679" t="str">
            <v>Year 4</v>
          </cell>
          <cell r="E1679">
            <v>259488000000</v>
          </cell>
        </row>
        <row r="1680">
          <cell r="B1680" t="str">
            <v>XRAY</v>
          </cell>
          <cell r="C1680" t="str">
            <v>Year 1</v>
          </cell>
          <cell r="E1680">
            <v>2928429000</v>
          </cell>
        </row>
        <row r="1681">
          <cell r="B1681" t="str">
            <v>XRAY</v>
          </cell>
          <cell r="C1681" t="str">
            <v>Year 2</v>
          </cell>
          <cell r="E1681">
            <v>2950800000</v>
          </cell>
        </row>
        <row r="1682">
          <cell r="B1682" t="str">
            <v>XRAY</v>
          </cell>
          <cell r="C1682" t="str">
            <v>Year 3</v>
          </cell>
          <cell r="E1682">
            <v>2922600000</v>
          </cell>
        </row>
        <row r="1683">
          <cell r="B1683" t="str">
            <v>XRAY</v>
          </cell>
          <cell r="C1683" t="str">
            <v>Year 4</v>
          </cell>
          <cell r="E1683">
            <v>2674300000</v>
          </cell>
        </row>
        <row r="1684">
          <cell r="B1684" t="str">
            <v>XRX</v>
          </cell>
          <cell r="C1684" t="str">
            <v>Year 1</v>
          </cell>
          <cell r="E1684">
            <v>20421000000</v>
          </cell>
        </row>
        <row r="1685">
          <cell r="B1685" t="str">
            <v>XRX</v>
          </cell>
          <cell r="C1685" t="str">
            <v>Year 2</v>
          </cell>
          <cell r="E1685">
            <v>20006000000</v>
          </cell>
        </row>
        <row r="1686">
          <cell r="B1686" t="str">
            <v>XRX</v>
          </cell>
          <cell r="C1686" t="str">
            <v>Year 3</v>
          </cell>
          <cell r="E1686">
            <v>19540000000</v>
          </cell>
        </row>
        <row r="1687">
          <cell r="B1687" t="str">
            <v>XRX</v>
          </cell>
          <cell r="C1687" t="str">
            <v>Year 4</v>
          </cell>
          <cell r="E1687">
            <v>18045000000</v>
          </cell>
        </row>
        <row r="1688">
          <cell r="B1688" t="str">
            <v>XYL</v>
          </cell>
          <cell r="C1688" t="str">
            <v>Year 1</v>
          </cell>
          <cell r="E1688">
            <v>3791000000</v>
          </cell>
        </row>
        <row r="1689">
          <cell r="B1689" t="str">
            <v>XYL</v>
          </cell>
          <cell r="C1689" t="str">
            <v>Year 2</v>
          </cell>
          <cell r="E1689">
            <v>3837000000</v>
          </cell>
        </row>
        <row r="1690">
          <cell r="B1690" t="str">
            <v>XYL</v>
          </cell>
          <cell r="C1690" t="str">
            <v>Year 3</v>
          </cell>
          <cell r="E1690">
            <v>3916000000</v>
          </cell>
        </row>
        <row r="1691">
          <cell r="B1691" t="str">
            <v>XYL</v>
          </cell>
          <cell r="C1691" t="str">
            <v>Year 4</v>
          </cell>
          <cell r="E1691">
            <v>3653000000</v>
          </cell>
        </row>
        <row r="1692">
          <cell r="B1692" t="str">
            <v>YHOO</v>
          </cell>
          <cell r="C1692" t="str">
            <v>Year 1</v>
          </cell>
          <cell r="E1692">
            <v>4986566000</v>
          </cell>
        </row>
        <row r="1693">
          <cell r="B1693" t="str">
            <v>YHOO</v>
          </cell>
          <cell r="C1693" t="str">
            <v>Year 2</v>
          </cell>
          <cell r="E1693">
            <v>4680380000</v>
          </cell>
        </row>
        <row r="1694">
          <cell r="B1694" t="str">
            <v>YHOO</v>
          </cell>
          <cell r="C1694" t="str">
            <v>Year 3</v>
          </cell>
          <cell r="E1694">
            <v>4618133000</v>
          </cell>
        </row>
        <row r="1695">
          <cell r="B1695" t="str">
            <v>YHOO</v>
          </cell>
          <cell r="C1695" t="str">
            <v>Year 4</v>
          </cell>
          <cell r="E1695">
            <v>4968301000</v>
          </cell>
        </row>
        <row r="1696">
          <cell r="B1696" t="str">
            <v>YUM</v>
          </cell>
          <cell r="C1696" t="str">
            <v>Year 1</v>
          </cell>
          <cell r="E1696">
            <v>13633000000</v>
          </cell>
        </row>
        <row r="1697">
          <cell r="B1697" t="str">
            <v>YUM</v>
          </cell>
          <cell r="C1697" t="str">
            <v>Year 2</v>
          </cell>
          <cell r="E1697">
            <v>13084000000</v>
          </cell>
        </row>
        <row r="1698">
          <cell r="B1698" t="str">
            <v>YUM</v>
          </cell>
          <cell r="C1698" t="str">
            <v>Year 3</v>
          </cell>
          <cell r="E1698">
            <v>13279000000</v>
          </cell>
        </row>
        <row r="1699">
          <cell r="B1699" t="str">
            <v>YUM</v>
          </cell>
          <cell r="C1699" t="str">
            <v>Year 4</v>
          </cell>
          <cell r="E1699">
            <v>13105000000</v>
          </cell>
        </row>
        <row r="1700">
          <cell r="B1700" t="str">
            <v>ZBH</v>
          </cell>
          <cell r="C1700" t="str">
            <v>Year 1</v>
          </cell>
          <cell r="E1700">
            <v>4471700000</v>
          </cell>
        </row>
        <row r="1701">
          <cell r="B1701" t="str">
            <v>ZBH</v>
          </cell>
          <cell r="C1701" t="str">
            <v>Year 2</v>
          </cell>
          <cell r="E1701">
            <v>4623400000</v>
          </cell>
        </row>
        <row r="1702">
          <cell r="B1702" t="str">
            <v>ZBH</v>
          </cell>
          <cell r="C1702" t="str">
            <v>Year 3</v>
          </cell>
          <cell r="E1702">
            <v>4673300000</v>
          </cell>
        </row>
        <row r="1703">
          <cell r="B1703" t="str">
            <v>ZBH</v>
          </cell>
          <cell r="C1703" t="str">
            <v>Year 4</v>
          </cell>
          <cell r="E1703">
            <v>5997800000</v>
          </cell>
        </row>
        <row r="1704">
          <cell r="B1704" t="str">
            <v>ZION</v>
          </cell>
          <cell r="C1704" t="str">
            <v>Year 1</v>
          </cell>
          <cell r="E1704">
            <v>2458592000</v>
          </cell>
        </row>
        <row r="1705">
          <cell r="B1705" t="str">
            <v>ZION</v>
          </cell>
          <cell r="C1705" t="str">
            <v>Year 2</v>
          </cell>
          <cell r="E1705">
            <v>2278812000</v>
          </cell>
        </row>
        <row r="1706">
          <cell r="B1706" t="str">
            <v>ZION</v>
          </cell>
          <cell r="C1706" t="str">
            <v>Year 3</v>
          </cell>
          <cell r="E1706">
            <v>2361631000</v>
          </cell>
        </row>
        <row r="1707">
          <cell r="B1707" t="str">
            <v>ZION</v>
          </cell>
          <cell r="C1707" t="str">
            <v>Year 4</v>
          </cell>
          <cell r="E1707">
            <v>2210591000</v>
          </cell>
        </row>
        <row r="1708">
          <cell r="B1708" t="str">
            <v>ZTS</v>
          </cell>
          <cell r="C1708" t="str">
            <v>Year 1</v>
          </cell>
          <cell r="E1708">
            <v>4561000000</v>
          </cell>
        </row>
        <row r="1709">
          <cell r="B1709" t="str">
            <v>ZTS</v>
          </cell>
          <cell r="C1709" t="str">
            <v>Year 2</v>
          </cell>
          <cell r="E1709">
            <v>4785000000</v>
          </cell>
        </row>
        <row r="1710">
          <cell r="B1710" t="str">
            <v>ZTS</v>
          </cell>
          <cell r="C1710" t="str">
            <v>Year 3</v>
          </cell>
          <cell r="E1710">
            <v>4765000000</v>
          </cell>
        </row>
        <row r="1711">
          <cell r="B1711" t="str">
            <v>ZTS</v>
          </cell>
          <cell r="C1711" t="str">
            <v>Year 4</v>
          </cell>
          <cell r="E1711">
            <v>4888000000</v>
          </cell>
        </row>
      </sheetData>
      <sheetData sheetId="2" refreshError="1"/>
      <sheetData sheetId="3"/>
      <sheetData sheetId="4" refreshError="1"/>
      <sheetData sheetId="5">
        <row r="1">
          <cell r="C1" t="str">
            <v>MON</v>
          </cell>
        </row>
        <row r="2">
          <cell r="C2" t="str">
            <v>MAR</v>
          </cell>
        </row>
        <row r="3">
          <cell r="C3" t="str">
            <v>NOV</v>
          </cell>
        </row>
        <row r="4">
          <cell r="C4" t="str">
            <v>AAL</v>
          </cell>
        </row>
        <row r="5">
          <cell r="C5" t="str">
            <v>AAP</v>
          </cell>
        </row>
        <row r="6">
          <cell r="C6" t="str">
            <v>AAPL</v>
          </cell>
        </row>
        <row r="7">
          <cell r="C7" t="str">
            <v>ABBV</v>
          </cell>
        </row>
        <row r="8">
          <cell r="C8" t="str">
            <v>ABC</v>
          </cell>
        </row>
        <row r="9">
          <cell r="C9" t="str">
            <v>ABT</v>
          </cell>
        </row>
        <row r="10">
          <cell r="C10" t="str">
            <v>ADBE</v>
          </cell>
        </row>
        <row r="11">
          <cell r="C11" t="str">
            <v>ADI</v>
          </cell>
        </row>
        <row r="12">
          <cell r="C12" t="str">
            <v>ADM</v>
          </cell>
        </row>
        <row r="13">
          <cell r="C13" t="str">
            <v>ADS</v>
          </cell>
        </row>
        <row r="14">
          <cell r="C14" t="str">
            <v>ADSK</v>
          </cell>
        </row>
        <row r="15">
          <cell r="C15" t="str">
            <v>AEE</v>
          </cell>
        </row>
        <row r="16">
          <cell r="C16" t="str">
            <v>AEP</v>
          </cell>
        </row>
        <row r="17">
          <cell r="C17" t="str">
            <v>AFL</v>
          </cell>
        </row>
        <row r="18">
          <cell r="C18" t="str">
            <v>AIG</v>
          </cell>
        </row>
        <row r="19">
          <cell r="C19" t="str">
            <v>AIV</v>
          </cell>
        </row>
        <row r="20">
          <cell r="C20" t="str">
            <v>AIZ</v>
          </cell>
        </row>
        <row r="21">
          <cell r="C21" t="str">
            <v>AKAM</v>
          </cell>
        </row>
        <row r="22">
          <cell r="C22" t="str">
            <v>ALB</v>
          </cell>
        </row>
        <row r="23">
          <cell r="C23" t="str">
            <v>ALK</v>
          </cell>
        </row>
        <row r="24">
          <cell r="C24" t="str">
            <v>ALL</v>
          </cell>
        </row>
        <row r="25">
          <cell r="C25" t="str">
            <v>ALLE</v>
          </cell>
        </row>
        <row r="26">
          <cell r="C26" t="str">
            <v>ALXN</v>
          </cell>
        </row>
        <row r="27">
          <cell r="C27" t="str">
            <v>AMAT</v>
          </cell>
        </row>
        <row r="28">
          <cell r="C28" t="str">
            <v>AME</v>
          </cell>
        </row>
        <row r="29">
          <cell r="C29" t="str">
            <v>AMGN</v>
          </cell>
        </row>
        <row r="30">
          <cell r="C30" t="str">
            <v>AMP</v>
          </cell>
        </row>
        <row r="31">
          <cell r="C31" t="str">
            <v>AMT</v>
          </cell>
        </row>
        <row r="32">
          <cell r="C32" t="str">
            <v>AMZN</v>
          </cell>
        </row>
        <row r="33">
          <cell r="C33" t="str">
            <v>AN</v>
          </cell>
        </row>
        <row r="34">
          <cell r="C34" t="str">
            <v>ANTM</v>
          </cell>
        </row>
        <row r="35">
          <cell r="C35" t="str">
            <v>APA</v>
          </cell>
        </row>
        <row r="36">
          <cell r="C36" t="str">
            <v>APC</v>
          </cell>
        </row>
        <row r="37">
          <cell r="C37" t="str">
            <v>APD</v>
          </cell>
        </row>
        <row r="38">
          <cell r="C38" t="str">
            <v>APH</v>
          </cell>
        </row>
        <row r="39">
          <cell r="C39" t="str">
            <v>ARNC</v>
          </cell>
        </row>
        <row r="40">
          <cell r="C40" t="str">
            <v>ATVI</v>
          </cell>
        </row>
        <row r="41">
          <cell r="C41" t="str">
            <v>AVGO</v>
          </cell>
        </row>
        <row r="42">
          <cell r="C42" t="str">
            <v>AVY</v>
          </cell>
        </row>
        <row r="43">
          <cell r="C43" t="str">
            <v>AWK</v>
          </cell>
        </row>
        <row r="44">
          <cell r="C44" t="str">
            <v>AXP</v>
          </cell>
        </row>
        <row r="45">
          <cell r="C45" t="str">
            <v>AYI</v>
          </cell>
        </row>
        <row r="46">
          <cell r="C46" t="str">
            <v>AZO</v>
          </cell>
        </row>
        <row r="47">
          <cell r="C47" t="str">
            <v>BA</v>
          </cell>
        </row>
        <row r="48">
          <cell r="C48" t="str">
            <v>BAC</v>
          </cell>
        </row>
        <row r="49">
          <cell r="C49" t="str">
            <v>BAX</v>
          </cell>
        </row>
        <row r="50">
          <cell r="C50" t="str">
            <v>BBBY</v>
          </cell>
        </row>
        <row r="51">
          <cell r="C51" t="str">
            <v>BBT</v>
          </cell>
        </row>
        <row r="52">
          <cell r="C52" t="str">
            <v>BBY</v>
          </cell>
        </row>
        <row r="53">
          <cell r="C53" t="str">
            <v>BCR</v>
          </cell>
        </row>
        <row r="54">
          <cell r="C54" t="str">
            <v>BDX</v>
          </cell>
        </row>
        <row r="55">
          <cell r="C55" t="str">
            <v>BHI</v>
          </cell>
        </row>
        <row r="56">
          <cell r="C56" t="str">
            <v>BIIB</v>
          </cell>
        </row>
        <row r="57">
          <cell r="C57" t="str">
            <v>BLL</v>
          </cell>
        </row>
        <row r="58">
          <cell r="C58" t="str">
            <v>BMY</v>
          </cell>
        </row>
        <row r="59">
          <cell r="C59" t="str">
            <v>BSX</v>
          </cell>
        </row>
        <row r="60">
          <cell r="C60" t="str">
            <v>BWA</v>
          </cell>
        </row>
        <row r="61">
          <cell r="C61" t="str">
            <v>BXP</v>
          </cell>
        </row>
        <row r="62">
          <cell r="C62" t="str">
            <v>CAG</v>
          </cell>
        </row>
        <row r="63">
          <cell r="C63" t="str">
            <v>CAH</v>
          </cell>
        </row>
        <row r="64">
          <cell r="C64" t="str">
            <v>CAT</v>
          </cell>
        </row>
        <row r="65">
          <cell r="C65" t="str">
            <v>CB</v>
          </cell>
        </row>
        <row r="66">
          <cell r="C66" t="str">
            <v>CBG</v>
          </cell>
        </row>
        <row r="67">
          <cell r="C67" t="str">
            <v>CCI</v>
          </cell>
        </row>
        <row r="68">
          <cell r="C68" t="str">
            <v>CCL</v>
          </cell>
        </row>
        <row r="69">
          <cell r="C69" t="str">
            <v>CELG</v>
          </cell>
        </row>
        <row r="70">
          <cell r="C70" t="str">
            <v>CERN</v>
          </cell>
        </row>
        <row r="71">
          <cell r="C71" t="str">
            <v>CF</v>
          </cell>
        </row>
        <row r="72">
          <cell r="C72" t="str">
            <v>CFG</v>
          </cell>
        </row>
        <row r="73">
          <cell r="C73" t="str">
            <v>CHD</v>
          </cell>
        </row>
        <row r="74">
          <cell r="C74" t="str">
            <v>CHK</v>
          </cell>
        </row>
        <row r="75">
          <cell r="C75" t="str">
            <v>CHRW</v>
          </cell>
        </row>
        <row r="76">
          <cell r="C76" t="str">
            <v>CHTR</v>
          </cell>
        </row>
        <row r="77">
          <cell r="C77" t="str">
            <v>CI</v>
          </cell>
        </row>
        <row r="78">
          <cell r="C78" t="str">
            <v>CINF</v>
          </cell>
        </row>
        <row r="79">
          <cell r="C79" t="str">
            <v>CL</v>
          </cell>
        </row>
        <row r="80">
          <cell r="C80" t="str">
            <v>CLX</v>
          </cell>
        </row>
        <row r="81">
          <cell r="C81" t="str">
            <v>CMA</v>
          </cell>
        </row>
        <row r="82">
          <cell r="C82" t="str">
            <v>CMG</v>
          </cell>
        </row>
        <row r="83">
          <cell r="C83" t="str">
            <v>CMI</v>
          </cell>
        </row>
        <row r="84">
          <cell r="C84" t="str">
            <v>CMS</v>
          </cell>
        </row>
        <row r="85">
          <cell r="C85" t="str">
            <v>CNC</v>
          </cell>
        </row>
        <row r="86">
          <cell r="C86" t="str">
            <v>CNP</v>
          </cell>
        </row>
        <row r="87">
          <cell r="C87" t="str">
            <v>COF</v>
          </cell>
        </row>
        <row r="88">
          <cell r="C88" t="str">
            <v>COG</v>
          </cell>
        </row>
        <row r="89">
          <cell r="C89" t="str">
            <v>COL</v>
          </cell>
        </row>
        <row r="90">
          <cell r="C90" t="str">
            <v>COO</v>
          </cell>
        </row>
        <row r="91">
          <cell r="C91" t="str">
            <v>COST</v>
          </cell>
        </row>
        <row r="92">
          <cell r="C92" t="str">
            <v>COTY</v>
          </cell>
        </row>
        <row r="93">
          <cell r="C93" t="str">
            <v>CPB</v>
          </cell>
        </row>
        <row r="94">
          <cell r="C94" t="str">
            <v>CRM</v>
          </cell>
        </row>
        <row r="95">
          <cell r="C95" t="str">
            <v>CSCO</v>
          </cell>
        </row>
        <row r="96">
          <cell r="C96" t="str">
            <v>CSRA</v>
          </cell>
        </row>
        <row r="97">
          <cell r="C97" t="str">
            <v>CSX</v>
          </cell>
        </row>
        <row r="98">
          <cell r="C98" t="str">
            <v>CTAS</v>
          </cell>
        </row>
        <row r="99">
          <cell r="C99" t="str">
            <v>CTL</v>
          </cell>
        </row>
        <row r="100">
          <cell r="C100" t="str">
            <v>CTSH</v>
          </cell>
        </row>
        <row r="101">
          <cell r="C101" t="str">
            <v>CTXS</v>
          </cell>
        </row>
        <row r="102">
          <cell r="C102" t="str">
            <v>CVS</v>
          </cell>
        </row>
        <row r="103">
          <cell r="C103" t="str">
            <v>CVX</v>
          </cell>
        </row>
        <row r="104">
          <cell r="C104" t="str">
            <v>CXO</v>
          </cell>
        </row>
        <row r="105">
          <cell r="C105" t="str">
            <v>D</v>
          </cell>
        </row>
        <row r="106">
          <cell r="C106" t="str">
            <v>DAL</v>
          </cell>
        </row>
        <row r="107">
          <cell r="C107" t="str">
            <v>DD</v>
          </cell>
        </row>
        <row r="108">
          <cell r="C108" t="str">
            <v>DE</v>
          </cell>
        </row>
        <row r="109">
          <cell r="C109" t="str">
            <v>DFS</v>
          </cell>
        </row>
        <row r="110">
          <cell r="C110" t="str">
            <v>DG</v>
          </cell>
        </row>
        <row r="111">
          <cell r="C111" t="str">
            <v>DGX</v>
          </cell>
        </row>
        <row r="112">
          <cell r="C112" t="str">
            <v>DHI</v>
          </cell>
        </row>
        <row r="113">
          <cell r="C113" t="str">
            <v>DHR</v>
          </cell>
        </row>
        <row r="114">
          <cell r="C114" t="str">
            <v>DIS</v>
          </cell>
        </row>
        <row r="115">
          <cell r="C115" t="str">
            <v>DISCA</v>
          </cell>
        </row>
        <row r="116">
          <cell r="C116" t="str">
            <v>DISCK</v>
          </cell>
        </row>
        <row r="117">
          <cell r="C117" t="str">
            <v>DLPH</v>
          </cell>
        </row>
        <row r="118">
          <cell r="C118" t="str">
            <v>DLR</v>
          </cell>
        </row>
        <row r="119">
          <cell r="C119" t="str">
            <v>DLTR</v>
          </cell>
        </row>
        <row r="120">
          <cell r="C120" t="str">
            <v>DNB</v>
          </cell>
        </row>
        <row r="121">
          <cell r="C121" t="str">
            <v>DOV</v>
          </cell>
        </row>
        <row r="122">
          <cell r="C122" t="str">
            <v>DPS</v>
          </cell>
        </row>
        <row r="123">
          <cell r="C123" t="str">
            <v>DRI</v>
          </cell>
        </row>
        <row r="124">
          <cell r="C124" t="str">
            <v>DUK</v>
          </cell>
        </row>
        <row r="125">
          <cell r="C125" t="str">
            <v>DVA</v>
          </cell>
        </row>
        <row r="126">
          <cell r="C126" t="str">
            <v>DVN</v>
          </cell>
        </row>
        <row r="127">
          <cell r="C127" t="str">
            <v>EA</v>
          </cell>
        </row>
        <row r="128">
          <cell r="C128" t="str">
            <v>EBAY</v>
          </cell>
        </row>
        <row r="129">
          <cell r="C129" t="str">
            <v>ECL</v>
          </cell>
        </row>
        <row r="130">
          <cell r="C130" t="str">
            <v>ED</v>
          </cell>
        </row>
        <row r="131">
          <cell r="C131" t="str">
            <v>EFX</v>
          </cell>
        </row>
        <row r="132">
          <cell r="C132" t="str">
            <v>EIX</v>
          </cell>
        </row>
        <row r="133">
          <cell r="C133" t="str">
            <v>EL</v>
          </cell>
        </row>
        <row r="134">
          <cell r="C134" t="str">
            <v>EMN</v>
          </cell>
        </row>
        <row r="135">
          <cell r="C135" t="str">
            <v>EMR</v>
          </cell>
        </row>
        <row r="136">
          <cell r="C136" t="str">
            <v>EOG</v>
          </cell>
        </row>
        <row r="137">
          <cell r="C137" t="str">
            <v>EQIX</v>
          </cell>
        </row>
        <row r="138">
          <cell r="C138" t="str">
            <v>EQR</v>
          </cell>
        </row>
        <row r="139">
          <cell r="C139" t="str">
            <v>EQT</v>
          </cell>
        </row>
        <row r="140">
          <cell r="C140" t="str">
            <v>ES</v>
          </cell>
        </row>
        <row r="141">
          <cell r="C141" t="str">
            <v>ESS</v>
          </cell>
        </row>
        <row r="142">
          <cell r="C142" t="str">
            <v>ETFC</v>
          </cell>
        </row>
        <row r="143">
          <cell r="C143" t="str">
            <v>ETN</v>
          </cell>
        </row>
        <row r="144">
          <cell r="C144" t="str">
            <v>ETR</v>
          </cell>
        </row>
        <row r="145">
          <cell r="C145" t="str">
            <v>EW</v>
          </cell>
        </row>
        <row r="146">
          <cell r="C146" t="str">
            <v>EXC</v>
          </cell>
        </row>
        <row r="147">
          <cell r="C147" t="str">
            <v>EXPD</v>
          </cell>
        </row>
        <row r="148">
          <cell r="C148" t="str">
            <v>EXPE</v>
          </cell>
        </row>
        <row r="149">
          <cell r="C149" t="str">
            <v>EXR</v>
          </cell>
        </row>
        <row r="150">
          <cell r="C150" t="str">
            <v>F</v>
          </cell>
        </row>
        <row r="151">
          <cell r="C151" t="str">
            <v>FAST</v>
          </cell>
        </row>
        <row r="152">
          <cell r="C152" t="str">
            <v>FB</v>
          </cell>
        </row>
        <row r="153">
          <cell r="C153" t="str">
            <v>FBHS</v>
          </cell>
        </row>
        <row r="154">
          <cell r="C154" t="str">
            <v>FCX</v>
          </cell>
        </row>
        <row r="155">
          <cell r="C155" t="str">
            <v>FDX</v>
          </cell>
        </row>
        <row r="156">
          <cell r="C156" t="str">
            <v>FE</v>
          </cell>
        </row>
        <row r="157">
          <cell r="C157" t="str">
            <v>FFIV</v>
          </cell>
        </row>
        <row r="158">
          <cell r="C158" t="str">
            <v>FIS</v>
          </cell>
        </row>
        <row r="159">
          <cell r="C159" t="str">
            <v>FISV</v>
          </cell>
        </row>
        <row r="160">
          <cell r="C160" t="str">
            <v>FL</v>
          </cell>
        </row>
        <row r="161">
          <cell r="C161" t="str">
            <v>FLIR</v>
          </cell>
        </row>
        <row r="162">
          <cell r="C162" t="str">
            <v>FLR</v>
          </cell>
        </row>
        <row r="163">
          <cell r="C163" t="str">
            <v>FLS</v>
          </cell>
        </row>
        <row r="164">
          <cell r="C164" t="str">
            <v>FMC</v>
          </cell>
        </row>
        <row r="165">
          <cell r="C165" t="str">
            <v>FRT</v>
          </cell>
        </row>
        <row r="166">
          <cell r="C166" t="str">
            <v>FSLR</v>
          </cell>
        </row>
        <row r="167">
          <cell r="C167" t="str">
            <v>FTR</v>
          </cell>
        </row>
        <row r="168">
          <cell r="C168" t="str">
            <v>GD</v>
          </cell>
        </row>
        <row r="169">
          <cell r="C169" t="str">
            <v>GGP</v>
          </cell>
        </row>
        <row r="170">
          <cell r="C170" t="str">
            <v>GILD</v>
          </cell>
        </row>
        <row r="171">
          <cell r="C171" t="str">
            <v>GIS</v>
          </cell>
        </row>
        <row r="172">
          <cell r="C172" t="str">
            <v>GLW</v>
          </cell>
        </row>
        <row r="173">
          <cell r="C173" t="str">
            <v>GM</v>
          </cell>
        </row>
        <row r="174">
          <cell r="C174" t="str">
            <v>GPC</v>
          </cell>
        </row>
        <row r="175">
          <cell r="C175" t="str">
            <v>GPN</v>
          </cell>
        </row>
        <row r="176">
          <cell r="C176" t="str">
            <v>GPS</v>
          </cell>
        </row>
        <row r="177">
          <cell r="C177" t="str">
            <v>GRMN</v>
          </cell>
        </row>
        <row r="178">
          <cell r="C178" t="str">
            <v>GT</v>
          </cell>
        </row>
        <row r="179">
          <cell r="C179" t="str">
            <v>GWW</v>
          </cell>
        </row>
        <row r="180">
          <cell r="C180" t="str">
            <v>HAL</v>
          </cell>
        </row>
        <row r="181">
          <cell r="C181" t="str">
            <v>HAR</v>
          </cell>
        </row>
        <row r="182">
          <cell r="C182" t="str">
            <v>HAS</v>
          </cell>
        </row>
        <row r="183">
          <cell r="C183" t="str">
            <v>HBAN</v>
          </cell>
        </row>
        <row r="184">
          <cell r="C184" t="str">
            <v>HBI</v>
          </cell>
        </row>
        <row r="185">
          <cell r="C185" t="str">
            <v>HCA</v>
          </cell>
        </row>
        <row r="186">
          <cell r="C186" t="str">
            <v>HCN</v>
          </cell>
        </row>
        <row r="187">
          <cell r="C187" t="str">
            <v>HCP</v>
          </cell>
        </row>
        <row r="188">
          <cell r="C188" t="str">
            <v>HD</v>
          </cell>
        </row>
        <row r="189">
          <cell r="C189" t="str">
            <v>HES</v>
          </cell>
        </row>
        <row r="190">
          <cell r="C190" t="str">
            <v>HIG</v>
          </cell>
        </row>
        <row r="191">
          <cell r="C191" t="str">
            <v>HOG</v>
          </cell>
        </row>
        <row r="192">
          <cell r="C192" t="str">
            <v>HOLX</v>
          </cell>
        </row>
        <row r="193">
          <cell r="C193" t="str">
            <v>HON</v>
          </cell>
        </row>
        <row r="194">
          <cell r="C194" t="str">
            <v>HP</v>
          </cell>
        </row>
        <row r="195">
          <cell r="C195" t="str">
            <v>HPE</v>
          </cell>
        </row>
        <row r="196">
          <cell r="C196" t="str">
            <v>HPQ</v>
          </cell>
        </row>
        <row r="197">
          <cell r="C197" t="str">
            <v>HRB</v>
          </cell>
        </row>
        <row r="198">
          <cell r="C198" t="str">
            <v>HRL</v>
          </cell>
        </row>
        <row r="199">
          <cell r="C199" t="str">
            <v>HRS</v>
          </cell>
        </row>
        <row r="200">
          <cell r="C200" t="str">
            <v>HSIC</v>
          </cell>
        </row>
        <row r="201">
          <cell r="C201" t="str">
            <v>HST</v>
          </cell>
        </row>
        <row r="202">
          <cell r="C202" t="str">
            <v>HSY</v>
          </cell>
        </row>
        <row r="203">
          <cell r="C203" t="str">
            <v>HUM</v>
          </cell>
        </row>
        <row r="204">
          <cell r="C204" t="str">
            <v>IBM</v>
          </cell>
        </row>
        <row r="205">
          <cell r="C205" t="str">
            <v>IDXX</v>
          </cell>
        </row>
        <row r="206">
          <cell r="C206" t="str">
            <v>IFF</v>
          </cell>
        </row>
        <row r="207">
          <cell r="C207" t="str">
            <v>ILMN</v>
          </cell>
        </row>
        <row r="208">
          <cell r="C208" t="str">
            <v>INTC</v>
          </cell>
        </row>
        <row r="209">
          <cell r="C209" t="str">
            <v>INTU</v>
          </cell>
        </row>
        <row r="210">
          <cell r="C210" t="str">
            <v>IP</v>
          </cell>
        </row>
        <row r="211">
          <cell r="C211" t="str">
            <v>IPG</v>
          </cell>
        </row>
        <row r="212">
          <cell r="C212" t="str">
            <v>IRM</v>
          </cell>
        </row>
        <row r="213">
          <cell r="C213" t="str">
            <v>ISRG</v>
          </cell>
        </row>
        <row r="214">
          <cell r="C214" t="str">
            <v>ITW</v>
          </cell>
        </row>
        <row r="215">
          <cell r="C215" t="str">
            <v>IVZ</v>
          </cell>
        </row>
        <row r="216">
          <cell r="C216" t="str">
            <v>JBHT</v>
          </cell>
        </row>
        <row r="217">
          <cell r="C217" t="str">
            <v>JEC</v>
          </cell>
        </row>
        <row r="218">
          <cell r="C218" t="str">
            <v>JNPR</v>
          </cell>
        </row>
        <row r="219">
          <cell r="C219" t="str">
            <v>JPM</v>
          </cell>
        </row>
        <row r="220">
          <cell r="C220" t="str">
            <v>JWN</v>
          </cell>
        </row>
        <row r="221">
          <cell r="C221" t="str">
            <v>K</v>
          </cell>
        </row>
        <row r="222">
          <cell r="C222" t="str">
            <v>KEY</v>
          </cell>
        </row>
        <row r="223">
          <cell r="C223" t="str">
            <v>KIM</v>
          </cell>
        </row>
        <row r="224">
          <cell r="C224" t="str">
            <v>KLAC</v>
          </cell>
        </row>
        <row r="225">
          <cell r="C225" t="str">
            <v>KMB</v>
          </cell>
        </row>
        <row r="226">
          <cell r="C226" t="str">
            <v>KMI</v>
          </cell>
        </row>
        <row r="227">
          <cell r="C227" t="str">
            <v>KMX</v>
          </cell>
        </row>
        <row r="228">
          <cell r="C228" t="str">
            <v>KO</v>
          </cell>
        </row>
        <row r="229">
          <cell r="C229" t="str">
            <v>KORS</v>
          </cell>
        </row>
        <row r="230">
          <cell r="C230" t="str">
            <v>KR</v>
          </cell>
        </row>
        <row r="231">
          <cell r="C231" t="str">
            <v>KSS</v>
          </cell>
        </row>
        <row r="232">
          <cell r="C232" t="str">
            <v>KSU</v>
          </cell>
        </row>
        <row r="233">
          <cell r="C233" t="str">
            <v>LB</v>
          </cell>
        </row>
        <row r="234">
          <cell r="C234" t="str">
            <v>LEG</v>
          </cell>
        </row>
        <row r="235">
          <cell r="C235" t="str">
            <v>LEN</v>
          </cell>
        </row>
        <row r="236">
          <cell r="C236" t="str">
            <v>LH</v>
          </cell>
        </row>
        <row r="237">
          <cell r="C237" t="str">
            <v>LKQ</v>
          </cell>
        </row>
        <row r="238">
          <cell r="C238" t="str">
            <v>LLL</v>
          </cell>
        </row>
        <row r="239">
          <cell r="C239" t="str">
            <v>LLTC</v>
          </cell>
        </row>
        <row r="240">
          <cell r="C240" t="str">
            <v>LLY</v>
          </cell>
        </row>
        <row r="241">
          <cell r="C241" t="str">
            <v>LMT</v>
          </cell>
        </row>
        <row r="242">
          <cell r="C242" t="str">
            <v>LNT</v>
          </cell>
        </row>
        <row r="243">
          <cell r="C243" t="str">
            <v>LOW</v>
          </cell>
        </row>
        <row r="244">
          <cell r="C244" t="str">
            <v>LRCX</v>
          </cell>
        </row>
        <row r="245">
          <cell r="C245" t="str">
            <v>LUK</v>
          </cell>
        </row>
        <row r="246">
          <cell r="C246" t="str">
            <v>LUV</v>
          </cell>
        </row>
        <row r="247">
          <cell r="C247" t="str">
            <v>LVLT</v>
          </cell>
        </row>
        <row r="248">
          <cell r="C248" t="str">
            <v>LYB</v>
          </cell>
        </row>
        <row r="249">
          <cell r="C249" t="str">
            <v>M</v>
          </cell>
        </row>
        <row r="250">
          <cell r="C250" t="str">
            <v>MA</v>
          </cell>
        </row>
        <row r="251">
          <cell r="C251" t="str">
            <v>MAA</v>
          </cell>
        </row>
        <row r="252">
          <cell r="C252" t="str">
            <v>MAC</v>
          </cell>
        </row>
        <row r="253">
          <cell r="C253" t="str">
            <v>MAS</v>
          </cell>
        </row>
        <row r="254">
          <cell r="C254" t="str">
            <v>MAT</v>
          </cell>
        </row>
        <row r="255">
          <cell r="C255" t="str">
            <v>MCD</v>
          </cell>
        </row>
        <row r="256">
          <cell r="C256" t="str">
            <v>MCHP</v>
          </cell>
        </row>
        <row r="257">
          <cell r="C257" t="str">
            <v>MCK</v>
          </cell>
        </row>
        <row r="258">
          <cell r="C258" t="str">
            <v>MCO</v>
          </cell>
        </row>
        <row r="259">
          <cell r="C259" t="str">
            <v>MDLZ</v>
          </cell>
        </row>
        <row r="260">
          <cell r="C260" t="str">
            <v>MET</v>
          </cell>
        </row>
        <row r="261">
          <cell r="C261" t="str">
            <v>MHK</v>
          </cell>
        </row>
        <row r="262">
          <cell r="C262" t="str">
            <v>MJN</v>
          </cell>
        </row>
        <row r="263">
          <cell r="C263" t="str">
            <v>MKC</v>
          </cell>
        </row>
        <row r="264">
          <cell r="C264" t="str">
            <v>MLM</v>
          </cell>
        </row>
        <row r="265">
          <cell r="C265" t="str">
            <v>MMC</v>
          </cell>
        </row>
        <row r="266">
          <cell r="C266" t="str">
            <v>MMM</v>
          </cell>
        </row>
        <row r="267">
          <cell r="C267" t="str">
            <v>MNST</v>
          </cell>
        </row>
        <row r="268">
          <cell r="C268" t="str">
            <v>MO</v>
          </cell>
        </row>
        <row r="269">
          <cell r="C269" t="str">
            <v>MOS</v>
          </cell>
        </row>
        <row r="270">
          <cell r="C270" t="str">
            <v>MPC</v>
          </cell>
        </row>
        <row r="271">
          <cell r="C271" t="str">
            <v>MRK</v>
          </cell>
        </row>
        <row r="272">
          <cell r="C272" t="str">
            <v>MRO</v>
          </cell>
        </row>
        <row r="273">
          <cell r="C273" t="str">
            <v>MSFT</v>
          </cell>
        </row>
        <row r="274">
          <cell r="C274" t="str">
            <v>MTB</v>
          </cell>
        </row>
        <row r="275">
          <cell r="C275" t="str">
            <v>MTD</v>
          </cell>
        </row>
        <row r="276">
          <cell r="C276" t="str">
            <v>MU</v>
          </cell>
        </row>
        <row r="277">
          <cell r="C277" t="str">
            <v>MUR</v>
          </cell>
        </row>
        <row r="278">
          <cell r="C278" t="str">
            <v>MYL</v>
          </cell>
        </row>
        <row r="279">
          <cell r="C279" t="str">
            <v>NBL</v>
          </cell>
        </row>
        <row r="280">
          <cell r="C280" t="str">
            <v>NDAQ</v>
          </cell>
        </row>
        <row r="281">
          <cell r="C281" t="str">
            <v>NEE</v>
          </cell>
        </row>
        <row r="282">
          <cell r="C282" t="str">
            <v>NEM</v>
          </cell>
        </row>
        <row r="283">
          <cell r="C283" t="str">
            <v>NFLX</v>
          </cell>
        </row>
        <row r="284">
          <cell r="C284" t="str">
            <v>NFX</v>
          </cell>
        </row>
        <row r="285">
          <cell r="C285" t="str">
            <v>NKE</v>
          </cell>
        </row>
        <row r="286">
          <cell r="C286" t="str">
            <v>NLSN</v>
          </cell>
        </row>
        <row r="287">
          <cell r="C287" t="str">
            <v>NSC</v>
          </cell>
        </row>
        <row r="288">
          <cell r="C288" t="str">
            <v>NTAP</v>
          </cell>
        </row>
        <row r="289">
          <cell r="C289" t="str">
            <v>NUE</v>
          </cell>
        </row>
        <row r="290">
          <cell r="C290" t="str">
            <v>NVDA</v>
          </cell>
        </row>
        <row r="291">
          <cell r="C291" t="str">
            <v>NWL</v>
          </cell>
        </row>
        <row r="292">
          <cell r="C292" t="str">
            <v>O</v>
          </cell>
        </row>
        <row r="293">
          <cell r="C293" t="str">
            <v>OKE</v>
          </cell>
        </row>
        <row r="294">
          <cell r="C294" t="str">
            <v>OMC</v>
          </cell>
        </row>
        <row r="295">
          <cell r="C295" t="str">
            <v>ORLY</v>
          </cell>
        </row>
        <row r="296">
          <cell r="C296" t="str">
            <v>OXY</v>
          </cell>
        </row>
        <row r="297">
          <cell r="C297" t="str">
            <v>PBCT</v>
          </cell>
        </row>
        <row r="298">
          <cell r="C298" t="str">
            <v>PBI</v>
          </cell>
        </row>
        <row r="299">
          <cell r="C299" t="str">
            <v>PCAR</v>
          </cell>
        </row>
        <row r="300">
          <cell r="C300" t="str">
            <v>PCG</v>
          </cell>
        </row>
        <row r="301">
          <cell r="C301" t="str">
            <v>PCLN</v>
          </cell>
        </row>
        <row r="302">
          <cell r="C302" t="str">
            <v>PDCO</v>
          </cell>
        </row>
        <row r="303">
          <cell r="C303" t="str">
            <v>PEG</v>
          </cell>
        </row>
        <row r="304">
          <cell r="C304" t="str">
            <v>PEP</v>
          </cell>
        </row>
        <row r="305">
          <cell r="C305" t="str">
            <v>PFE</v>
          </cell>
        </row>
        <row r="306">
          <cell r="C306" t="str">
            <v>PFG</v>
          </cell>
        </row>
        <row r="307">
          <cell r="C307" t="str">
            <v>PG</v>
          </cell>
        </row>
        <row r="308">
          <cell r="C308" t="str">
            <v>PGR</v>
          </cell>
        </row>
        <row r="309">
          <cell r="C309" t="str">
            <v>PH</v>
          </cell>
        </row>
        <row r="310">
          <cell r="C310" t="str">
            <v>PHM</v>
          </cell>
        </row>
        <row r="311">
          <cell r="C311" t="str">
            <v>PKI</v>
          </cell>
        </row>
        <row r="312">
          <cell r="C312" t="str">
            <v>PM</v>
          </cell>
        </row>
        <row r="313">
          <cell r="C313" t="str">
            <v>PNC</v>
          </cell>
        </row>
        <row r="314">
          <cell r="C314" t="str">
            <v>PNR</v>
          </cell>
        </row>
        <row r="315">
          <cell r="C315" t="str">
            <v>PNW</v>
          </cell>
        </row>
        <row r="316">
          <cell r="C316" t="str">
            <v>PPG</v>
          </cell>
        </row>
        <row r="317">
          <cell r="C317" t="str">
            <v>PPL</v>
          </cell>
        </row>
        <row r="318">
          <cell r="C318" t="str">
            <v>PRU</v>
          </cell>
        </row>
        <row r="319">
          <cell r="C319" t="str">
            <v>PSX</v>
          </cell>
        </row>
        <row r="320">
          <cell r="C320" t="str">
            <v>PVH</v>
          </cell>
        </row>
        <row r="321">
          <cell r="C321" t="str">
            <v>PWR</v>
          </cell>
        </row>
        <row r="322">
          <cell r="C322" t="str">
            <v>PX</v>
          </cell>
        </row>
        <row r="323">
          <cell r="C323" t="str">
            <v>QCOM</v>
          </cell>
        </row>
        <row r="324">
          <cell r="C324" t="str">
            <v>QRVO</v>
          </cell>
        </row>
        <row r="325">
          <cell r="C325" t="str">
            <v>R</v>
          </cell>
        </row>
        <row r="326">
          <cell r="C326" t="str">
            <v>RCL</v>
          </cell>
        </row>
        <row r="327">
          <cell r="C327" t="str">
            <v>REGN</v>
          </cell>
        </row>
        <row r="328">
          <cell r="C328" t="str">
            <v>RHI</v>
          </cell>
        </row>
        <row r="329">
          <cell r="C329" t="str">
            <v>RHT</v>
          </cell>
        </row>
        <row r="330">
          <cell r="C330" t="str">
            <v>RL</v>
          </cell>
        </row>
        <row r="331">
          <cell r="C331" t="str">
            <v>ROK</v>
          </cell>
        </row>
        <row r="332">
          <cell r="C332" t="str">
            <v>ROP</v>
          </cell>
        </row>
        <row r="333">
          <cell r="C333" t="str">
            <v>ROST</v>
          </cell>
        </row>
        <row r="334">
          <cell r="C334" t="str">
            <v>RRC</v>
          </cell>
        </row>
        <row r="335">
          <cell r="C335" t="str">
            <v>RSG</v>
          </cell>
        </row>
        <row r="336">
          <cell r="C336" t="str">
            <v>SBUX</v>
          </cell>
        </row>
        <row r="337">
          <cell r="C337" t="str">
            <v>SCG</v>
          </cell>
        </row>
        <row r="338">
          <cell r="C338" t="str">
            <v>SE</v>
          </cell>
        </row>
        <row r="339">
          <cell r="C339" t="str">
            <v>SEE</v>
          </cell>
        </row>
        <row r="340">
          <cell r="C340" t="str">
            <v>SHW</v>
          </cell>
        </row>
        <row r="341">
          <cell r="C341" t="str">
            <v>SIG</v>
          </cell>
        </row>
        <row r="342">
          <cell r="C342" t="str">
            <v>SJM</v>
          </cell>
        </row>
        <row r="343">
          <cell r="C343" t="str">
            <v>SLG</v>
          </cell>
        </row>
        <row r="344">
          <cell r="C344" t="str">
            <v>SNA</v>
          </cell>
        </row>
        <row r="345">
          <cell r="C345" t="str">
            <v>SNI</v>
          </cell>
        </row>
        <row r="346">
          <cell r="C346" t="str">
            <v>SO</v>
          </cell>
        </row>
        <row r="347">
          <cell r="C347" t="str">
            <v>SPG</v>
          </cell>
        </row>
        <row r="348">
          <cell r="C348" t="str">
            <v>SPLS</v>
          </cell>
        </row>
        <row r="349">
          <cell r="C349" t="str">
            <v>SRCL</v>
          </cell>
        </row>
        <row r="350">
          <cell r="C350" t="str">
            <v>SRE</v>
          </cell>
        </row>
        <row r="351">
          <cell r="C351" t="str">
            <v>STI</v>
          </cell>
        </row>
        <row r="352">
          <cell r="C352" t="str">
            <v>STX</v>
          </cell>
        </row>
        <row r="353">
          <cell r="C353" t="str">
            <v>STZ</v>
          </cell>
        </row>
        <row r="354">
          <cell r="C354" t="str">
            <v>SWK</v>
          </cell>
        </row>
        <row r="355">
          <cell r="C355" t="str">
            <v>SWKS</v>
          </cell>
        </row>
        <row r="356">
          <cell r="C356" t="str">
            <v>SWN</v>
          </cell>
        </row>
        <row r="357">
          <cell r="C357" t="str">
            <v>SYF</v>
          </cell>
        </row>
        <row r="358">
          <cell r="C358" t="str">
            <v>SYK</v>
          </cell>
        </row>
        <row r="359">
          <cell r="C359" t="str">
            <v>SYMC</v>
          </cell>
        </row>
        <row r="360">
          <cell r="C360" t="str">
            <v>SYY</v>
          </cell>
        </row>
        <row r="361">
          <cell r="C361" t="str">
            <v>T</v>
          </cell>
        </row>
        <row r="362">
          <cell r="C362" t="str">
            <v>TAP</v>
          </cell>
        </row>
        <row r="363">
          <cell r="C363" t="str">
            <v>TDC</v>
          </cell>
        </row>
        <row r="364">
          <cell r="C364" t="str">
            <v>TDG</v>
          </cell>
        </row>
        <row r="365">
          <cell r="C365" t="str">
            <v>TEL</v>
          </cell>
        </row>
        <row r="366">
          <cell r="C366" t="str">
            <v>TGNA</v>
          </cell>
        </row>
        <row r="367">
          <cell r="C367" t="str">
            <v>TGT</v>
          </cell>
        </row>
        <row r="368">
          <cell r="C368" t="str">
            <v>TIF</v>
          </cell>
        </row>
        <row r="369">
          <cell r="C369" t="str">
            <v>TJX</v>
          </cell>
        </row>
        <row r="370">
          <cell r="C370" t="str">
            <v>TMK</v>
          </cell>
        </row>
        <row r="371">
          <cell r="C371" t="str">
            <v>TMO</v>
          </cell>
        </row>
        <row r="372">
          <cell r="C372" t="str">
            <v>TRIP</v>
          </cell>
        </row>
        <row r="373">
          <cell r="C373" t="str">
            <v>TRV</v>
          </cell>
        </row>
        <row r="374">
          <cell r="C374" t="str">
            <v>TSCO</v>
          </cell>
        </row>
        <row r="375">
          <cell r="C375" t="str">
            <v>TSN</v>
          </cell>
        </row>
        <row r="376">
          <cell r="C376" t="str">
            <v>TSO</v>
          </cell>
        </row>
        <row r="377">
          <cell r="C377" t="str">
            <v>TSS</v>
          </cell>
        </row>
        <row r="378">
          <cell r="C378" t="str">
            <v>TXN</v>
          </cell>
        </row>
        <row r="379">
          <cell r="C379" t="str">
            <v>TXT</v>
          </cell>
        </row>
        <row r="380">
          <cell r="C380" t="str">
            <v>UA</v>
          </cell>
        </row>
        <row r="381">
          <cell r="C381" t="str">
            <v>UAA</v>
          </cell>
        </row>
        <row r="382">
          <cell r="C382" t="str">
            <v>UAL</v>
          </cell>
        </row>
        <row r="383">
          <cell r="C383" t="str">
            <v>UDR</v>
          </cell>
        </row>
        <row r="384">
          <cell r="C384" t="str">
            <v>ULTA</v>
          </cell>
        </row>
        <row r="385">
          <cell r="C385" t="str">
            <v>UNH</v>
          </cell>
        </row>
        <row r="386">
          <cell r="C386" t="str">
            <v>UNM</v>
          </cell>
        </row>
        <row r="387">
          <cell r="C387" t="str">
            <v>UNP</v>
          </cell>
        </row>
        <row r="388">
          <cell r="C388" t="str">
            <v>UPS</v>
          </cell>
        </row>
        <row r="389">
          <cell r="C389" t="str">
            <v>URBN</v>
          </cell>
        </row>
        <row r="390">
          <cell r="C390" t="str">
            <v>USB</v>
          </cell>
        </row>
        <row r="391">
          <cell r="C391" t="str">
            <v>UTX</v>
          </cell>
        </row>
        <row r="392">
          <cell r="C392" t="str">
            <v>V</v>
          </cell>
        </row>
        <row r="393">
          <cell r="C393" t="str">
            <v>VAR</v>
          </cell>
        </row>
        <row r="394">
          <cell r="C394" t="str">
            <v>VFC</v>
          </cell>
        </row>
        <row r="395">
          <cell r="C395" t="str">
            <v>VIAB</v>
          </cell>
        </row>
        <row r="396">
          <cell r="C396" t="str">
            <v>VLO</v>
          </cell>
        </row>
        <row r="397">
          <cell r="C397" t="str">
            <v>VMC</v>
          </cell>
        </row>
        <row r="398">
          <cell r="C398" t="str">
            <v>VNO</v>
          </cell>
        </row>
        <row r="399">
          <cell r="C399" t="str">
            <v>VRSK</v>
          </cell>
        </row>
        <row r="400">
          <cell r="C400" t="str">
            <v>VRSN</v>
          </cell>
        </row>
        <row r="401">
          <cell r="C401" t="str">
            <v>VRTX</v>
          </cell>
        </row>
        <row r="402">
          <cell r="C402" t="str">
            <v>VTR</v>
          </cell>
        </row>
        <row r="403">
          <cell r="C403" t="str">
            <v>VZ</v>
          </cell>
        </row>
        <row r="404">
          <cell r="C404" t="str">
            <v>WAT</v>
          </cell>
        </row>
        <row r="405">
          <cell r="C405" t="str">
            <v>WDC</v>
          </cell>
        </row>
        <row r="406">
          <cell r="C406" t="str">
            <v>WEC</v>
          </cell>
        </row>
        <row r="407">
          <cell r="C407" t="str">
            <v>WFC</v>
          </cell>
        </row>
        <row r="408">
          <cell r="C408" t="str">
            <v>WFM</v>
          </cell>
        </row>
        <row r="409">
          <cell r="C409" t="str">
            <v>WHR</v>
          </cell>
        </row>
        <row r="410">
          <cell r="C410" t="str">
            <v>WM</v>
          </cell>
        </row>
        <row r="411">
          <cell r="C411" t="str">
            <v>WMB</v>
          </cell>
        </row>
        <row r="412">
          <cell r="C412" t="str">
            <v>WMT</v>
          </cell>
        </row>
        <row r="413">
          <cell r="C413" t="str">
            <v>WRK</v>
          </cell>
        </row>
        <row r="414">
          <cell r="C414" t="str">
            <v>WU</v>
          </cell>
        </row>
        <row r="415">
          <cell r="C415" t="str">
            <v>WY</v>
          </cell>
        </row>
        <row r="416">
          <cell r="C416" t="str">
            <v>WYN</v>
          </cell>
        </row>
        <row r="417">
          <cell r="C417" t="str">
            <v>WYNN</v>
          </cell>
        </row>
        <row r="418">
          <cell r="C418" t="str">
            <v>XEC</v>
          </cell>
        </row>
        <row r="419">
          <cell r="C419" t="str">
            <v>XEL</v>
          </cell>
        </row>
        <row r="420">
          <cell r="C420" t="str">
            <v>XL</v>
          </cell>
        </row>
        <row r="421">
          <cell r="C421" t="str">
            <v>XLNX</v>
          </cell>
        </row>
        <row r="422">
          <cell r="C422" t="str">
            <v>XOM</v>
          </cell>
        </row>
        <row r="423">
          <cell r="C423" t="str">
            <v>XRAY</v>
          </cell>
        </row>
        <row r="424">
          <cell r="C424" t="str">
            <v>XRX</v>
          </cell>
        </row>
        <row r="425">
          <cell r="C425" t="str">
            <v>XYL</v>
          </cell>
        </row>
        <row r="426">
          <cell r="C426" t="str">
            <v>YHOO</v>
          </cell>
        </row>
        <row r="427">
          <cell r="C427" t="str">
            <v>YUM</v>
          </cell>
        </row>
        <row r="428">
          <cell r="C428" t="str">
            <v>ZBH</v>
          </cell>
        </row>
        <row r="429">
          <cell r="C429" t="str">
            <v>ZION</v>
          </cell>
        </row>
        <row r="430">
          <cell r="C430" t="str">
            <v>ZTS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3964.819524074075" createdVersion="6" refreshedVersion="6" minRefreshableVersion="3" recordCount="1711" xr:uid="{00000000-000A-0000-FFFF-FFFF09000000}">
  <cacheSource type="worksheet">
    <worksheetSource ref="B2:B1048576" sheet="TheData"/>
  </cacheSource>
  <cacheFields count="1">
    <cacheField name="Ticker Symbol" numFmtId="0">
      <sharedItems containsBlank="1" count="431">
        <s v="AAL"/>
        <s v="AAP"/>
        <s v="AAPL"/>
        <s v="ABBV"/>
        <s v="ABC"/>
        <s v="ABT"/>
        <s v="ADBE"/>
        <s v="ADI"/>
        <s v="ADM"/>
        <s v="ADS"/>
        <s v="ADSK"/>
        <s v="AEE"/>
        <s v="AEP"/>
        <s v="AFL"/>
        <s v="AIG"/>
        <s v="AIV"/>
        <s v="AIZ"/>
        <s v="AKAM"/>
        <s v="ALB"/>
        <s v="ALK"/>
        <s v="ALL"/>
        <s v="ALLE"/>
        <s v="ALXN"/>
        <s v="AMAT"/>
        <s v="AME"/>
        <s v="AMGN"/>
        <s v="AMP"/>
        <s v="AMT"/>
        <s v="AMZN"/>
        <s v="AN"/>
        <s v="ANTM"/>
        <s v="APA"/>
        <s v="APC"/>
        <s v="APD"/>
        <s v="APH"/>
        <s v="ARNC"/>
        <s v="ATVI"/>
        <s v="AVGO"/>
        <s v="AVY"/>
        <s v="AWK"/>
        <s v="AXP"/>
        <s v="AYI"/>
        <s v="AZO"/>
        <s v="BA"/>
        <s v="BAC"/>
        <s v="BAX"/>
        <s v="BBBY"/>
        <s v="BBT"/>
        <s v="BBY"/>
        <s v="BCR"/>
        <s v="BDX"/>
        <s v="BHI"/>
        <s v="BIIB"/>
        <s v="BLL"/>
        <s v="BMY"/>
        <s v="BSX"/>
        <s v="BWA"/>
        <s v="BXP"/>
        <s v="CAG"/>
        <s v="CAH"/>
        <s v="CAT"/>
        <s v="CB"/>
        <s v="CBG"/>
        <s v="CCI"/>
        <s v="CCL"/>
        <s v="CELG"/>
        <s v="CERN"/>
        <s v="CF"/>
        <s v="CFG"/>
        <s v="CHD"/>
        <s v="CHK"/>
        <s v="CHRW"/>
        <s v="CHTR"/>
        <s v="CI"/>
        <s v="CINF"/>
        <s v="CL"/>
        <s v="CLX"/>
        <s v="CMA"/>
        <s v="CMG"/>
        <s v="CMI"/>
        <s v="CMS"/>
        <s v="CNC"/>
        <s v="CNP"/>
        <s v="COF"/>
        <s v="COG"/>
        <s v="COL"/>
        <s v="COO"/>
        <s v="COST"/>
        <s v="COTY"/>
        <s v="CPB"/>
        <s v="CRM"/>
        <s v="CSCO"/>
        <s v="CSRA"/>
        <s v="CSX"/>
        <s v="CTAS"/>
        <s v="CTL"/>
        <s v="CTSH"/>
        <s v="CTXS"/>
        <s v="CVS"/>
        <s v="CVX"/>
        <s v="CXO"/>
        <s v="D"/>
        <s v="DAL"/>
        <s v="DD"/>
        <s v="DE"/>
        <s v="DFS"/>
        <s v="DG"/>
        <s v="DGX"/>
        <s v="DHI"/>
        <s v="DHR"/>
        <s v="DIS"/>
        <s v="DISCA"/>
        <s v="DISCK"/>
        <s v="DLPH"/>
        <s v="DLR"/>
        <s v="DLTR"/>
        <s v="DNB"/>
        <s v="DOV"/>
        <s v="DPS"/>
        <s v="DRI"/>
        <s v="DUK"/>
        <s v="DVA"/>
        <s v="DVN"/>
        <s v="EA"/>
        <s v="EBAY"/>
        <s v="ECL"/>
        <s v="ED"/>
        <s v="EFX"/>
        <s v="EIX"/>
        <s v="EL"/>
        <s v="EMN"/>
        <s v="EMR"/>
        <s v="EOG"/>
        <s v="EQIX"/>
        <s v="EQR"/>
        <s v="EQT"/>
        <s v="ES"/>
        <s v="ESS"/>
        <s v="ETFC"/>
        <s v="ETN"/>
        <s v="ETR"/>
        <s v="EW"/>
        <s v="EXC"/>
        <s v="EXPD"/>
        <s v="EXPE"/>
        <s v="EXR"/>
        <s v="F"/>
        <s v="FAST"/>
        <s v="FB"/>
        <s v="FBHS"/>
        <s v="FCX"/>
        <s v="FDX"/>
        <s v="FE"/>
        <s v="FFIV"/>
        <s v="FIS"/>
        <s v="FISV"/>
        <s v="FL"/>
        <s v="FLIR"/>
        <s v="FLR"/>
        <s v="FLS"/>
        <s v="FMC"/>
        <s v="FRT"/>
        <s v="FSLR"/>
        <s v="FTR"/>
        <s v="GD"/>
        <s v="GGP"/>
        <s v="GILD"/>
        <s v="GIS"/>
        <s v="GLW"/>
        <s v="GM"/>
        <s v="GPC"/>
        <s v="GPN"/>
        <s v="GPS"/>
        <s v="GRMN"/>
        <s v="GT"/>
        <s v="GWW"/>
        <s v="HAL"/>
        <s v="HAR"/>
        <s v="HAS"/>
        <s v="HBAN"/>
        <s v="HBI"/>
        <s v="HCA"/>
        <s v="HCN"/>
        <s v="HCP"/>
        <s v="HD"/>
        <s v="HES"/>
        <s v="HIG"/>
        <s v="HOG"/>
        <s v="HOLX"/>
        <s v="HON"/>
        <s v="HP"/>
        <s v="HPE"/>
        <s v="HPQ"/>
        <s v="HRB"/>
        <s v="HRL"/>
        <s v="HRS"/>
        <s v="HSIC"/>
        <s v="HST"/>
        <s v="HSY"/>
        <s v="HUM"/>
        <s v="IBM"/>
        <s v="IDXX"/>
        <s v="IFF"/>
        <s v="ILMN"/>
        <s v="INTC"/>
        <s v="INTU"/>
        <s v="IP"/>
        <s v="IPG"/>
        <s v="IRM"/>
        <s v="ISRG"/>
        <s v="ITW"/>
        <s v="IVZ"/>
        <s v="JBHT"/>
        <s v="JEC"/>
        <s v="JNPR"/>
        <s v="JPM"/>
        <s v="JWN"/>
        <s v="K"/>
        <s v="KEY"/>
        <s v="KIM"/>
        <s v="KLAC"/>
        <s v="KMB"/>
        <s v="KMI"/>
        <s v="KMX"/>
        <s v="KO"/>
        <s v="KORS"/>
        <s v="KR"/>
        <s v="KSS"/>
        <s v="KSU"/>
        <s v="LB"/>
        <s v="LEG"/>
        <s v="LEN"/>
        <s v="LH"/>
        <s v="LKQ"/>
        <s v="LLL"/>
        <s v="LLTC"/>
        <s v="LLY"/>
        <s v="LMT"/>
        <s v="LNT"/>
        <s v="LOW"/>
        <s v="LRCX"/>
        <s v="LUK"/>
        <s v="LUV"/>
        <s v="LVLT"/>
        <s v="LYB"/>
        <s v="M"/>
        <s v="MA"/>
        <s v="MAA"/>
        <s v="MAC"/>
        <s v="MAR"/>
        <s v="MAS"/>
        <s v="MAT"/>
        <s v="MCD"/>
        <s v="MCHP"/>
        <s v="MCK"/>
        <s v="MCO"/>
        <s v="MDLZ"/>
        <s v="MET"/>
        <s v="MHK"/>
        <s v="MJN"/>
        <s v="MKC"/>
        <s v="MLM"/>
        <s v="MMC"/>
        <s v="MMM"/>
        <s v="MNST"/>
        <s v="MO"/>
        <s v="MON"/>
        <s v="MOS"/>
        <s v="MPC"/>
        <s v="MRK"/>
        <s v="MRO"/>
        <s v="MSFT"/>
        <s v="MTB"/>
        <s v="MTD"/>
        <s v="MU"/>
        <s v="MUR"/>
        <s v="MYL"/>
        <s v="NBL"/>
        <s v="NDAQ"/>
        <s v="NEE"/>
        <s v="NEM"/>
        <s v="NFLX"/>
        <s v="NFX"/>
        <s v="NKE"/>
        <s v="NLSN"/>
        <s v="NOV"/>
        <s v="NSC"/>
        <s v="NTAP"/>
        <s v="NUE"/>
        <s v="NVDA"/>
        <s v="NWL"/>
        <s v="O"/>
        <s v="OKE"/>
        <s v="OMC"/>
        <s v="ORLY"/>
        <s v="OXY"/>
        <s v="PBCT"/>
        <s v="PBI"/>
        <s v="PCAR"/>
        <s v="PCG"/>
        <s v="PCLN"/>
        <s v="PDCO"/>
        <s v="PEG"/>
        <s v="PEP"/>
        <s v="PFE"/>
        <s v="PFG"/>
        <s v="PG"/>
        <s v="PGR"/>
        <s v="PH"/>
        <s v="PHM"/>
        <s v="PKI"/>
        <s v="PM"/>
        <s v="PNC"/>
        <s v="PNR"/>
        <s v="PNW"/>
        <s v="PPG"/>
        <s v="PPL"/>
        <s v="PRU"/>
        <s v="PSX"/>
        <s v="PVH"/>
        <s v="PWR"/>
        <s v="PX"/>
        <s v="QCOM"/>
        <s v="QRVO"/>
        <s v="R"/>
        <s v="RCL"/>
        <s v="REGN"/>
        <s v="RHI"/>
        <s v="RHT"/>
        <s v="RL"/>
        <s v="ROK"/>
        <s v="ROP"/>
        <s v="ROST"/>
        <s v="RRC"/>
        <s v="RSG"/>
        <s v="SBUX"/>
        <s v="SCG"/>
        <s v="SE"/>
        <s v="SEE"/>
        <s v="SHW"/>
        <s v="SIG"/>
        <s v="SJM"/>
        <s v="SLG"/>
        <s v="SNA"/>
        <s v="SNI"/>
        <s v="SO"/>
        <s v="SPG"/>
        <s v="SPLS"/>
        <s v="SRCL"/>
        <s v="SRE"/>
        <s v="STI"/>
        <s v="STX"/>
        <s v="STZ"/>
        <s v="SWK"/>
        <s v="SWKS"/>
        <s v="SWN"/>
        <s v="SYF"/>
        <s v="SYK"/>
        <s v="SYMC"/>
        <s v="SYY"/>
        <s v="T"/>
        <s v="TAP"/>
        <s v="TDC"/>
        <s v="TDG"/>
        <s v="TEL"/>
        <s v="TGNA"/>
        <s v="TGT"/>
        <s v="TIF"/>
        <s v="TJX"/>
        <s v="TMK"/>
        <s v="TMO"/>
        <s v="TRIP"/>
        <s v="TRV"/>
        <s v="TSCO"/>
        <s v="TSN"/>
        <s v="TSO"/>
        <s v="TSS"/>
        <s v="TXN"/>
        <s v="TXT"/>
        <s v="UA"/>
        <s v="UAA"/>
        <s v="UAL"/>
        <s v="UDR"/>
        <s v="ULTA"/>
        <s v="UNH"/>
        <s v="UNM"/>
        <s v="UNP"/>
        <s v="UPS"/>
        <s v="URBN"/>
        <s v="USB"/>
        <s v="UTX"/>
        <s v="V"/>
        <s v="VAR"/>
        <s v="VFC"/>
        <s v="VIAB"/>
        <s v="VLO"/>
        <s v="VMC"/>
        <s v="VNO"/>
        <s v="VRSK"/>
        <s v="VRSN"/>
        <s v="VRTX"/>
        <s v="VTR"/>
        <s v="VZ"/>
        <s v="WAT"/>
        <s v="WDC"/>
        <s v="WEC"/>
        <s v="WFC"/>
        <s v="WFM"/>
        <s v="WHR"/>
        <s v="WM"/>
        <s v="WMB"/>
        <s v="WMT"/>
        <s v="WRK"/>
        <s v="WU"/>
        <s v="WY"/>
        <s v="WYN"/>
        <s v="WYNN"/>
        <s v="XEC"/>
        <s v="XEL"/>
        <s v="XL"/>
        <s v="XLNX"/>
        <s v="XOM"/>
        <s v="XRAY"/>
        <s v="XRX"/>
        <s v="XYL"/>
        <s v="YHOO"/>
        <s v="YUM"/>
        <s v="ZBH"/>
        <s v="ZION"/>
        <s v="ZT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1"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3"/>
  </r>
  <r>
    <x v="3"/>
  </r>
  <r>
    <x v="3"/>
  </r>
  <r>
    <x v="3"/>
  </r>
  <r>
    <x v="4"/>
  </r>
  <r>
    <x v="4"/>
  </r>
  <r>
    <x v="4"/>
  </r>
  <r>
    <x v="4"/>
  </r>
  <r>
    <x v="5"/>
  </r>
  <r>
    <x v="5"/>
  </r>
  <r>
    <x v="5"/>
  </r>
  <r>
    <x v="5"/>
  </r>
  <r>
    <x v="6"/>
  </r>
  <r>
    <x v="6"/>
  </r>
  <r>
    <x v="6"/>
  </r>
  <r>
    <x v="6"/>
  </r>
  <r>
    <x v="7"/>
  </r>
  <r>
    <x v="7"/>
  </r>
  <r>
    <x v="7"/>
  </r>
  <r>
    <x v="7"/>
  </r>
  <r>
    <x v="8"/>
  </r>
  <r>
    <x v="8"/>
  </r>
  <r>
    <x v="8"/>
  </r>
  <r>
    <x v="8"/>
  </r>
  <r>
    <x v="9"/>
  </r>
  <r>
    <x v="9"/>
  </r>
  <r>
    <x v="9"/>
  </r>
  <r>
    <x v="9"/>
  </r>
  <r>
    <x v="10"/>
  </r>
  <r>
    <x v="10"/>
  </r>
  <r>
    <x v="10"/>
  </r>
  <r>
    <x v="10"/>
  </r>
  <r>
    <x v="11"/>
  </r>
  <r>
    <x v="11"/>
  </r>
  <r>
    <x v="11"/>
  </r>
  <r>
    <x v="11"/>
  </r>
  <r>
    <x v="12"/>
  </r>
  <r>
    <x v="12"/>
  </r>
  <r>
    <x v="12"/>
  </r>
  <r>
    <x v="12"/>
  </r>
  <r>
    <x v="13"/>
  </r>
  <r>
    <x v="13"/>
  </r>
  <r>
    <x v="13"/>
  </r>
  <r>
    <x v="13"/>
  </r>
  <r>
    <x v="14"/>
  </r>
  <r>
    <x v="14"/>
  </r>
  <r>
    <x v="14"/>
  </r>
  <r>
    <x v="14"/>
  </r>
  <r>
    <x v="15"/>
  </r>
  <r>
    <x v="15"/>
  </r>
  <r>
    <x v="15"/>
  </r>
  <r>
    <x v="15"/>
  </r>
  <r>
    <x v="16"/>
  </r>
  <r>
    <x v="16"/>
  </r>
  <r>
    <x v="16"/>
  </r>
  <r>
    <x v="16"/>
  </r>
  <r>
    <x v="17"/>
  </r>
  <r>
    <x v="17"/>
  </r>
  <r>
    <x v="17"/>
  </r>
  <r>
    <x v="17"/>
  </r>
  <r>
    <x v="18"/>
  </r>
  <r>
    <x v="18"/>
  </r>
  <r>
    <x v="18"/>
  </r>
  <r>
    <x v="18"/>
  </r>
  <r>
    <x v="19"/>
  </r>
  <r>
    <x v="19"/>
  </r>
  <r>
    <x v="19"/>
  </r>
  <r>
    <x v="19"/>
  </r>
  <r>
    <x v="20"/>
  </r>
  <r>
    <x v="20"/>
  </r>
  <r>
    <x v="20"/>
  </r>
  <r>
    <x v="20"/>
  </r>
  <r>
    <x v="21"/>
  </r>
  <r>
    <x v="21"/>
  </r>
  <r>
    <x v="21"/>
  </r>
  <r>
    <x v="21"/>
  </r>
  <r>
    <x v="22"/>
  </r>
  <r>
    <x v="22"/>
  </r>
  <r>
    <x v="22"/>
  </r>
  <r>
    <x v="22"/>
  </r>
  <r>
    <x v="23"/>
  </r>
  <r>
    <x v="23"/>
  </r>
  <r>
    <x v="23"/>
  </r>
  <r>
    <x v="23"/>
  </r>
  <r>
    <x v="24"/>
  </r>
  <r>
    <x v="24"/>
  </r>
  <r>
    <x v="24"/>
  </r>
  <r>
    <x v="24"/>
  </r>
  <r>
    <x v="25"/>
  </r>
  <r>
    <x v="25"/>
  </r>
  <r>
    <x v="25"/>
  </r>
  <r>
    <x v="25"/>
  </r>
  <r>
    <x v="26"/>
  </r>
  <r>
    <x v="26"/>
  </r>
  <r>
    <x v="26"/>
  </r>
  <r>
    <x v="26"/>
  </r>
  <r>
    <x v="27"/>
  </r>
  <r>
    <x v="27"/>
  </r>
  <r>
    <x v="27"/>
  </r>
  <r>
    <x v="27"/>
  </r>
  <r>
    <x v="28"/>
  </r>
  <r>
    <x v="28"/>
  </r>
  <r>
    <x v="28"/>
  </r>
  <r>
    <x v="28"/>
  </r>
  <r>
    <x v="29"/>
  </r>
  <r>
    <x v="29"/>
  </r>
  <r>
    <x v="29"/>
  </r>
  <r>
    <x v="29"/>
  </r>
  <r>
    <x v="30"/>
  </r>
  <r>
    <x v="30"/>
  </r>
  <r>
    <x v="30"/>
  </r>
  <r>
    <x v="30"/>
  </r>
  <r>
    <x v="31"/>
  </r>
  <r>
    <x v="31"/>
  </r>
  <r>
    <x v="31"/>
  </r>
  <r>
    <x v="31"/>
  </r>
  <r>
    <x v="32"/>
  </r>
  <r>
    <x v="32"/>
  </r>
  <r>
    <x v="32"/>
  </r>
  <r>
    <x v="32"/>
  </r>
  <r>
    <x v="33"/>
  </r>
  <r>
    <x v="33"/>
  </r>
  <r>
    <x v="33"/>
  </r>
  <r>
    <x v="33"/>
  </r>
  <r>
    <x v="34"/>
  </r>
  <r>
    <x v="34"/>
  </r>
  <r>
    <x v="34"/>
  </r>
  <r>
    <x v="34"/>
  </r>
  <r>
    <x v="35"/>
  </r>
  <r>
    <x v="35"/>
  </r>
  <r>
    <x v="35"/>
  </r>
  <r>
    <x v="35"/>
  </r>
  <r>
    <x v="36"/>
  </r>
  <r>
    <x v="36"/>
  </r>
  <r>
    <x v="36"/>
  </r>
  <r>
    <x v="36"/>
  </r>
  <r>
    <x v="37"/>
  </r>
  <r>
    <x v="37"/>
  </r>
  <r>
    <x v="38"/>
  </r>
  <r>
    <x v="38"/>
  </r>
  <r>
    <x v="38"/>
  </r>
  <r>
    <x v="38"/>
  </r>
  <r>
    <x v="39"/>
  </r>
  <r>
    <x v="39"/>
  </r>
  <r>
    <x v="39"/>
  </r>
  <r>
    <x v="39"/>
  </r>
  <r>
    <x v="40"/>
  </r>
  <r>
    <x v="40"/>
  </r>
  <r>
    <x v="40"/>
  </r>
  <r>
    <x v="40"/>
  </r>
  <r>
    <x v="41"/>
  </r>
  <r>
    <x v="41"/>
  </r>
  <r>
    <x v="41"/>
  </r>
  <r>
    <x v="41"/>
  </r>
  <r>
    <x v="42"/>
  </r>
  <r>
    <x v="42"/>
  </r>
  <r>
    <x v="42"/>
  </r>
  <r>
    <x v="42"/>
  </r>
  <r>
    <x v="43"/>
  </r>
  <r>
    <x v="43"/>
  </r>
  <r>
    <x v="43"/>
  </r>
  <r>
    <x v="43"/>
  </r>
  <r>
    <x v="44"/>
  </r>
  <r>
    <x v="44"/>
  </r>
  <r>
    <x v="44"/>
  </r>
  <r>
    <x v="44"/>
  </r>
  <r>
    <x v="45"/>
  </r>
  <r>
    <x v="45"/>
  </r>
  <r>
    <x v="45"/>
  </r>
  <r>
    <x v="45"/>
  </r>
  <r>
    <x v="46"/>
  </r>
  <r>
    <x v="46"/>
  </r>
  <r>
    <x v="46"/>
  </r>
  <r>
    <x v="46"/>
  </r>
  <r>
    <x v="47"/>
  </r>
  <r>
    <x v="47"/>
  </r>
  <r>
    <x v="47"/>
  </r>
  <r>
    <x v="47"/>
  </r>
  <r>
    <x v="48"/>
  </r>
  <r>
    <x v="48"/>
  </r>
  <r>
    <x v="48"/>
  </r>
  <r>
    <x v="48"/>
  </r>
  <r>
    <x v="49"/>
  </r>
  <r>
    <x v="49"/>
  </r>
  <r>
    <x v="49"/>
  </r>
  <r>
    <x v="49"/>
  </r>
  <r>
    <x v="50"/>
  </r>
  <r>
    <x v="50"/>
  </r>
  <r>
    <x v="50"/>
  </r>
  <r>
    <x v="50"/>
  </r>
  <r>
    <x v="51"/>
  </r>
  <r>
    <x v="51"/>
  </r>
  <r>
    <x v="51"/>
  </r>
  <r>
    <x v="51"/>
  </r>
  <r>
    <x v="52"/>
  </r>
  <r>
    <x v="52"/>
  </r>
  <r>
    <x v="52"/>
  </r>
  <r>
    <x v="52"/>
  </r>
  <r>
    <x v="53"/>
  </r>
  <r>
    <x v="53"/>
  </r>
  <r>
    <x v="53"/>
  </r>
  <r>
    <x v="53"/>
  </r>
  <r>
    <x v="54"/>
  </r>
  <r>
    <x v="54"/>
  </r>
  <r>
    <x v="54"/>
  </r>
  <r>
    <x v="54"/>
  </r>
  <r>
    <x v="55"/>
  </r>
  <r>
    <x v="55"/>
  </r>
  <r>
    <x v="55"/>
  </r>
  <r>
    <x v="55"/>
  </r>
  <r>
    <x v="56"/>
  </r>
  <r>
    <x v="56"/>
  </r>
  <r>
    <x v="56"/>
  </r>
  <r>
    <x v="56"/>
  </r>
  <r>
    <x v="57"/>
  </r>
  <r>
    <x v="57"/>
  </r>
  <r>
    <x v="57"/>
  </r>
  <r>
    <x v="57"/>
  </r>
  <r>
    <x v="58"/>
  </r>
  <r>
    <x v="58"/>
  </r>
  <r>
    <x v="58"/>
  </r>
  <r>
    <x v="58"/>
  </r>
  <r>
    <x v="59"/>
  </r>
  <r>
    <x v="59"/>
  </r>
  <r>
    <x v="59"/>
  </r>
  <r>
    <x v="59"/>
  </r>
  <r>
    <x v="60"/>
  </r>
  <r>
    <x v="60"/>
  </r>
  <r>
    <x v="60"/>
  </r>
  <r>
    <x v="60"/>
  </r>
  <r>
    <x v="61"/>
  </r>
  <r>
    <x v="61"/>
  </r>
  <r>
    <x v="61"/>
  </r>
  <r>
    <x v="61"/>
  </r>
  <r>
    <x v="62"/>
  </r>
  <r>
    <x v="62"/>
  </r>
  <r>
    <x v="62"/>
  </r>
  <r>
    <x v="62"/>
  </r>
  <r>
    <x v="63"/>
  </r>
  <r>
    <x v="63"/>
  </r>
  <r>
    <x v="63"/>
  </r>
  <r>
    <x v="63"/>
  </r>
  <r>
    <x v="64"/>
  </r>
  <r>
    <x v="64"/>
  </r>
  <r>
    <x v="64"/>
  </r>
  <r>
    <x v="64"/>
  </r>
  <r>
    <x v="65"/>
  </r>
  <r>
    <x v="65"/>
  </r>
  <r>
    <x v="65"/>
  </r>
  <r>
    <x v="65"/>
  </r>
  <r>
    <x v="66"/>
  </r>
  <r>
    <x v="66"/>
  </r>
  <r>
    <x v="66"/>
  </r>
  <r>
    <x v="66"/>
  </r>
  <r>
    <x v="67"/>
  </r>
  <r>
    <x v="67"/>
  </r>
  <r>
    <x v="67"/>
  </r>
  <r>
    <x v="67"/>
  </r>
  <r>
    <x v="68"/>
  </r>
  <r>
    <x v="68"/>
  </r>
  <r>
    <x v="68"/>
  </r>
  <r>
    <x v="68"/>
  </r>
  <r>
    <x v="69"/>
  </r>
  <r>
    <x v="69"/>
  </r>
  <r>
    <x v="69"/>
  </r>
  <r>
    <x v="69"/>
  </r>
  <r>
    <x v="70"/>
  </r>
  <r>
    <x v="70"/>
  </r>
  <r>
    <x v="70"/>
  </r>
  <r>
    <x v="70"/>
  </r>
  <r>
    <x v="71"/>
  </r>
  <r>
    <x v="71"/>
  </r>
  <r>
    <x v="71"/>
  </r>
  <r>
    <x v="71"/>
  </r>
  <r>
    <x v="72"/>
  </r>
  <r>
    <x v="72"/>
  </r>
  <r>
    <x v="72"/>
  </r>
  <r>
    <x v="72"/>
  </r>
  <r>
    <x v="73"/>
  </r>
  <r>
    <x v="73"/>
  </r>
  <r>
    <x v="73"/>
  </r>
  <r>
    <x v="73"/>
  </r>
  <r>
    <x v="74"/>
  </r>
  <r>
    <x v="74"/>
  </r>
  <r>
    <x v="74"/>
  </r>
  <r>
    <x v="74"/>
  </r>
  <r>
    <x v="75"/>
  </r>
  <r>
    <x v="75"/>
  </r>
  <r>
    <x v="75"/>
  </r>
  <r>
    <x v="75"/>
  </r>
  <r>
    <x v="76"/>
  </r>
  <r>
    <x v="76"/>
  </r>
  <r>
    <x v="76"/>
  </r>
  <r>
    <x v="76"/>
  </r>
  <r>
    <x v="77"/>
  </r>
  <r>
    <x v="77"/>
  </r>
  <r>
    <x v="77"/>
  </r>
  <r>
    <x v="77"/>
  </r>
  <r>
    <x v="78"/>
  </r>
  <r>
    <x v="78"/>
  </r>
  <r>
    <x v="78"/>
  </r>
  <r>
    <x v="78"/>
  </r>
  <r>
    <x v="79"/>
  </r>
  <r>
    <x v="79"/>
  </r>
  <r>
    <x v="79"/>
  </r>
  <r>
    <x v="79"/>
  </r>
  <r>
    <x v="80"/>
  </r>
  <r>
    <x v="80"/>
  </r>
  <r>
    <x v="80"/>
  </r>
  <r>
    <x v="80"/>
  </r>
  <r>
    <x v="81"/>
  </r>
  <r>
    <x v="81"/>
  </r>
  <r>
    <x v="81"/>
  </r>
  <r>
    <x v="81"/>
  </r>
  <r>
    <x v="82"/>
  </r>
  <r>
    <x v="82"/>
  </r>
  <r>
    <x v="82"/>
  </r>
  <r>
    <x v="82"/>
  </r>
  <r>
    <x v="83"/>
  </r>
  <r>
    <x v="83"/>
  </r>
  <r>
    <x v="83"/>
  </r>
  <r>
    <x v="83"/>
  </r>
  <r>
    <x v="84"/>
  </r>
  <r>
    <x v="84"/>
  </r>
  <r>
    <x v="84"/>
  </r>
  <r>
    <x v="84"/>
  </r>
  <r>
    <x v="85"/>
  </r>
  <r>
    <x v="85"/>
  </r>
  <r>
    <x v="85"/>
  </r>
  <r>
    <x v="85"/>
  </r>
  <r>
    <x v="86"/>
  </r>
  <r>
    <x v="86"/>
  </r>
  <r>
    <x v="86"/>
  </r>
  <r>
    <x v="86"/>
  </r>
  <r>
    <x v="87"/>
  </r>
  <r>
    <x v="87"/>
  </r>
  <r>
    <x v="87"/>
  </r>
  <r>
    <x v="87"/>
  </r>
  <r>
    <x v="88"/>
  </r>
  <r>
    <x v="88"/>
  </r>
  <r>
    <x v="88"/>
  </r>
  <r>
    <x v="88"/>
  </r>
  <r>
    <x v="89"/>
  </r>
  <r>
    <x v="89"/>
  </r>
  <r>
    <x v="89"/>
  </r>
  <r>
    <x v="89"/>
  </r>
  <r>
    <x v="90"/>
  </r>
  <r>
    <x v="90"/>
  </r>
  <r>
    <x v="90"/>
  </r>
  <r>
    <x v="90"/>
  </r>
  <r>
    <x v="91"/>
  </r>
  <r>
    <x v="91"/>
  </r>
  <r>
    <x v="91"/>
  </r>
  <r>
    <x v="91"/>
  </r>
  <r>
    <x v="92"/>
  </r>
  <r>
    <x v="92"/>
  </r>
  <r>
    <x v="93"/>
  </r>
  <r>
    <x v="93"/>
  </r>
  <r>
    <x v="93"/>
  </r>
  <r>
    <x v="93"/>
  </r>
  <r>
    <x v="94"/>
  </r>
  <r>
    <x v="94"/>
  </r>
  <r>
    <x v="94"/>
  </r>
  <r>
    <x v="94"/>
  </r>
  <r>
    <x v="95"/>
  </r>
  <r>
    <x v="95"/>
  </r>
  <r>
    <x v="95"/>
  </r>
  <r>
    <x v="95"/>
  </r>
  <r>
    <x v="96"/>
  </r>
  <r>
    <x v="96"/>
  </r>
  <r>
    <x v="96"/>
  </r>
  <r>
    <x v="96"/>
  </r>
  <r>
    <x v="97"/>
  </r>
  <r>
    <x v="97"/>
  </r>
  <r>
    <x v="97"/>
  </r>
  <r>
    <x v="97"/>
  </r>
  <r>
    <x v="98"/>
  </r>
  <r>
    <x v="98"/>
  </r>
  <r>
    <x v="98"/>
  </r>
  <r>
    <x v="98"/>
  </r>
  <r>
    <x v="99"/>
  </r>
  <r>
    <x v="99"/>
  </r>
  <r>
    <x v="99"/>
  </r>
  <r>
    <x v="99"/>
  </r>
  <r>
    <x v="100"/>
  </r>
  <r>
    <x v="100"/>
  </r>
  <r>
    <x v="100"/>
  </r>
  <r>
    <x v="100"/>
  </r>
  <r>
    <x v="101"/>
  </r>
  <r>
    <x v="101"/>
  </r>
  <r>
    <x v="101"/>
  </r>
  <r>
    <x v="101"/>
  </r>
  <r>
    <x v="102"/>
  </r>
  <r>
    <x v="102"/>
  </r>
  <r>
    <x v="102"/>
  </r>
  <r>
    <x v="102"/>
  </r>
  <r>
    <x v="103"/>
  </r>
  <r>
    <x v="103"/>
  </r>
  <r>
    <x v="103"/>
  </r>
  <r>
    <x v="103"/>
  </r>
  <r>
    <x v="104"/>
  </r>
  <r>
    <x v="104"/>
  </r>
  <r>
    <x v="104"/>
  </r>
  <r>
    <x v="104"/>
  </r>
  <r>
    <x v="105"/>
  </r>
  <r>
    <x v="105"/>
  </r>
  <r>
    <x v="105"/>
  </r>
  <r>
    <x v="105"/>
  </r>
  <r>
    <x v="106"/>
  </r>
  <r>
    <x v="106"/>
  </r>
  <r>
    <x v="106"/>
  </r>
  <r>
    <x v="106"/>
  </r>
  <r>
    <x v="107"/>
  </r>
  <r>
    <x v="107"/>
  </r>
  <r>
    <x v="107"/>
  </r>
  <r>
    <x v="107"/>
  </r>
  <r>
    <x v="108"/>
  </r>
  <r>
    <x v="108"/>
  </r>
  <r>
    <x v="108"/>
  </r>
  <r>
    <x v="108"/>
  </r>
  <r>
    <x v="109"/>
  </r>
  <r>
    <x v="109"/>
  </r>
  <r>
    <x v="109"/>
  </r>
  <r>
    <x v="109"/>
  </r>
  <r>
    <x v="110"/>
  </r>
  <r>
    <x v="110"/>
  </r>
  <r>
    <x v="110"/>
  </r>
  <r>
    <x v="110"/>
  </r>
  <r>
    <x v="111"/>
  </r>
  <r>
    <x v="111"/>
  </r>
  <r>
    <x v="111"/>
  </r>
  <r>
    <x v="111"/>
  </r>
  <r>
    <x v="112"/>
  </r>
  <r>
    <x v="112"/>
  </r>
  <r>
    <x v="112"/>
  </r>
  <r>
    <x v="112"/>
  </r>
  <r>
    <x v="113"/>
  </r>
  <r>
    <x v="113"/>
  </r>
  <r>
    <x v="113"/>
  </r>
  <r>
    <x v="113"/>
  </r>
  <r>
    <x v="114"/>
  </r>
  <r>
    <x v="114"/>
  </r>
  <r>
    <x v="114"/>
  </r>
  <r>
    <x v="114"/>
  </r>
  <r>
    <x v="115"/>
  </r>
  <r>
    <x v="115"/>
  </r>
  <r>
    <x v="115"/>
  </r>
  <r>
    <x v="115"/>
  </r>
  <r>
    <x v="116"/>
  </r>
  <r>
    <x v="116"/>
  </r>
  <r>
    <x v="116"/>
  </r>
  <r>
    <x v="116"/>
  </r>
  <r>
    <x v="117"/>
  </r>
  <r>
    <x v="117"/>
  </r>
  <r>
    <x v="117"/>
  </r>
  <r>
    <x v="117"/>
  </r>
  <r>
    <x v="118"/>
  </r>
  <r>
    <x v="118"/>
  </r>
  <r>
    <x v="118"/>
  </r>
  <r>
    <x v="118"/>
  </r>
  <r>
    <x v="119"/>
  </r>
  <r>
    <x v="119"/>
  </r>
  <r>
    <x v="119"/>
  </r>
  <r>
    <x v="119"/>
  </r>
  <r>
    <x v="120"/>
  </r>
  <r>
    <x v="120"/>
  </r>
  <r>
    <x v="120"/>
  </r>
  <r>
    <x v="120"/>
  </r>
  <r>
    <x v="121"/>
  </r>
  <r>
    <x v="121"/>
  </r>
  <r>
    <x v="121"/>
  </r>
  <r>
    <x v="121"/>
  </r>
  <r>
    <x v="122"/>
  </r>
  <r>
    <x v="122"/>
  </r>
  <r>
    <x v="122"/>
  </r>
  <r>
    <x v="122"/>
  </r>
  <r>
    <x v="123"/>
  </r>
  <r>
    <x v="123"/>
  </r>
  <r>
    <x v="123"/>
  </r>
  <r>
    <x v="123"/>
  </r>
  <r>
    <x v="124"/>
  </r>
  <r>
    <x v="124"/>
  </r>
  <r>
    <x v="124"/>
  </r>
  <r>
    <x v="124"/>
  </r>
  <r>
    <x v="125"/>
  </r>
  <r>
    <x v="125"/>
  </r>
  <r>
    <x v="125"/>
  </r>
  <r>
    <x v="125"/>
  </r>
  <r>
    <x v="126"/>
  </r>
  <r>
    <x v="126"/>
  </r>
  <r>
    <x v="126"/>
  </r>
  <r>
    <x v="126"/>
  </r>
  <r>
    <x v="127"/>
  </r>
  <r>
    <x v="127"/>
  </r>
  <r>
    <x v="127"/>
  </r>
  <r>
    <x v="127"/>
  </r>
  <r>
    <x v="128"/>
  </r>
  <r>
    <x v="128"/>
  </r>
  <r>
    <x v="128"/>
  </r>
  <r>
    <x v="128"/>
  </r>
  <r>
    <x v="129"/>
  </r>
  <r>
    <x v="129"/>
  </r>
  <r>
    <x v="129"/>
  </r>
  <r>
    <x v="129"/>
  </r>
  <r>
    <x v="130"/>
  </r>
  <r>
    <x v="130"/>
  </r>
  <r>
    <x v="130"/>
  </r>
  <r>
    <x v="130"/>
  </r>
  <r>
    <x v="131"/>
  </r>
  <r>
    <x v="131"/>
  </r>
  <r>
    <x v="131"/>
  </r>
  <r>
    <x v="131"/>
  </r>
  <r>
    <x v="132"/>
  </r>
  <r>
    <x v="132"/>
  </r>
  <r>
    <x v="132"/>
  </r>
  <r>
    <x v="132"/>
  </r>
  <r>
    <x v="133"/>
  </r>
  <r>
    <x v="133"/>
  </r>
  <r>
    <x v="133"/>
  </r>
  <r>
    <x v="133"/>
  </r>
  <r>
    <x v="134"/>
  </r>
  <r>
    <x v="134"/>
  </r>
  <r>
    <x v="134"/>
  </r>
  <r>
    <x v="134"/>
  </r>
  <r>
    <x v="135"/>
  </r>
  <r>
    <x v="135"/>
  </r>
  <r>
    <x v="135"/>
  </r>
  <r>
    <x v="135"/>
  </r>
  <r>
    <x v="136"/>
  </r>
  <r>
    <x v="136"/>
  </r>
  <r>
    <x v="136"/>
  </r>
  <r>
    <x v="136"/>
  </r>
  <r>
    <x v="137"/>
  </r>
  <r>
    <x v="137"/>
  </r>
  <r>
    <x v="137"/>
  </r>
  <r>
    <x v="137"/>
  </r>
  <r>
    <x v="138"/>
  </r>
  <r>
    <x v="138"/>
  </r>
  <r>
    <x v="138"/>
  </r>
  <r>
    <x v="138"/>
  </r>
  <r>
    <x v="139"/>
  </r>
  <r>
    <x v="139"/>
  </r>
  <r>
    <x v="139"/>
  </r>
  <r>
    <x v="139"/>
  </r>
  <r>
    <x v="140"/>
  </r>
  <r>
    <x v="140"/>
  </r>
  <r>
    <x v="140"/>
  </r>
  <r>
    <x v="140"/>
  </r>
  <r>
    <x v="141"/>
  </r>
  <r>
    <x v="141"/>
  </r>
  <r>
    <x v="141"/>
  </r>
  <r>
    <x v="141"/>
  </r>
  <r>
    <x v="142"/>
  </r>
  <r>
    <x v="142"/>
  </r>
  <r>
    <x v="142"/>
  </r>
  <r>
    <x v="142"/>
  </r>
  <r>
    <x v="143"/>
  </r>
  <r>
    <x v="143"/>
  </r>
  <r>
    <x v="143"/>
  </r>
  <r>
    <x v="143"/>
  </r>
  <r>
    <x v="144"/>
  </r>
  <r>
    <x v="144"/>
  </r>
  <r>
    <x v="144"/>
  </r>
  <r>
    <x v="144"/>
  </r>
  <r>
    <x v="145"/>
  </r>
  <r>
    <x v="145"/>
  </r>
  <r>
    <x v="145"/>
  </r>
  <r>
    <x v="145"/>
  </r>
  <r>
    <x v="146"/>
  </r>
  <r>
    <x v="146"/>
  </r>
  <r>
    <x v="146"/>
  </r>
  <r>
    <x v="146"/>
  </r>
  <r>
    <x v="147"/>
  </r>
  <r>
    <x v="147"/>
  </r>
  <r>
    <x v="147"/>
  </r>
  <r>
    <x v="147"/>
  </r>
  <r>
    <x v="148"/>
  </r>
  <r>
    <x v="148"/>
  </r>
  <r>
    <x v="148"/>
  </r>
  <r>
    <x v="148"/>
  </r>
  <r>
    <x v="149"/>
  </r>
  <r>
    <x v="149"/>
  </r>
  <r>
    <x v="149"/>
  </r>
  <r>
    <x v="149"/>
  </r>
  <r>
    <x v="150"/>
  </r>
  <r>
    <x v="150"/>
  </r>
  <r>
    <x v="150"/>
  </r>
  <r>
    <x v="150"/>
  </r>
  <r>
    <x v="151"/>
  </r>
  <r>
    <x v="151"/>
  </r>
  <r>
    <x v="151"/>
  </r>
  <r>
    <x v="151"/>
  </r>
  <r>
    <x v="152"/>
  </r>
  <r>
    <x v="152"/>
  </r>
  <r>
    <x v="152"/>
  </r>
  <r>
    <x v="152"/>
  </r>
  <r>
    <x v="153"/>
  </r>
  <r>
    <x v="153"/>
  </r>
  <r>
    <x v="153"/>
  </r>
  <r>
    <x v="153"/>
  </r>
  <r>
    <x v="154"/>
  </r>
  <r>
    <x v="154"/>
  </r>
  <r>
    <x v="154"/>
  </r>
  <r>
    <x v="154"/>
  </r>
  <r>
    <x v="155"/>
  </r>
  <r>
    <x v="155"/>
  </r>
  <r>
    <x v="155"/>
  </r>
  <r>
    <x v="155"/>
  </r>
  <r>
    <x v="156"/>
  </r>
  <r>
    <x v="156"/>
  </r>
  <r>
    <x v="156"/>
  </r>
  <r>
    <x v="156"/>
  </r>
  <r>
    <x v="157"/>
  </r>
  <r>
    <x v="157"/>
  </r>
  <r>
    <x v="157"/>
  </r>
  <r>
    <x v="157"/>
  </r>
  <r>
    <x v="158"/>
  </r>
  <r>
    <x v="158"/>
  </r>
  <r>
    <x v="158"/>
  </r>
  <r>
    <x v="158"/>
  </r>
  <r>
    <x v="159"/>
  </r>
  <r>
    <x v="159"/>
  </r>
  <r>
    <x v="159"/>
  </r>
  <r>
    <x v="159"/>
  </r>
  <r>
    <x v="160"/>
  </r>
  <r>
    <x v="160"/>
  </r>
  <r>
    <x v="160"/>
  </r>
  <r>
    <x v="160"/>
  </r>
  <r>
    <x v="161"/>
  </r>
  <r>
    <x v="161"/>
  </r>
  <r>
    <x v="161"/>
  </r>
  <r>
    <x v="161"/>
  </r>
  <r>
    <x v="162"/>
  </r>
  <r>
    <x v="162"/>
  </r>
  <r>
    <x v="162"/>
  </r>
  <r>
    <x v="162"/>
  </r>
  <r>
    <x v="163"/>
  </r>
  <r>
    <x v="163"/>
  </r>
  <r>
    <x v="163"/>
  </r>
  <r>
    <x v="163"/>
  </r>
  <r>
    <x v="164"/>
  </r>
  <r>
    <x v="164"/>
  </r>
  <r>
    <x v="164"/>
  </r>
  <r>
    <x v="164"/>
  </r>
  <r>
    <x v="165"/>
  </r>
  <r>
    <x v="165"/>
  </r>
  <r>
    <x v="165"/>
  </r>
  <r>
    <x v="165"/>
  </r>
  <r>
    <x v="166"/>
  </r>
  <r>
    <x v="166"/>
  </r>
  <r>
    <x v="166"/>
  </r>
  <r>
    <x v="166"/>
  </r>
  <r>
    <x v="167"/>
  </r>
  <r>
    <x v="167"/>
  </r>
  <r>
    <x v="167"/>
  </r>
  <r>
    <x v="167"/>
  </r>
  <r>
    <x v="168"/>
  </r>
  <r>
    <x v="168"/>
  </r>
  <r>
    <x v="168"/>
  </r>
  <r>
    <x v="168"/>
  </r>
  <r>
    <x v="169"/>
  </r>
  <r>
    <x v="169"/>
  </r>
  <r>
    <x v="169"/>
  </r>
  <r>
    <x v="169"/>
  </r>
  <r>
    <x v="170"/>
  </r>
  <r>
    <x v="170"/>
  </r>
  <r>
    <x v="170"/>
  </r>
  <r>
    <x v="170"/>
  </r>
  <r>
    <x v="171"/>
  </r>
  <r>
    <x v="171"/>
  </r>
  <r>
    <x v="171"/>
  </r>
  <r>
    <x v="171"/>
  </r>
  <r>
    <x v="172"/>
  </r>
  <r>
    <x v="172"/>
  </r>
  <r>
    <x v="172"/>
  </r>
  <r>
    <x v="172"/>
  </r>
  <r>
    <x v="173"/>
  </r>
  <r>
    <x v="173"/>
  </r>
  <r>
    <x v="173"/>
  </r>
  <r>
    <x v="173"/>
  </r>
  <r>
    <x v="174"/>
  </r>
  <r>
    <x v="174"/>
  </r>
  <r>
    <x v="174"/>
  </r>
  <r>
    <x v="174"/>
  </r>
  <r>
    <x v="175"/>
  </r>
  <r>
    <x v="175"/>
  </r>
  <r>
    <x v="175"/>
  </r>
  <r>
    <x v="175"/>
  </r>
  <r>
    <x v="176"/>
  </r>
  <r>
    <x v="176"/>
  </r>
  <r>
    <x v="176"/>
  </r>
  <r>
    <x v="176"/>
  </r>
  <r>
    <x v="177"/>
  </r>
  <r>
    <x v="177"/>
  </r>
  <r>
    <x v="177"/>
  </r>
  <r>
    <x v="177"/>
  </r>
  <r>
    <x v="178"/>
  </r>
  <r>
    <x v="178"/>
  </r>
  <r>
    <x v="178"/>
  </r>
  <r>
    <x v="178"/>
  </r>
  <r>
    <x v="179"/>
  </r>
  <r>
    <x v="179"/>
  </r>
  <r>
    <x v="179"/>
  </r>
  <r>
    <x v="179"/>
  </r>
  <r>
    <x v="180"/>
  </r>
  <r>
    <x v="180"/>
  </r>
  <r>
    <x v="180"/>
  </r>
  <r>
    <x v="180"/>
  </r>
  <r>
    <x v="181"/>
  </r>
  <r>
    <x v="181"/>
  </r>
  <r>
    <x v="181"/>
  </r>
  <r>
    <x v="181"/>
  </r>
  <r>
    <x v="182"/>
  </r>
  <r>
    <x v="182"/>
  </r>
  <r>
    <x v="182"/>
  </r>
  <r>
    <x v="182"/>
  </r>
  <r>
    <x v="183"/>
  </r>
  <r>
    <x v="183"/>
  </r>
  <r>
    <x v="183"/>
  </r>
  <r>
    <x v="183"/>
  </r>
  <r>
    <x v="184"/>
  </r>
  <r>
    <x v="184"/>
  </r>
  <r>
    <x v="184"/>
  </r>
  <r>
    <x v="184"/>
  </r>
  <r>
    <x v="185"/>
  </r>
  <r>
    <x v="185"/>
  </r>
  <r>
    <x v="185"/>
  </r>
  <r>
    <x v="185"/>
  </r>
  <r>
    <x v="186"/>
  </r>
  <r>
    <x v="186"/>
  </r>
  <r>
    <x v="186"/>
  </r>
  <r>
    <x v="186"/>
  </r>
  <r>
    <x v="187"/>
  </r>
  <r>
    <x v="187"/>
  </r>
  <r>
    <x v="187"/>
  </r>
  <r>
    <x v="187"/>
  </r>
  <r>
    <x v="188"/>
  </r>
  <r>
    <x v="188"/>
  </r>
  <r>
    <x v="188"/>
  </r>
  <r>
    <x v="188"/>
  </r>
  <r>
    <x v="189"/>
  </r>
  <r>
    <x v="189"/>
  </r>
  <r>
    <x v="189"/>
  </r>
  <r>
    <x v="189"/>
  </r>
  <r>
    <x v="190"/>
  </r>
  <r>
    <x v="190"/>
  </r>
  <r>
    <x v="190"/>
  </r>
  <r>
    <x v="190"/>
  </r>
  <r>
    <x v="191"/>
  </r>
  <r>
    <x v="191"/>
  </r>
  <r>
    <x v="191"/>
  </r>
  <r>
    <x v="192"/>
  </r>
  <r>
    <x v="192"/>
  </r>
  <r>
    <x v="192"/>
  </r>
  <r>
    <x v="192"/>
  </r>
  <r>
    <x v="193"/>
  </r>
  <r>
    <x v="193"/>
  </r>
  <r>
    <x v="193"/>
  </r>
  <r>
    <x v="193"/>
  </r>
  <r>
    <x v="194"/>
  </r>
  <r>
    <x v="194"/>
  </r>
  <r>
    <x v="194"/>
  </r>
  <r>
    <x v="194"/>
  </r>
  <r>
    <x v="195"/>
  </r>
  <r>
    <x v="195"/>
  </r>
  <r>
    <x v="195"/>
  </r>
  <r>
    <x v="195"/>
  </r>
  <r>
    <x v="196"/>
  </r>
  <r>
    <x v="196"/>
  </r>
  <r>
    <x v="196"/>
  </r>
  <r>
    <x v="196"/>
  </r>
  <r>
    <x v="197"/>
  </r>
  <r>
    <x v="197"/>
  </r>
  <r>
    <x v="197"/>
  </r>
  <r>
    <x v="197"/>
  </r>
  <r>
    <x v="198"/>
  </r>
  <r>
    <x v="198"/>
  </r>
  <r>
    <x v="198"/>
  </r>
  <r>
    <x v="198"/>
  </r>
  <r>
    <x v="199"/>
  </r>
  <r>
    <x v="199"/>
  </r>
  <r>
    <x v="199"/>
  </r>
  <r>
    <x v="199"/>
  </r>
  <r>
    <x v="200"/>
  </r>
  <r>
    <x v="200"/>
  </r>
  <r>
    <x v="200"/>
  </r>
  <r>
    <x v="200"/>
  </r>
  <r>
    <x v="201"/>
  </r>
  <r>
    <x v="201"/>
  </r>
  <r>
    <x v="201"/>
  </r>
  <r>
    <x v="201"/>
  </r>
  <r>
    <x v="202"/>
  </r>
  <r>
    <x v="202"/>
  </r>
  <r>
    <x v="202"/>
  </r>
  <r>
    <x v="202"/>
  </r>
  <r>
    <x v="203"/>
  </r>
  <r>
    <x v="203"/>
  </r>
  <r>
    <x v="203"/>
  </r>
  <r>
    <x v="203"/>
  </r>
  <r>
    <x v="204"/>
  </r>
  <r>
    <x v="204"/>
  </r>
  <r>
    <x v="204"/>
  </r>
  <r>
    <x v="204"/>
  </r>
  <r>
    <x v="205"/>
  </r>
  <r>
    <x v="205"/>
  </r>
  <r>
    <x v="205"/>
  </r>
  <r>
    <x v="205"/>
  </r>
  <r>
    <x v="206"/>
  </r>
  <r>
    <x v="206"/>
  </r>
  <r>
    <x v="206"/>
  </r>
  <r>
    <x v="206"/>
  </r>
  <r>
    <x v="207"/>
  </r>
  <r>
    <x v="207"/>
  </r>
  <r>
    <x v="207"/>
  </r>
  <r>
    <x v="207"/>
  </r>
  <r>
    <x v="208"/>
  </r>
  <r>
    <x v="208"/>
  </r>
  <r>
    <x v="208"/>
  </r>
  <r>
    <x v="208"/>
  </r>
  <r>
    <x v="209"/>
  </r>
  <r>
    <x v="209"/>
  </r>
  <r>
    <x v="209"/>
  </r>
  <r>
    <x v="209"/>
  </r>
  <r>
    <x v="210"/>
  </r>
  <r>
    <x v="210"/>
  </r>
  <r>
    <x v="210"/>
  </r>
  <r>
    <x v="210"/>
  </r>
  <r>
    <x v="211"/>
  </r>
  <r>
    <x v="211"/>
  </r>
  <r>
    <x v="211"/>
  </r>
  <r>
    <x v="211"/>
  </r>
  <r>
    <x v="212"/>
  </r>
  <r>
    <x v="212"/>
  </r>
  <r>
    <x v="212"/>
  </r>
  <r>
    <x v="212"/>
  </r>
  <r>
    <x v="213"/>
  </r>
  <r>
    <x v="213"/>
  </r>
  <r>
    <x v="213"/>
  </r>
  <r>
    <x v="213"/>
  </r>
  <r>
    <x v="214"/>
  </r>
  <r>
    <x v="214"/>
  </r>
  <r>
    <x v="214"/>
  </r>
  <r>
    <x v="214"/>
  </r>
  <r>
    <x v="215"/>
  </r>
  <r>
    <x v="215"/>
  </r>
  <r>
    <x v="215"/>
  </r>
  <r>
    <x v="215"/>
  </r>
  <r>
    <x v="216"/>
  </r>
  <r>
    <x v="216"/>
  </r>
  <r>
    <x v="216"/>
  </r>
  <r>
    <x v="216"/>
  </r>
  <r>
    <x v="217"/>
  </r>
  <r>
    <x v="217"/>
  </r>
  <r>
    <x v="217"/>
  </r>
  <r>
    <x v="217"/>
  </r>
  <r>
    <x v="218"/>
  </r>
  <r>
    <x v="218"/>
  </r>
  <r>
    <x v="218"/>
  </r>
  <r>
    <x v="218"/>
  </r>
  <r>
    <x v="219"/>
  </r>
  <r>
    <x v="219"/>
  </r>
  <r>
    <x v="219"/>
  </r>
  <r>
    <x v="219"/>
  </r>
  <r>
    <x v="220"/>
  </r>
  <r>
    <x v="220"/>
  </r>
  <r>
    <x v="220"/>
  </r>
  <r>
    <x v="220"/>
  </r>
  <r>
    <x v="221"/>
  </r>
  <r>
    <x v="221"/>
  </r>
  <r>
    <x v="221"/>
  </r>
  <r>
    <x v="221"/>
  </r>
  <r>
    <x v="222"/>
  </r>
  <r>
    <x v="222"/>
  </r>
  <r>
    <x v="222"/>
  </r>
  <r>
    <x v="222"/>
  </r>
  <r>
    <x v="223"/>
  </r>
  <r>
    <x v="223"/>
  </r>
  <r>
    <x v="223"/>
  </r>
  <r>
    <x v="223"/>
  </r>
  <r>
    <x v="224"/>
  </r>
  <r>
    <x v="224"/>
  </r>
  <r>
    <x v="224"/>
  </r>
  <r>
    <x v="224"/>
  </r>
  <r>
    <x v="225"/>
  </r>
  <r>
    <x v="225"/>
  </r>
  <r>
    <x v="225"/>
  </r>
  <r>
    <x v="225"/>
  </r>
  <r>
    <x v="226"/>
  </r>
  <r>
    <x v="226"/>
  </r>
  <r>
    <x v="226"/>
  </r>
  <r>
    <x v="226"/>
  </r>
  <r>
    <x v="227"/>
  </r>
  <r>
    <x v="227"/>
  </r>
  <r>
    <x v="227"/>
  </r>
  <r>
    <x v="227"/>
  </r>
  <r>
    <x v="228"/>
  </r>
  <r>
    <x v="228"/>
  </r>
  <r>
    <x v="228"/>
  </r>
  <r>
    <x v="228"/>
  </r>
  <r>
    <x v="229"/>
  </r>
  <r>
    <x v="229"/>
  </r>
  <r>
    <x v="229"/>
  </r>
  <r>
    <x v="229"/>
  </r>
  <r>
    <x v="230"/>
  </r>
  <r>
    <x v="230"/>
  </r>
  <r>
    <x v="230"/>
  </r>
  <r>
    <x v="230"/>
  </r>
  <r>
    <x v="231"/>
  </r>
  <r>
    <x v="231"/>
  </r>
  <r>
    <x v="231"/>
  </r>
  <r>
    <x v="231"/>
  </r>
  <r>
    <x v="232"/>
  </r>
  <r>
    <x v="232"/>
  </r>
  <r>
    <x v="232"/>
  </r>
  <r>
    <x v="232"/>
  </r>
  <r>
    <x v="233"/>
  </r>
  <r>
    <x v="233"/>
  </r>
  <r>
    <x v="233"/>
  </r>
  <r>
    <x v="233"/>
  </r>
  <r>
    <x v="234"/>
  </r>
  <r>
    <x v="234"/>
  </r>
  <r>
    <x v="234"/>
  </r>
  <r>
    <x v="234"/>
  </r>
  <r>
    <x v="235"/>
  </r>
  <r>
    <x v="235"/>
  </r>
  <r>
    <x v="235"/>
  </r>
  <r>
    <x v="235"/>
  </r>
  <r>
    <x v="236"/>
  </r>
  <r>
    <x v="236"/>
  </r>
  <r>
    <x v="236"/>
  </r>
  <r>
    <x v="236"/>
  </r>
  <r>
    <x v="237"/>
  </r>
  <r>
    <x v="237"/>
  </r>
  <r>
    <x v="237"/>
  </r>
  <r>
    <x v="237"/>
  </r>
  <r>
    <x v="238"/>
  </r>
  <r>
    <x v="238"/>
  </r>
  <r>
    <x v="238"/>
  </r>
  <r>
    <x v="238"/>
  </r>
  <r>
    <x v="239"/>
  </r>
  <r>
    <x v="239"/>
  </r>
  <r>
    <x v="239"/>
  </r>
  <r>
    <x v="239"/>
  </r>
  <r>
    <x v="240"/>
  </r>
  <r>
    <x v="240"/>
  </r>
  <r>
    <x v="240"/>
  </r>
  <r>
    <x v="240"/>
  </r>
  <r>
    <x v="241"/>
  </r>
  <r>
    <x v="241"/>
  </r>
  <r>
    <x v="241"/>
  </r>
  <r>
    <x v="241"/>
  </r>
  <r>
    <x v="242"/>
  </r>
  <r>
    <x v="242"/>
  </r>
  <r>
    <x v="242"/>
  </r>
  <r>
    <x v="242"/>
  </r>
  <r>
    <x v="243"/>
  </r>
  <r>
    <x v="243"/>
  </r>
  <r>
    <x v="243"/>
  </r>
  <r>
    <x v="243"/>
  </r>
  <r>
    <x v="244"/>
  </r>
  <r>
    <x v="244"/>
  </r>
  <r>
    <x v="244"/>
  </r>
  <r>
    <x v="244"/>
  </r>
  <r>
    <x v="245"/>
  </r>
  <r>
    <x v="245"/>
  </r>
  <r>
    <x v="245"/>
  </r>
  <r>
    <x v="245"/>
  </r>
  <r>
    <x v="246"/>
  </r>
  <r>
    <x v="246"/>
  </r>
  <r>
    <x v="246"/>
  </r>
  <r>
    <x v="246"/>
  </r>
  <r>
    <x v="247"/>
  </r>
  <r>
    <x v="247"/>
  </r>
  <r>
    <x v="247"/>
  </r>
  <r>
    <x v="247"/>
  </r>
  <r>
    <x v="248"/>
  </r>
  <r>
    <x v="248"/>
  </r>
  <r>
    <x v="248"/>
  </r>
  <r>
    <x v="248"/>
  </r>
  <r>
    <x v="249"/>
  </r>
  <r>
    <x v="249"/>
  </r>
  <r>
    <x v="249"/>
  </r>
  <r>
    <x v="249"/>
  </r>
  <r>
    <x v="250"/>
  </r>
  <r>
    <x v="250"/>
  </r>
  <r>
    <x v="250"/>
  </r>
  <r>
    <x v="250"/>
  </r>
  <r>
    <x v="251"/>
  </r>
  <r>
    <x v="251"/>
  </r>
  <r>
    <x v="251"/>
  </r>
  <r>
    <x v="251"/>
  </r>
  <r>
    <x v="252"/>
  </r>
  <r>
    <x v="252"/>
  </r>
  <r>
    <x v="252"/>
  </r>
  <r>
    <x v="252"/>
  </r>
  <r>
    <x v="253"/>
  </r>
  <r>
    <x v="253"/>
  </r>
  <r>
    <x v="253"/>
  </r>
  <r>
    <x v="253"/>
  </r>
  <r>
    <x v="254"/>
  </r>
  <r>
    <x v="254"/>
  </r>
  <r>
    <x v="254"/>
  </r>
  <r>
    <x v="254"/>
  </r>
  <r>
    <x v="255"/>
  </r>
  <r>
    <x v="255"/>
  </r>
  <r>
    <x v="255"/>
  </r>
  <r>
    <x v="255"/>
  </r>
  <r>
    <x v="256"/>
  </r>
  <r>
    <x v="256"/>
  </r>
  <r>
    <x v="256"/>
  </r>
  <r>
    <x v="256"/>
  </r>
  <r>
    <x v="257"/>
  </r>
  <r>
    <x v="257"/>
  </r>
  <r>
    <x v="257"/>
  </r>
  <r>
    <x v="257"/>
  </r>
  <r>
    <x v="258"/>
  </r>
  <r>
    <x v="258"/>
  </r>
  <r>
    <x v="258"/>
  </r>
  <r>
    <x v="258"/>
  </r>
  <r>
    <x v="259"/>
  </r>
  <r>
    <x v="259"/>
  </r>
  <r>
    <x v="259"/>
  </r>
  <r>
    <x v="259"/>
  </r>
  <r>
    <x v="260"/>
  </r>
  <r>
    <x v="260"/>
  </r>
  <r>
    <x v="260"/>
  </r>
  <r>
    <x v="260"/>
  </r>
  <r>
    <x v="261"/>
  </r>
  <r>
    <x v="261"/>
  </r>
  <r>
    <x v="261"/>
  </r>
  <r>
    <x v="261"/>
  </r>
  <r>
    <x v="262"/>
  </r>
  <r>
    <x v="262"/>
  </r>
  <r>
    <x v="262"/>
  </r>
  <r>
    <x v="262"/>
  </r>
  <r>
    <x v="263"/>
  </r>
  <r>
    <x v="263"/>
  </r>
  <r>
    <x v="263"/>
  </r>
  <r>
    <x v="263"/>
  </r>
  <r>
    <x v="264"/>
  </r>
  <r>
    <x v="264"/>
  </r>
  <r>
    <x v="264"/>
  </r>
  <r>
    <x v="264"/>
  </r>
  <r>
    <x v="265"/>
  </r>
  <r>
    <x v="265"/>
  </r>
  <r>
    <x v="265"/>
  </r>
  <r>
    <x v="265"/>
  </r>
  <r>
    <x v="266"/>
  </r>
  <r>
    <x v="266"/>
  </r>
  <r>
    <x v="266"/>
  </r>
  <r>
    <x v="266"/>
  </r>
  <r>
    <x v="267"/>
  </r>
  <r>
    <x v="267"/>
  </r>
  <r>
    <x v="267"/>
  </r>
  <r>
    <x v="267"/>
  </r>
  <r>
    <x v="268"/>
  </r>
  <r>
    <x v="268"/>
  </r>
  <r>
    <x v="268"/>
  </r>
  <r>
    <x v="268"/>
  </r>
  <r>
    <x v="269"/>
  </r>
  <r>
    <x v="269"/>
  </r>
  <r>
    <x v="269"/>
  </r>
  <r>
    <x v="269"/>
  </r>
  <r>
    <x v="270"/>
  </r>
  <r>
    <x v="270"/>
  </r>
  <r>
    <x v="270"/>
  </r>
  <r>
    <x v="270"/>
  </r>
  <r>
    <x v="271"/>
  </r>
  <r>
    <x v="271"/>
  </r>
  <r>
    <x v="271"/>
  </r>
  <r>
    <x v="271"/>
  </r>
  <r>
    <x v="272"/>
  </r>
  <r>
    <x v="272"/>
  </r>
  <r>
    <x v="272"/>
  </r>
  <r>
    <x v="272"/>
  </r>
  <r>
    <x v="273"/>
  </r>
  <r>
    <x v="273"/>
  </r>
  <r>
    <x v="273"/>
  </r>
  <r>
    <x v="273"/>
  </r>
  <r>
    <x v="274"/>
  </r>
  <r>
    <x v="274"/>
  </r>
  <r>
    <x v="274"/>
  </r>
  <r>
    <x v="274"/>
  </r>
  <r>
    <x v="275"/>
  </r>
  <r>
    <x v="275"/>
  </r>
  <r>
    <x v="275"/>
  </r>
  <r>
    <x v="275"/>
  </r>
  <r>
    <x v="276"/>
  </r>
  <r>
    <x v="276"/>
  </r>
  <r>
    <x v="277"/>
  </r>
  <r>
    <x v="277"/>
  </r>
  <r>
    <x v="277"/>
  </r>
  <r>
    <x v="277"/>
  </r>
  <r>
    <x v="278"/>
  </r>
  <r>
    <x v="278"/>
  </r>
  <r>
    <x v="278"/>
  </r>
  <r>
    <x v="278"/>
  </r>
  <r>
    <x v="279"/>
  </r>
  <r>
    <x v="279"/>
  </r>
  <r>
    <x v="279"/>
  </r>
  <r>
    <x v="279"/>
  </r>
  <r>
    <x v="280"/>
  </r>
  <r>
    <x v="280"/>
  </r>
  <r>
    <x v="280"/>
  </r>
  <r>
    <x v="280"/>
  </r>
  <r>
    <x v="281"/>
  </r>
  <r>
    <x v="281"/>
  </r>
  <r>
    <x v="281"/>
  </r>
  <r>
    <x v="281"/>
  </r>
  <r>
    <x v="282"/>
  </r>
  <r>
    <x v="282"/>
  </r>
  <r>
    <x v="282"/>
  </r>
  <r>
    <x v="282"/>
  </r>
  <r>
    <x v="283"/>
  </r>
  <r>
    <x v="283"/>
  </r>
  <r>
    <x v="283"/>
  </r>
  <r>
    <x v="283"/>
  </r>
  <r>
    <x v="284"/>
  </r>
  <r>
    <x v="284"/>
  </r>
  <r>
    <x v="284"/>
  </r>
  <r>
    <x v="284"/>
  </r>
  <r>
    <x v="285"/>
  </r>
  <r>
    <x v="285"/>
  </r>
  <r>
    <x v="285"/>
  </r>
  <r>
    <x v="285"/>
  </r>
  <r>
    <x v="286"/>
  </r>
  <r>
    <x v="286"/>
  </r>
  <r>
    <x v="286"/>
  </r>
  <r>
    <x v="286"/>
  </r>
  <r>
    <x v="287"/>
  </r>
  <r>
    <x v="287"/>
  </r>
  <r>
    <x v="287"/>
  </r>
  <r>
    <x v="287"/>
  </r>
  <r>
    <x v="288"/>
  </r>
  <r>
    <x v="288"/>
  </r>
  <r>
    <x v="288"/>
  </r>
  <r>
    <x v="288"/>
  </r>
  <r>
    <x v="289"/>
  </r>
  <r>
    <x v="289"/>
  </r>
  <r>
    <x v="289"/>
  </r>
  <r>
    <x v="289"/>
  </r>
  <r>
    <x v="290"/>
  </r>
  <r>
    <x v="290"/>
  </r>
  <r>
    <x v="290"/>
  </r>
  <r>
    <x v="290"/>
  </r>
  <r>
    <x v="291"/>
  </r>
  <r>
    <x v="291"/>
  </r>
  <r>
    <x v="291"/>
  </r>
  <r>
    <x v="291"/>
  </r>
  <r>
    <x v="292"/>
  </r>
  <r>
    <x v="292"/>
  </r>
  <r>
    <x v="292"/>
  </r>
  <r>
    <x v="292"/>
  </r>
  <r>
    <x v="293"/>
  </r>
  <r>
    <x v="293"/>
  </r>
  <r>
    <x v="293"/>
  </r>
  <r>
    <x v="294"/>
  </r>
  <r>
    <x v="294"/>
  </r>
  <r>
    <x v="294"/>
  </r>
  <r>
    <x v="294"/>
  </r>
  <r>
    <x v="295"/>
  </r>
  <r>
    <x v="295"/>
  </r>
  <r>
    <x v="295"/>
  </r>
  <r>
    <x v="295"/>
  </r>
  <r>
    <x v="296"/>
  </r>
  <r>
    <x v="296"/>
  </r>
  <r>
    <x v="296"/>
  </r>
  <r>
    <x v="296"/>
  </r>
  <r>
    <x v="297"/>
  </r>
  <r>
    <x v="297"/>
  </r>
  <r>
    <x v="297"/>
  </r>
  <r>
    <x v="297"/>
  </r>
  <r>
    <x v="298"/>
  </r>
  <r>
    <x v="298"/>
  </r>
  <r>
    <x v="298"/>
  </r>
  <r>
    <x v="298"/>
  </r>
  <r>
    <x v="299"/>
  </r>
  <r>
    <x v="299"/>
  </r>
  <r>
    <x v="299"/>
  </r>
  <r>
    <x v="299"/>
  </r>
  <r>
    <x v="300"/>
  </r>
  <r>
    <x v="300"/>
  </r>
  <r>
    <x v="300"/>
  </r>
  <r>
    <x v="300"/>
  </r>
  <r>
    <x v="301"/>
  </r>
  <r>
    <x v="301"/>
  </r>
  <r>
    <x v="301"/>
  </r>
  <r>
    <x v="301"/>
  </r>
  <r>
    <x v="302"/>
  </r>
  <r>
    <x v="302"/>
  </r>
  <r>
    <x v="302"/>
  </r>
  <r>
    <x v="302"/>
  </r>
  <r>
    <x v="303"/>
  </r>
  <r>
    <x v="303"/>
  </r>
  <r>
    <x v="303"/>
  </r>
  <r>
    <x v="303"/>
  </r>
  <r>
    <x v="304"/>
  </r>
  <r>
    <x v="304"/>
  </r>
  <r>
    <x v="304"/>
  </r>
  <r>
    <x v="304"/>
  </r>
  <r>
    <x v="305"/>
  </r>
  <r>
    <x v="305"/>
  </r>
  <r>
    <x v="305"/>
  </r>
  <r>
    <x v="305"/>
  </r>
  <r>
    <x v="306"/>
  </r>
  <r>
    <x v="306"/>
  </r>
  <r>
    <x v="306"/>
  </r>
  <r>
    <x v="306"/>
  </r>
  <r>
    <x v="307"/>
  </r>
  <r>
    <x v="307"/>
  </r>
  <r>
    <x v="307"/>
  </r>
  <r>
    <x v="307"/>
  </r>
  <r>
    <x v="308"/>
  </r>
  <r>
    <x v="308"/>
  </r>
  <r>
    <x v="308"/>
  </r>
  <r>
    <x v="308"/>
  </r>
  <r>
    <x v="309"/>
  </r>
  <r>
    <x v="309"/>
  </r>
  <r>
    <x v="309"/>
  </r>
  <r>
    <x v="309"/>
  </r>
  <r>
    <x v="310"/>
  </r>
  <r>
    <x v="310"/>
  </r>
  <r>
    <x v="310"/>
  </r>
  <r>
    <x v="310"/>
  </r>
  <r>
    <x v="311"/>
  </r>
  <r>
    <x v="311"/>
  </r>
  <r>
    <x v="311"/>
  </r>
  <r>
    <x v="311"/>
  </r>
  <r>
    <x v="312"/>
  </r>
  <r>
    <x v="312"/>
  </r>
  <r>
    <x v="312"/>
  </r>
  <r>
    <x v="312"/>
  </r>
  <r>
    <x v="313"/>
  </r>
  <r>
    <x v="313"/>
  </r>
  <r>
    <x v="313"/>
  </r>
  <r>
    <x v="313"/>
  </r>
  <r>
    <x v="314"/>
  </r>
  <r>
    <x v="314"/>
  </r>
  <r>
    <x v="314"/>
  </r>
  <r>
    <x v="314"/>
  </r>
  <r>
    <x v="315"/>
  </r>
  <r>
    <x v="315"/>
  </r>
  <r>
    <x v="315"/>
  </r>
  <r>
    <x v="315"/>
  </r>
  <r>
    <x v="316"/>
  </r>
  <r>
    <x v="316"/>
  </r>
  <r>
    <x v="316"/>
  </r>
  <r>
    <x v="316"/>
  </r>
  <r>
    <x v="317"/>
  </r>
  <r>
    <x v="317"/>
  </r>
  <r>
    <x v="317"/>
  </r>
  <r>
    <x v="317"/>
  </r>
  <r>
    <x v="318"/>
  </r>
  <r>
    <x v="318"/>
  </r>
  <r>
    <x v="318"/>
  </r>
  <r>
    <x v="318"/>
  </r>
  <r>
    <x v="319"/>
  </r>
  <r>
    <x v="319"/>
  </r>
  <r>
    <x v="319"/>
  </r>
  <r>
    <x v="319"/>
  </r>
  <r>
    <x v="320"/>
  </r>
  <r>
    <x v="320"/>
  </r>
  <r>
    <x v="320"/>
  </r>
  <r>
    <x v="320"/>
  </r>
  <r>
    <x v="321"/>
  </r>
  <r>
    <x v="321"/>
  </r>
  <r>
    <x v="321"/>
  </r>
  <r>
    <x v="321"/>
  </r>
  <r>
    <x v="322"/>
  </r>
  <r>
    <x v="322"/>
  </r>
  <r>
    <x v="322"/>
  </r>
  <r>
    <x v="322"/>
  </r>
  <r>
    <x v="323"/>
  </r>
  <r>
    <x v="323"/>
  </r>
  <r>
    <x v="323"/>
  </r>
  <r>
    <x v="324"/>
  </r>
  <r>
    <x v="324"/>
  </r>
  <r>
    <x v="324"/>
  </r>
  <r>
    <x v="324"/>
  </r>
  <r>
    <x v="325"/>
  </r>
  <r>
    <x v="325"/>
  </r>
  <r>
    <x v="325"/>
  </r>
  <r>
    <x v="325"/>
  </r>
  <r>
    <x v="326"/>
  </r>
  <r>
    <x v="326"/>
  </r>
  <r>
    <x v="326"/>
  </r>
  <r>
    <x v="326"/>
  </r>
  <r>
    <x v="327"/>
  </r>
  <r>
    <x v="327"/>
  </r>
  <r>
    <x v="327"/>
  </r>
  <r>
    <x v="327"/>
  </r>
  <r>
    <x v="328"/>
  </r>
  <r>
    <x v="328"/>
  </r>
  <r>
    <x v="328"/>
  </r>
  <r>
    <x v="328"/>
  </r>
  <r>
    <x v="329"/>
  </r>
  <r>
    <x v="329"/>
  </r>
  <r>
    <x v="329"/>
  </r>
  <r>
    <x v="329"/>
  </r>
  <r>
    <x v="330"/>
  </r>
  <r>
    <x v="330"/>
  </r>
  <r>
    <x v="330"/>
  </r>
  <r>
    <x v="330"/>
  </r>
  <r>
    <x v="331"/>
  </r>
  <r>
    <x v="331"/>
  </r>
  <r>
    <x v="331"/>
  </r>
  <r>
    <x v="331"/>
  </r>
  <r>
    <x v="332"/>
  </r>
  <r>
    <x v="332"/>
  </r>
  <r>
    <x v="332"/>
  </r>
  <r>
    <x v="332"/>
  </r>
  <r>
    <x v="333"/>
  </r>
  <r>
    <x v="333"/>
  </r>
  <r>
    <x v="333"/>
  </r>
  <r>
    <x v="333"/>
  </r>
  <r>
    <x v="334"/>
  </r>
  <r>
    <x v="334"/>
  </r>
  <r>
    <x v="334"/>
  </r>
  <r>
    <x v="334"/>
  </r>
  <r>
    <x v="335"/>
  </r>
  <r>
    <x v="335"/>
  </r>
  <r>
    <x v="335"/>
  </r>
  <r>
    <x v="335"/>
  </r>
  <r>
    <x v="336"/>
  </r>
  <r>
    <x v="336"/>
  </r>
  <r>
    <x v="336"/>
  </r>
  <r>
    <x v="336"/>
  </r>
  <r>
    <x v="337"/>
  </r>
  <r>
    <x v="337"/>
  </r>
  <r>
    <x v="337"/>
  </r>
  <r>
    <x v="337"/>
  </r>
  <r>
    <x v="338"/>
  </r>
  <r>
    <x v="338"/>
  </r>
  <r>
    <x v="338"/>
  </r>
  <r>
    <x v="338"/>
  </r>
  <r>
    <x v="339"/>
  </r>
  <r>
    <x v="339"/>
  </r>
  <r>
    <x v="339"/>
  </r>
  <r>
    <x v="339"/>
  </r>
  <r>
    <x v="340"/>
  </r>
  <r>
    <x v="340"/>
  </r>
  <r>
    <x v="340"/>
  </r>
  <r>
    <x v="340"/>
  </r>
  <r>
    <x v="341"/>
  </r>
  <r>
    <x v="341"/>
  </r>
  <r>
    <x v="341"/>
  </r>
  <r>
    <x v="341"/>
  </r>
  <r>
    <x v="342"/>
  </r>
  <r>
    <x v="342"/>
  </r>
  <r>
    <x v="342"/>
  </r>
  <r>
    <x v="342"/>
  </r>
  <r>
    <x v="343"/>
  </r>
  <r>
    <x v="343"/>
  </r>
  <r>
    <x v="343"/>
  </r>
  <r>
    <x v="343"/>
  </r>
  <r>
    <x v="344"/>
  </r>
  <r>
    <x v="344"/>
  </r>
  <r>
    <x v="344"/>
  </r>
  <r>
    <x v="344"/>
  </r>
  <r>
    <x v="345"/>
  </r>
  <r>
    <x v="345"/>
  </r>
  <r>
    <x v="345"/>
  </r>
  <r>
    <x v="345"/>
  </r>
  <r>
    <x v="346"/>
  </r>
  <r>
    <x v="346"/>
  </r>
  <r>
    <x v="346"/>
  </r>
  <r>
    <x v="346"/>
  </r>
  <r>
    <x v="347"/>
  </r>
  <r>
    <x v="347"/>
  </r>
  <r>
    <x v="347"/>
  </r>
  <r>
    <x v="347"/>
  </r>
  <r>
    <x v="348"/>
  </r>
  <r>
    <x v="348"/>
  </r>
  <r>
    <x v="348"/>
  </r>
  <r>
    <x v="348"/>
  </r>
  <r>
    <x v="349"/>
  </r>
  <r>
    <x v="349"/>
  </r>
  <r>
    <x v="349"/>
  </r>
  <r>
    <x v="349"/>
  </r>
  <r>
    <x v="350"/>
  </r>
  <r>
    <x v="350"/>
  </r>
  <r>
    <x v="350"/>
  </r>
  <r>
    <x v="350"/>
  </r>
  <r>
    <x v="351"/>
  </r>
  <r>
    <x v="351"/>
  </r>
  <r>
    <x v="351"/>
  </r>
  <r>
    <x v="351"/>
  </r>
  <r>
    <x v="352"/>
  </r>
  <r>
    <x v="352"/>
  </r>
  <r>
    <x v="352"/>
  </r>
  <r>
    <x v="352"/>
  </r>
  <r>
    <x v="353"/>
  </r>
  <r>
    <x v="353"/>
  </r>
  <r>
    <x v="353"/>
  </r>
  <r>
    <x v="353"/>
  </r>
  <r>
    <x v="354"/>
  </r>
  <r>
    <x v="354"/>
  </r>
  <r>
    <x v="354"/>
  </r>
  <r>
    <x v="354"/>
  </r>
  <r>
    <x v="355"/>
  </r>
  <r>
    <x v="355"/>
  </r>
  <r>
    <x v="355"/>
  </r>
  <r>
    <x v="355"/>
  </r>
  <r>
    <x v="356"/>
  </r>
  <r>
    <x v="356"/>
  </r>
  <r>
    <x v="356"/>
  </r>
  <r>
    <x v="356"/>
  </r>
  <r>
    <x v="357"/>
  </r>
  <r>
    <x v="357"/>
  </r>
  <r>
    <x v="357"/>
  </r>
  <r>
    <x v="357"/>
  </r>
  <r>
    <x v="358"/>
  </r>
  <r>
    <x v="358"/>
  </r>
  <r>
    <x v="358"/>
  </r>
  <r>
    <x v="358"/>
  </r>
  <r>
    <x v="359"/>
  </r>
  <r>
    <x v="359"/>
  </r>
  <r>
    <x v="359"/>
  </r>
  <r>
    <x v="359"/>
  </r>
  <r>
    <x v="360"/>
  </r>
  <r>
    <x v="360"/>
  </r>
  <r>
    <x v="360"/>
  </r>
  <r>
    <x v="360"/>
  </r>
  <r>
    <x v="361"/>
  </r>
  <r>
    <x v="361"/>
  </r>
  <r>
    <x v="361"/>
  </r>
  <r>
    <x v="361"/>
  </r>
  <r>
    <x v="362"/>
  </r>
  <r>
    <x v="362"/>
  </r>
  <r>
    <x v="362"/>
  </r>
  <r>
    <x v="362"/>
  </r>
  <r>
    <x v="363"/>
  </r>
  <r>
    <x v="363"/>
  </r>
  <r>
    <x v="363"/>
  </r>
  <r>
    <x v="363"/>
  </r>
  <r>
    <x v="364"/>
  </r>
  <r>
    <x v="364"/>
  </r>
  <r>
    <x v="364"/>
  </r>
  <r>
    <x v="364"/>
  </r>
  <r>
    <x v="365"/>
  </r>
  <r>
    <x v="365"/>
  </r>
  <r>
    <x v="365"/>
  </r>
  <r>
    <x v="365"/>
  </r>
  <r>
    <x v="366"/>
  </r>
  <r>
    <x v="366"/>
  </r>
  <r>
    <x v="366"/>
  </r>
  <r>
    <x v="366"/>
  </r>
  <r>
    <x v="367"/>
  </r>
  <r>
    <x v="367"/>
  </r>
  <r>
    <x v="367"/>
  </r>
  <r>
    <x v="367"/>
  </r>
  <r>
    <x v="368"/>
  </r>
  <r>
    <x v="368"/>
  </r>
  <r>
    <x v="368"/>
  </r>
  <r>
    <x v="368"/>
  </r>
  <r>
    <x v="369"/>
  </r>
  <r>
    <x v="369"/>
  </r>
  <r>
    <x v="369"/>
  </r>
  <r>
    <x v="369"/>
  </r>
  <r>
    <x v="370"/>
  </r>
  <r>
    <x v="370"/>
  </r>
  <r>
    <x v="370"/>
  </r>
  <r>
    <x v="370"/>
  </r>
  <r>
    <x v="371"/>
  </r>
  <r>
    <x v="371"/>
  </r>
  <r>
    <x v="371"/>
  </r>
  <r>
    <x v="371"/>
  </r>
  <r>
    <x v="372"/>
  </r>
  <r>
    <x v="372"/>
  </r>
  <r>
    <x v="372"/>
  </r>
  <r>
    <x v="372"/>
  </r>
  <r>
    <x v="373"/>
  </r>
  <r>
    <x v="373"/>
  </r>
  <r>
    <x v="373"/>
  </r>
  <r>
    <x v="373"/>
  </r>
  <r>
    <x v="374"/>
  </r>
  <r>
    <x v="374"/>
  </r>
  <r>
    <x v="374"/>
  </r>
  <r>
    <x v="374"/>
  </r>
  <r>
    <x v="375"/>
  </r>
  <r>
    <x v="375"/>
  </r>
  <r>
    <x v="375"/>
  </r>
  <r>
    <x v="375"/>
  </r>
  <r>
    <x v="376"/>
  </r>
  <r>
    <x v="376"/>
  </r>
  <r>
    <x v="376"/>
  </r>
  <r>
    <x v="376"/>
  </r>
  <r>
    <x v="377"/>
  </r>
  <r>
    <x v="377"/>
  </r>
  <r>
    <x v="377"/>
  </r>
  <r>
    <x v="377"/>
  </r>
  <r>
    <x v="378"/>
  </r>
  <r>
    <x v="378"/>
  </r>
  <r>
    <x v="378"/>
  </r>
  <r>
    <x v="378"/>
  </r>
  <r>
    <x v="379"/>
  </r>
  <r>
    <x v="379"/>
  </r>
  <r>
    <x v="379"/>
  </r>
  <r>
    <x v="379"/>
  </r>
  <r>
    <x v="380"/>
  </r>
  <r>
    <x v="380"/>
  </r>
  <r>
    <x v="380"/>
  </r>
  <r>
    <x v="380"/>
  </r>
  <r>
    <x v="381"/>
  </r>
  <r>
    <x v="381"/>
  </r>
  <r>
    <x v="381"/>
  </r>
  <r>
    <x v="381"/>
  </r>
  <r>
    <x v="382"/>
  </r>
  <r>
    <x v="382"/>
  </r>
  <r>
    <x v="382"/>
  </r>
  <r>
    <x v="382"/>
  </r>
  <r>
    <x v="383"/>
  </r>
  <r>
    <x v="383"/>
  </r>
  <r>
    <x v="383"/>
  </r>
  <r>
    <x v="383"/>
  </r>
  <r>
    <x v="384"/>
  </r>
  <r>
    <x v="384"/>
  </r>
  <r>
    <x v="384"/>
  </r>
  <r>
    <x v="384"/>
  </r>
  <r>
    <x v="385"/>
  </r>
  <r>
    <x v="385"/>
  </r>
  <r>
    <x v="385"/>
  </r>
  <r>
    <x v="385"/>
  </r>
  <r>
    <x v="386"/>
  </r>
  <r>
    <x v="386"/>
  </r>
  <r>
    <x v="386"/>
  </r>
  <r>
    <x v="386"/>
  </r>
  <r>
    <x v="387"/>
  </r>
  <r>
    <x v="387"/>
  </r>
  <r>
    <x v="387"/>
  </r>
  <r>
    <x v="387"/>
  </r>
  <r>
    <x v="388"/>
  </r>
  <r>
    <x v="388"/>
  </r>
  <r>
    <x v="388"/>
  </r>
  <r>
    <x v="388"/>
  </r>
  <r>
    <x v="389"/>
  </r>
  <r>
    <x v="389"/>
  </r>
  <r>
    <x v="389"/>
  </r>
  <r>
    <x v="389"/>
  </r>
  <r>
    <x v="390"/>
  </r>
  <r>
    <x v="390"/>
  </r>
  <r>
    <x v="390"/>
  </r>
  <r>
    <x v="390"/>
  </r>
  <r>
    <x v="391"/>
  </r>
  <r>
    <x v="391"/>
  </r>
  <r>
    <x v="391"/>
  </r>
  <r>
    <x v="391"/>
  </r>
  <r>
    <x v="392"/>
  </r>
  <r>
    <x v="392"/>
  </r>
  <r>
    <x v="392"/>
  </r>
  <r>
    <x v="392"/>
  </r>
  <r>
    <x v="393"/>
  </r>
  <r>
    <x v="393"/>
  </r>
  <r>
    <x v="393"/>
  </r>
  <r>
    <x v="393"/>
  </r>
  <r>
    <x v="394"/>
  </r>
  <r>
    <x v="394"/>
  </r>
  <r>
    <x v="394"/>
  </r>
  <r>
    <x v="394"/>
  </r>
  <r>
    <x v="395"/>
  </r>
  <r>
    <x v="395"/>
  </r>
  <r>
    <x v="395"/>
  </r>
  <r>
    <x v="395"/>
  </r>
  <r>
    <x v="396"/>
  </r>
  <r>
    <x v="396"/>
  </r>
  <r>
    <x v="396"/>
  </r>
  <r>
    <x v="396"/>
  </r>
  <r>
    <x v="397"/>
  </r>
  <r>
    <x v="397"/>
  </r>
  <r>
    <x v="397"/>
  </r>
  <r>
    <x v="397"/>
  </r>
  <r>
    <x v="398"/>
  </r>
  <r>
    <x v="398"/>
  </r>
  <r>
    <x v="398"/>
  </r>
  <r>
    <x v="398"/>
  </r>
  <r>
    <x v="399"/>
  </r>
  <r>
    <x v="399"/>
  </r>
  <r>
    <x v="399"/>
  </r>
  <r>
    <x v="399"/>
  </r>
  <r>
    <x v="400"/>
  </r>
  <r>
    <x v="400"/>
  </r>
  <r>
    <x v="400"/>
  </r>
  <r>
    <x v="400"/>
  </r>
  <r>
    <x v="401"/>
  </r>
  <r>
    <x v="401"/>
  </r>
  <r>
    <x v="401"/>
  </r>
  <r>
    <x v="401"/>
  </r>
  <r>
    <x v="402"/>
  </r>
  <r>
    <x v="402"/>
  </r>
  <r>
    <x v="402"/>
  </r>
  <r>
    <x v="402"/>
  </r>
  <r>
    <x v="403"/>
  </r>
  <r>
    <x v="403"/>
  </r>
  <r>
    <x v="403"/>
  </r>
  <r>
    <x v="403"/>
  </r>
  <r>
    <x v="404"/>
  </r>
  <r>
    <x v="404"/>
  </r>
  <r>
    <x v="404"/>
  </r>
  <r>
    <x v="404"/>
  </r>
  <r>
    <x v="405"/>
  </r>
  <r>
    <x v="405"/>
  </r>
  <r>
    <x v="405"/>
  </r>
  <r>
    <x v="405"/>
  </r>
  <r>
    <x v="406"/>
  </r>
  <r>
    <x v="406"/>
  </r>
  <r>
    <x v="406"/>
  </r>
  <r>
    <x v="406"/>
  </r>
  <r>
    <x v="407"/>
  </r>
  <r>
    <x v="407"/>
  </r>
  <r>
    <x v="407"/>
  </r>
  <r>
    <x v="407"/>
  </r>
  <r>
    <x v="408"/>
  </r>
  <r>
    <x v="408"/>
  </r>
  <r>
    <x v="408"/>
  </r>
  <r>
    <x v="408"/>
  </r>
  <r>
    <x v="409"/>
  </r>
  <r>
    <x v="409"/>
  </r>
  <r>
    <x v="409"/>
  </r>
  <r>
    <x v="409"/>
  </r>
  <r>
    <x v="410"/>
  </r>
  <r>
    <x v="410"/>
  </r>
  <r>
    <x v="410"/>
  </r>
  <r>
    <x v="410"/>
  </r>
  <r>
    <x v="411"/>
  </r>
  <r>
    <x v="411"/>
  </r>
  <r>
    <x v="411"/>
  </r>
  <r>
    <x v="411"/>
  </r>
  <r>
    <x v="412"/>
  </r>
  <r>
    <x v="412"/>
  </r>
  <r>
    <x v="412"/>
  </r>
  <r>
    <x v="413"/>
  </r>
  <r>
    <x v="413"/>
  </r>
  <r>
    <x v="413"/>
  </r>
  <r>
    <x v="413"/>
  </r>
  <r>
    <x v="414"/>
  </r>
  <r>
    <x v="414"/>
  </r>
  <r>
    <x v="414"/>
  </r>
  <r>
    <x v="414"/>
  </r>
  <r>
    <x v="415"/>
  </r>
  <r>
    <x v="415"/>
  </r>
  <r>
    <x v="415"/>
  </r>
  <r>
    <x v="415"/>
  </r>
  <r>
    <x v="416"/>
  </r>
  <r>
    <x v="416"/>
  </r>
  <r>
    <x v="416"/>
  </r>
  <r>
    <x v="416"/>
  </r>
  <r>
    <x v="417"/>
  </r>
  <r>
    <x v="417"/>
  </r>
  <r>
    <x v="417"/>
  </r>
  <r>
    <x v="417"/>
  </r>
  <r>
    <x v="418"/>
  </r>
  <r>
    <x v="418"/>
  </r>
  <r>
    <x v="418"/>
  </r>
  <r>
    <x v="418"/>
  </r>
  <r>
    <x v="419"/>
  </r>
  <r>
    <x v="419"/>
  </r>
  <r>
    <x v="419"/>
  </r>
  <r>
    <x v="419"/>
  </r>
  <r>
    <x v="420"/>
  </r>
  <r>
    <x v="420"/>
  </r>
  <r>
    <x v="420"/>
  </r>
  <r>
    <x v="420"/>
  </r>
  <r>
    <x v="421"/>
  </r>
  <r>
    <x v="421"/>
  </r>
  <r>
    <x v="421"/>
  </r>
  <r>
    <x v="421"/>
  </r>
  <r>
    <x v="422"/>
  </r>
  <r>
    <x v="422"/>
  </r>
  <r>
    <x v="422"/>
  </r>
  <r>
    <x v="422"/>
  </r>
  <r>
    <x v="423"/>
  </r>
  <r>
    <x v="423"/>
  </r>
  <r>
    <x v="423"/>
  </r>
  <r>
    <x v="423"/>
  </r>
  <r>
    <x v="424"/>
  </r>
  <r>
    <x v="424"/>
  </r>
  <r>
    <x v="424"/>
  </r>
  <r>
    <x v="424"/>
  </r>
  <r>
    <x v="425"/>
  </r>
  <r>
    <x v="425"/>
  </r>
  <r>
    <x v="425"/>
  </r>
  <r>
    <x v="425"/>
  </r>
  <r>
    <x v="426"/>
  </r>
  <r>
    <x v="426"/>
  </r>
  <r>
    <x v="426"/>
  </r>
  <r>
    <x v="426"/>
  </r>
  <r>
    <x v="427"/>
  </r>
  <r>
    <x v="427"/>
  </r>
  <r>
    <x v="427"/>
  </r>
  <r>
    <x v="427"/>
  </r>
  <r>
    <x v="428"/>
  </r>
  <r>
    <x v="428"/>
  </r>
  <r>
    <x v="428"/>
  </r>
  <r>
    <x v="428"/>
  </r>
  <r>
    <x v="429"/>
  </r>
  <r>
    <x v="429"/>
  </r>
  <r>
    <x v="429"/>
  </r>
  <r>
    <x v="429"/>
  </r>
  <r>
    <x v="4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435" firstHeaderRow="1" firstDataRow="1" firstDataCol="1"/>
  <pivotFields count="1">
    <pivotField axis="axisRow" showAll="0">
      <items count="432">
        <item x="266"/>
        <item x="249"/>
        <item x="28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</pivotFields>
  <rowFields count="1">
    <field x="0"/>
  </rowFields>
  <rowItems count="4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 t="grand">
      <x/>
    </i>
  </rowItems>
  <colItems count="1">
    <i/>
  </colItem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713"/>
  <sheetViews>
    <sheetView showGridLines="0" topLeftCell="B1" zoomScale="69" workbookViewId="0">
      <selection activeCell="L23" sqref="L23"/>
    </sheetView>
  </sheetViews>
  <sheetFormatPr defaultColWidth="8.21875" defaultRowHeight="19.95" customHeight="1"/>
  <cols>
    <col min="1" max="1" width="4.77734375" style="1" customWidth="1"/>
    <col min="2" max="2" width="12.77734375" style="1" customWidth="1"/>
    <col min="3" max="3" width="6.21875" style="1" customWidth="1"/>
    <col min="4" max="4" width="12.77734375" style="1" customWidth="1"/>
    <col min="5" max="5" width="19.44140625" style="1" customWidth="1"/>
    <col min="6" max="6" width="20.6640625" style="1" customWidth="1"/>
    <col min="7" max="7" width="23.21875" style="1" customWidth="1"/>
    <col min="8" max="8" width="24.21875" style="1" customWidth="1"/>
    <col min="9" max="9" width="20.21875" style="1" customWidth="1"/>
    <col min="10" max="10" width="19.21875" style="1" customWidth="1"/>
    <col min="11" max="11" width="31.21875" style="1" customWidth="1"/>
    <col min="12" max="12" width="25.77734375" style="1" customWidth="1"/>
    <col min="13" max="13" width="24.77734375" style="1" customWidth="1"/>
    <col min="14" max="16" width="20.77734375" style="1" customWidth="1"/>
    <col min="17" max="256" width="8.21875" style="1" customWidth="1"/>
  </cols>
  <sheetData>
    <row r="1" spans="1:16" ht="27.75" customHeight="1">
      <c r="A1" s="58" t="s">
        <v>762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41"/>
      <c r="M1" s="41"/>
      <c r="N1" s="41"/>
      <c r="O1" s="41"/>
      <c r="P1" s="41"/>
    </row>
    <row r="2" spans="1:16" ht="20.25" customHeight="1" thickBot="1">
      <c r="A2" s="42"/>
      <c r="B2" s="43" t="s">
        <v>0</v>
      </c>
      <c r="C2" s="43" t="s">
        <v>1</v>
      </c>
      <c r="D2" s="43" t="s">
        <v>2</v>
      </c>
      <c r="E2" s="43" t="s">
        <v>3</v>
      </c>
      <c r="F2" s="43" t="s">
        <v>4</v>
      </c>
      <c r="G2" s="43" t="s">
        <v>5</v>
      </c>
      <c r="H2" s="43" t="s">
        <v>6</v>
      </c>
      <c r="I2" s="43" t="s">
        <v>7</v>
      </c>
      <c r="J2" s="43" t="s">
        <v>8</v>
      </c>
      <c r="K2" s="43" t="s">
        <v>9</v>
      </c>
      <c r="L2" s="44" t="s">
        <v>760</v>
      </c>
      <c r="M2" s="44" t="s">
        <v>761</v>
      </c>
      <c r="N2" s="44" t="s">
        <v>763</v>
      </c>
      <c r="O2" s="44" t="s">
        <v>764</v>
      </c>
      <c r="P2" s="44" t="s">
        <v>765</v>
      </c>
    </row>
    <row r="3" spans="1:16" ht="20.25" customHeight="1">
      <c r="A3" s="45">
        <v>0</v>
      </c>
      <c r="B3" s="46" t="s">
        <v>10</v>
      </c>
      <c r="C3" s="47" t="s">
        <v>11</v>
      </c>
      <c r="D3" s="47" t="s">
        <v>12</v>
      </c>
      <c r="E3" s="48">
        <v>24855000000</v>
      </c>
      <c r="F3" s="48">
        <v>10499000000</v>
      </c>
      <c r="G3" s="48">
        <v>12977000000</v>
      </c>
      <c r="H3" s="48" t="s">
        <v>757</v>
      </c>
      <c r="I3" s="48">
        <v>845000000</v>
      </c>
      <c r="J3" s="47" t="s">
        <v>14</v>
      </c>
      <c r="K3" s="47" t="s">
        <v>15</v>
      </c>
      <c r="L3" s="41">
        <f t="shared" ref="L3:L66" si="0">Total_Revenue-COGS</f>
        <v>14356000000</v>
      </c>
      <c r="M3" s="41">
        <f t="shared" ref="M3:M66" si="1">SGAA+RandD+OOI</f>
        <v>13822000000</v>
      </c>
      <c r="N3" s="41">
        <f t="shared" ref="N3:N66" si="2">Gross_Profit-Total_Operating_Expenses</f>
        <v>534000000</v>
      </c>
      <c r="O3" s="41">
        <f t="shared" ref="O3:O66" si="3">1-(Total_Operating_Expenses/Total_Revenue)</f>
        <v>0.44389458861396103</v>
      </c>
      <c r="P3" s="41">
        <f t="shared" ref="P3:P66" si="4">Operating_Profit/Total_Revenue</f>
        <v>2.1484610742305371E-2</v>
      </c>
    </row>
    <row r="4" spans="1:16" ht="19.95" customHeight="1">
      <c r="A4" s="49">
        <v>1</v>
      </c>
      <c r="B4" s="50" t="s">
        <v>10</v>
      </c>
      <c r="C4" s="51" t="s">
        <v>16</v>
      </c>
      <c r="D4" s="51" t="s">
        <v>17</v>
      </c>
      <c r="E4" s="52">
        <v>26743000000</v>
      </c>
      <c r="F4" s="52">
        <v>11019000000</v>
      </c>
      <c r="G4" s="52">
        <v>12913000000</v>
      </c>
      <c r="H4" s="52" t="s">
        <v>758</v>
      </c>
      <c r="I4" s="52">
        <v>853000000</v>
      </c>
      <c r="J4" s="51" t="s">
        <v>14</v>
      </c>
      <c r="K4" s="51" t="s">
        <v>15</v>
      </c>
      <c r="L4" s="41">
        <f t="shared" si="0"/>
        <v>15724000000</v>
      </c>
      <c r="M4" s="41">
        <f t="shared" si="1"/>
        <v>13766000000</v>
      </c>
      <c r="N4" s="41">
        <f t="shared" si="2"/>
        <v>1958000000</v>
      </c>
      <c r="O4" s="41">
        <f t="shared" si="3"/>
        <v>0.48524847623677225</v>
      </c>
      <c r="P4" s="41">
        <f t="shared" si="4"/>
        <v>7.3215420857794561E-2</v>
      </c>
    </row>
    <row r="5" spans="1:16" ht="19.95" customHeight="1">
      <c r="A5" s="49">
        <v>2</v>
      </c>
      <c r="B5" s="50" t="s">
        <v>10</v>
      </c>
      <c r="C5" s="51" t="s">
        <v>18</v>
      </c>
      <c r="D5" s="51" t="s">
        <v>19</v>
      </c>
      <c r="E5" s="52">
        <v>42650000000</v>
      </c>
      <c r="F5" s="52">
        <v>15620000000</v>
      </c>
      <c r="G5" s="52">
        <v>20686000000</v>
      </c>
      <c r="H5" s="52" t="s">
        <v>758</v>
      </c>
      <c r="I5" s="52">
        <v>1295000000</v>
      </c>
      <c r="J5" s="51" t="s">
        <v>14</v>
      </c>
      <c r="K5" s="51" t="s">
        <v>15</v>
      </c>
      <c r="L5" s="41">
        <f t="shared" si="0"/>
        <v>27030000000</v>
      </c>
      <c r="M5" s="41">
        <f t="shared" si="1"/>
        <v>21981000000</v>
      </c>
      <c r="N5" s="41">
        <f t="shared" si="2"/>
        <v>5049000000</v>
      </c>
      <c r="O5" s="41">
        <f t="shared" si="3"/>
        <v>0.48461899179366941</v>
      </c>
      <c r="P5" s="41">
        <f t="shared" si="4"/>
        <v>0.11838218053927316</v>
      </c>
    </row>
    <row r="6" spans="1:16" ht="19.95" customHeight="1">
      <c r="A6" s="49">
        <v>3</v>
      </c>
      <c r="B6" s="50" t="s">
        <v>10</v>
      </c>
      <c r="C6" s="51" t="s">
        <v>20</v>
      </c>
      <c r="D6" s="51" t="s">
        <v>21</v>
      </c>
      <c r="E6" s="52">
        <v>40990000000</v>
      </c>
      <c r="F6" s="52">
        <v>11096000000</v>
      </c>
      <c r="G6" s="52">
        <v>21275000000</v>
      </c>
      <c r="H6" s="52" t="s">
        <v>758</v>
      </c>
      <c r="I6" s="52">
        <v>1364000000</v>
      </c>
      <c r="J6" s="51" t="s">
        <v>14</v>
      </c>
      <c r="K6" s="51" t="s">
        <v>15</v>
      </c>
      <c r="L6" s="41">
        <f t="shared" si="0"/>
        <v>29894000000</v>
      </c>
      <c r="M6" s="41">
        <f t="shared" si="1"/>
        <v>22639000000</v>
      </c>
      <c r="N6" s="41">
        <f t="shared" si="2"/>
        <v>7255000000</v>
      </c>
      <c r="O6" s="41">
        <f t="shared" si="3"/>
        <v>0.44769455964869476</v>
      </c>
      <c r="P6" s="41">
        <f t="shared" si="4"/>
        <v>0.17699438887533545</v>
      </c>
    </row>
    <row r="7" spans="1:16" ht="19.95" customHeight="1">
      <c r="A7" s="49">
        <v>4</v>
      </c>
      <c r="B7" s="50" t="s">
        <v>22</v>
      </c>
      <c r="C7" s="51" t="s">
        <v>11</v>
      </c>
      <c r="D7" s="51" t="s">
        <v>23</v>
      </c>
      <c r="E7" s="52">
        <v>6205003000</v>
      </c>
      <c r="F7" s="52">
        <v>3106967000</v>
      </c>
      <c r="G7" s="52">
        <v>2440721000</v>
      </c>
      <c r="H7" s="52" t="s">
        <v>757</v>
      </c>
      <c r="I7" s="52" t="s">
        <v>757</v>
      </c>
      <c r="J7" s="51" t="s">
        <v>24</v>
      </c>
      <c r="K7" s="51" t="s">
        <v>25</v>
      </c>
      <c r="L7" s="41">
        <f t="shared" si="0"/>
        <v>3098036000</v>
      </c>
      <c r="M7" s="41">
        <f t="shared" si="1"/>
        <v>2440721000</v>
      </c>
      <c r="N7" s="41">
        <f t="shared" si="2"/>
        <v>657315000</v>
      </c>
      <c r="O7" s="41">
        <f t="shared" si="3"/>
        <v>0.6066527284515415</v>
      </c>
      <c r="P7" s="41">
        <f t="shared" si="4"/>
        <v>0.10593306723622857</v>
      </c>
    </row>
    <row r="8" spans="1:16" ht="19.95" customHeight="1">
      <c r="A8" s="49">
        <v>5</v>
      </c>
      <c r="B8" s="50" t="s">
        <v>22</v>
      </c>
      <c r="C8" s="51" t="s">
        <v>16</v>
      </c>
      <c r="D8" s="51" t="s">
        <v>26</v>
      </c>
      <c r="E8" s="52">
        <v>6493814000</v>
      </c>
      <c r="F8" s="52">
        <v>3241668000</v>
      </c>
      <c r="G8" s="52">
        <v>2591828000</v>
      </c>
      <c r="H8" s="52" t="s">
        <v>757</v>
      </c>
      <c r="I8" s="52" t="s">
        <v>757</v>
      </c>
      <c r="J8" s="51" t="s">
        <v>24</v>
      </c>
      <c r="K8" s="51" t="s">
        <v>25</v>
      </c>
      <c r="L8" s="41">
        <f t="shared" si="0"/>
        <v>3252146000</v>
      </c>
      <c r="M8" s="41">
        <f t="shared" si="1"/>
        <v>2591828000</v>
      </c>
      <c r="N8" s="41">
        <f t="shared" si="2"/>
        <v>660318000</v>
      </c>
      <c r="O8" s="41">
        <f t="shared" si="3"/>
        <v>0.60087738885037356</v>
      </c>
      <c r="P8" s="41">
        <f t="shared" si="4"/>
        <v>0.10168415664507792</v>
      </c>
    </row>
    <row r="9" spans="1:16" ht="19.95" customHeight="1">
      <c r="A9" s="49">
        <v>6</v>
      </c>
      <c r="B9" s="50" t="s">
        <v>22</v>
      </c>
      <c r="C9" s="51" t="s">
        <v>18</v>
      </c>
      <c r="D9" s="51" t="s">
        <v>27</v>
      </c>
      <c r="E9" s="52">
        <v>9843861000</v>
      </c>
      <c r="F9" s="52">
        <v>5390248000</v>
      </c>
      <c r="G9" s="52">
        <v>3601903000</v>
      </c>
      <c r="H9" s="52" t="s">
        <v>757</v>
      </c>
      <c r="I9" s="52" t="s">
        <v>757</v>
      </c>
      <c r="J9" s="51" t="s">
        <v>24</v>
      </c>
      <c r="K9" s="51" t="s">
        <v>25</v>
      </c>
      <c r="L9" s="41">
        <f t="shared" si="0"/>
        <v>4453613000</v>
      </c>
      <c r="M9" s="41">
        <f t="shared" si="1"/>
        <v>3601903000</v>
      </c>
      <c r="N9" s="41">
        <f t="shared" si="2"/>
        <v>851710000</v>
      </c>
      <c r="O9" s="41">
        <f t="shared" si="3"/>
        <v>0.63409651964813407</v>
      </c>
      <c r="P9" s="41">
        <f t="shared" si="4"/>
        <v>8.6521944996988481E-2</v>
      </c>
    </row>
    <row r="10" spans="1:16" ht="19.95" customHeight="1">
      <c r="A10" s="49">
        <v>7</v>
      </c>
      <c r="B10" s="50" t="s">
        <v>22</v>
      </c>
      <c r="C10" s="51" t="s">
        <v>20</v>
      </c>
      <c r="D10" s="51" t="s">
        <v>28</v>
      </c>
      <c r="E10" s="52">
        <v>9737018000</v>
      </c>
      <c r="F10" s="52">
        <v>5314246000</v>
      </c>
      <c r="G10" s="52">
        <v>3596992000</v>
      </c>
      <c r="H10" s="52" t="s">
        <v>757</v>
      </c>
      <c r="I10" s="52" t="s">
        <v>757</v>
      </c>
      <c r="J10" s="51" t="s">
        <v>24</v>
      </c>
      <c r="K10" s="51" t="s">
        <v>25</v>
      </c>
      <c r="L10" s="41">
        <f t="shared" si="0"/>
        <v>4422772000</v>
      </c>
      <c r="M10" s="41">
        <f t="shared" si="1"/>
        <v>3596992000</v>
      </c>
      <c r="N10" s="41">
        <f t="shared" si="2"/>
        <v>825780000</v>
      </c>
      <c r="O10" s="41">
        <f t="shared" si="3"/>
        <v>0.63058587341627592</v>
      </c>
      <c r="P10" s="41">
        <f t="shared" si="4"/>
        <v>8.4808305787254373E-2</v>
      </c>
    </row>
    <row r="11" spans="1:16" ht="19.95" customHeight="1">
      <c r="A11" s="49">
        <v>8</v>
      </c>
      <c r="B11" s="50" t="s">
        <v>29</v>
      </c>
      <c r="C11" s="51" t="s">
        <v>11</v>
      </c>
      <c r="D11" s="51" t="s">
        <v>30</v>
      </c>
      <c r="E11" s="52">
        <v>170910000000</v>
      </c>
      <c r="F11" s="52">
        <v>106606000000</v>
      </c>
      <c r="G11" s="52">
        <v>10830000000</v>
      </c>
      <c r="H11" s="52">
        <v>4475000000</v>
      </c>
      <c r="I11" s="52" t="s">
        <v>757</v>
      </c>
      <c r="J11" s="51" t="s">
        <v>31</v>
      </c>
      <c r="K11" s="51" t="s">
        <v>32</v>
      </c>
      <c r="L11" s="41">
        <f t="shared" si="0"/>
        <v>64304000000</v>
      </c>
      <c r="M11" s="41">
        <f t="shared" si="1"/>
        <v>15305000000</v>
      </c>
      <c r="N11" s="41">
        <f t="shared" si="2"/>
        <v>48999000000</v>
      </c>
      <c r="O11" s="41">
        <f t="shared" si="3"/>
        <v>0.91044994441518923</v>
      </c>
      <c r="P11" s="41">
        <f t="shared" si="4"/>
        <v>0.28669475162366159</v>
      </c>
    </row>
    <row r="12" spans="1:16" ht="19.95" customHeight="1">
      <c r="A12" s="49">
        <v>9</v>
      </c>
      <c r="B12" s="50" t="s">
        <v>29</v>
      </c>
      <c r="C12" s="51" t="s">
        <v>16</v>
      </c>
      <c r="D12" s="51" t="s">
        <v>33</v>
      </c>
      <c r="E12" s="52">
        <v>182795000000</v>
      </c>
      <c r="F12" s="52">
        <v>112258000000</v>
      </c>
      <c r="G12" s="52">
        <v>11993000000</v>
      </c>
      <c r="H12" s="52">
        <v>6041000000</v>
      </c>
      <c r="I12" s="52" t="s">
        <v>757</v>
      </c>
      <c r="J12" s="51" t="s">
        <v>31</v>
      </c>
      <c r="K12" s="51" t="s">
        <v>32</v>
      </c>
      <c r="L12" s="41">
        <f t="shared" si="0"/>
        <v>70537000000</v>
      </c>
      <c r="M12" s="41">
        <f t="shared" si="1"/>
        <v>18034000000</v>
      </c>
      <c r="N12" s="41">
        <f t="shared" si="2"/>
        <v>52503000000</v>
      </c>
      <c r="O12" s="41">
        <f t="shared" si="3"/>
        <v>0.90134303454689679</v>
      </c>
      <c r="P12" s="41">
        <f t="shared" si="4"/>
        <v>0.28722339232473537</v>
      </c>
    </row>
    <row r="13" spans="1:16" ht="19.95" customHeight="1">
      <c r="A13" s="49">
        <v>10</v>
      </c>
      <c r="B13" s="50" t="s">
        <v>29</v>
      </c>
      <c r="C13" s="51" t="s">
        <v>18</v>
      </c>
      <c r="D13" s="51" t="s">
        <v>34</v>
      </c>
      <c r="E13" s="52">
        <v>233715000000</v>
      </c>
      <c r="F13" s="52">
        <v>140089000000</v>
      </c>
      <c r="G13" s="52">
        <v>14329000000</v>
      </c>
      <c r="H13" s="52">
        <v>8067000000</v>
      </c>
      <c r="I13" s="52" t="s">
        <v>757</v>
      </c>
      <c r="J13" s="51" t="s">
        <v>31</v>
      </c>
      <c r="K13" s="51" t="s">
        <v>32</v>
      </c>
      <c r="L13" s="41">
        <f t="shared" si="0"/>
        <v>93626000000</v>
      </c>
      <c r="M13" s="41">
        <f t="shared" si="1"/>
        <v>22396000000</v>
      </c>
      <c r="N13" s="41">
        <f t="shared" si="2"/>
        <v>71230000000</v>
      </c>
      <c r="O13" s="41">
        <f t="shared" si="3"/>
        <v>0.90417388699912282</v>
      </c>
      <c r="P13" s="41">
        <f t="shared" si="4"/>
        <v>0.30477290717326661</v>
      </c>
    </row>
    <row r="14" spans="1:16" ht="19.95" customHeight="1">
      <c r="A14" s="49">
        <v>11</v>
      </c>
      <c r="B14" s="50" t="s">
        <v>29</v>
      </c>
      <c r="C14" s="51" t="s">
        <v>20</v>
      </c>
      <c r="D14" s="51" t="s">
        <v>35</v>
      </c>
      <c r="E14" s="52">
        <v>215639000000</v>
      </c>
      <c r="F14" s="52">
        <v>131376000000</v>
      </c>
      <c r="G14" s="52">
        <v>14194000000</v>
      </c>
      <c r="H14" s="52">
        <v>10045000000</v>
      </c>
      <c r="I14" s="52" t="s">
        <v>757</v>
      </c>
      <c r="J14" s="51" t="s">
        <v>31</v>
      </c>
      <c r="K14" s="51" t="s">
        <v>32</v>
      </c>
      <c r="L14" s="41">
        <f t="shared" si="0"/>
        <v>84263000000</v>
      </c>
      <c r="M14" s="41">
        <f t="shared" si="1"/>
        <v>24239000000</v>
      </c>
      <c r="N14" s="41">
        <f t="shared" si="2"/>
        <v>60024000000</v>
      </c>
      <c r="O14" s="41">
        <f t="shared" si="3"/>
        <v>0.88759454458609066</v>
      </c>
      <c r="P14" s="41">
        <f t="shared" si="4"/>
        <v>0.27835410106706115</v>
      </c>
    </row>
    <row r="15" spans="1:16" ht="19.95" customHeight="1">
      <c r="A15" s="49">
        <v>12</v>
      </c>
      <c r="B15" s="50" t="s">
        <v>36</v>
      </c>
      <c r="C15" s="51" t="s">
        <v>11</v>
      </c>
      <c r="D15" s="51" t="s">
        <v>12</v>
      </c>
      <c r="E15" s="52">
        <v>18380000000</v>
      </c>
      <c r="F15" s="52">
        <v>4508000000</v>
      </c>
      <c r="G15" s="52">
        <v>4989000000</v>
      </c>
      <c r="H15" s="52">
        <v>2778000000</v>
      </c>
      <c r="I15" s="52" t="s">
        <v>757</v>
      </c>
      <c r="J15" s="51" t="s">
        <v>37</v>
      </c>
      <c r="K15" s="51" t="s">
        <v>38</v>
      </c>
      <c r="L15" s="41">
        <f t="shared" si="0"/>
        <v>13872000000</v>
      </c>
      <c r="M15" s="41">
        <f t="shared" si="1"/>
        <v>7767000000</v>
      </c>
      <c r="N15" s="41">
        <f t="shared" si="2"/>
        <v>6105000000</v>
      </c>
      <c r="O15" s="41">
        <f t="shared" si="3"/>
        <v>0.57742110990206741</v>
      </c>
      <c r="P15" s="41">
        <f t="shared" si="4"/>
        <v>0.33215451577801958</v>
      </c>
    </row>
    <row r="16" spans="1:16" ht="19.95" customHeight="1">
      <c r="A16" s="49">
        <v>13</v>
      </c>
      <c r="B16" s="50" t="s">
        <v>36</v>
      </c>
      <c r="C16" s="51" t="s">
        <v>16</v>
      </c>
      <c r="D16" s="51" t="s">
        <v>17</v>
      </c>
      <c r="E16" s="52">
        <v>18790000000</v>
      </c>
      <c r="F16" s="52">
        <v>4581000000</v>
      </c>
      <c r="G16" s="52">
        <v>5352000000</v>
      </c>
      <c r="H16" s="52">
        <v>2855000000</v>
      </c>
      <c r="I16" s="52" t="s">
        <v>757</v>
      </c>
      <c r="J16" s="51" t="s">
        <v>37</v>
      </c>
      <c r="K16" s="51" t="s">
        <v>38</v>
      </c>
      <c r="L16" s="41">
        <f t="shared" si="0"/>
        <v>14209000000</v>
      </c>
      <c r="M16" s="41">
        <f t="shared" si="1"/>
        <v>8207000000</v>
      </c>
      <c r="N16" s="41">
        <f t="shared" si="2"/>
        <v>6002000000</v>
      </c>
      <c r="O16" s="41">
        <f t="shared" si="3"/>
        <v>0.56322511974454503</v>
      </c>
      <c r="P16" s="41">
        <f t="shared" si="4"/>
        <v>0.31942522618414049</v>
      </c>
    </row>
    <row r="17" spans="1:16" ht="19.95" customHeight="1">
      <c r="A17" s="49">
        <v>14</v>
      </c>
      <c r="B17" s="50" t="s">
        <v>36</v>
      </c>
      <c r="C17" s="51" t="s">
        <v>18</v>
      </c>
      <c r="D17" s="51" t="s">
        <v>19</v>
      </c>
      <c r="E17" s="52">
        <v>19960000000</v>
      </c>
      <c r="F17" s="52">
        <v>4426000000</v>
      </c>
      <c r="G17" s="52">
        <v>8474000000</v>
      </c>
      <c r="H17" s="52">
        <v>3297000000</v>
      </c>
      <c r="I17" s="52" t="s">
        <v>757</v>
      </c>
      <c r="J17" s="51" t="s">
        <v>37</v>
      </c>
      <c r="K17" s="51" t="s">
        <v>38</v>
      </c>
      <c r="L17" s="41">
        <f t="shared" si="0"/>
        <v>15534000000</v>
      </c>
      <c r="M17" s="41">
        <f t="shared" si="1"/>
        <v>11771000000</v>
      </c>
      <c r="N17" s="41">
        <f t="shared" si="2"/>
        <v>3763000000</v>
      </c>
      <c r="O17" s="41">
        <f t="shared" si="3"/>
        <v>0.41027054108216432</v>
      </c>
      <c r="P17" s="41">
        <f t="shared" si="4"/>
        <v>0.18852705410821644</v>
      </c>
    </row>
    <row r="18" spans="1:16" ht="19.95" customHeight="1">
      <c r="A18" s="49">
        <v>15</v>
      </c>
      <c r="B18" s="50" t="s">
        <v>36</v>
      </c>
      <c r="C18" s="51" t="s">
        <v>20</v>
      </c>
      <c r="D18" s="51" t="s">
        <v>21</v>
      </c>
      <c r="E18" s="52">
        <v>22859000000</v>
      </c>
      <c r="F18" s="52">
        <v>4500000000</v>
      </c>
      <c r="G18" s="52">
        <v>6387000000</v>
      </c>
      <c r="H18" s="52">
        <v>4285000000</v>
      </c>
      <c r="I18" s="52" t="s">
        <v>757</v>
      </c>
      <c r="J18" s="51" t="s">
        <v>37</v>
      </c>
      <c r="K18" s="51" t="s">
        <v>38</v>
      </c>
      <c r="L18" s="41">
        <f t="shared" si="0"/>
        <v>18359000000</v>
      </c>
      <c r="M18" s="41">
        <f t="shared" si="1"/>
        <v>10672000000</v>
      </c>
      <c r="N18" s="41">
        <f t="shared" si="2"/>
        <v>7687000000</v>
      </c>
      <c r="O18" s="41">
        <f t="shared" si="3"/>
        <v>0.53313793254298081</v>
      </c>
      <c r="P18" s="41">
        <f t="shared" si="4"/>
        <v>0.33627892733715387</v>
      </c>
    </row>
    <row r="19" spans="1:16" ht="19.95" customHeight="1">
      <c r="A19" s="49">
        <v>16</v>
      </c>
      <c r="B19" s="50" t="s">
        <v>39</v>
      </c>
      <c r="C19" s="51" t="s">
        <v>11</v>
      </c>
      <c r="D19" s="51" t="s">
        <v>40</v>
      </c>
      <c r="E19" s="52">
        <v>87959167000</v>
      </c>
      <c r="F19" s="52">
        <v>85451348000</v>
      </c>
      <c r="G19" s="52">
        <v>1447234000</v>
      </c>
      <c r="H19" s="52" t="s">
        <v>757</v>
      </c>
      <c r="I19" s="52">
        <v>162186000</v>
      </c>
      <c r="J19" s="51" t="s">
        <v>37</v>
      </c>
      <c r="K19" s="51" t="s">
        <v>41</v>
      </c>
      <c r="L19" s="41">
        <f t="shared" si="0"/>
        <v>2507819000</v>
      </c>
      <c r="M19" s="41">
        <f t="shared" si="1"/>
        <v>1609420000</v>
      </c>
      <c r="N19" s="41">
        <f t="shared" si="2"/>
        <v>898399000</v>
      </c>
      <c r="O19" s="41">
        <f t="shared" si="3"/>
        <v>0.98170264618354108</v>
      </c>
      <c r="P19" s="41">
        <f t="shared" si="4"/>
        <v>1.0213818873477963E-2</v>
      </c>
    </row>
    <row r="20" spans="1:16" ht="19.95" customHeight="1">
      <c r="A20" s="49">
        <v>17</v>
      </c>
      <c r="B20" s="50" t="s">
        <v>39</v>
      </c>
      <c r="C20" s="51" t="s">
        <v>16</v>
      </c>
      <c r="D20" s="51" t="s">
        <v>42</v>
      </c>
      <c r="E20" s="52">
        <v>119569127000</v>
      </c>
      <c r="F20" s="52">
        <v>116586761000</v>
      </c>
      <c r="G20" s="52">
        <v>2011595000</v>
      </c>
      <c r="H20" s="52" t="s">
        <v>757</v>
      </c>
      <c r="I20" s="52">
        <v>188680000</v>
      </c>
      <c r="J20" s="51" t="s">
        <v>37</v>
      </c>
      <c r="K20" s="51" t="s">
        <v>41</v>
      </c>
      <c r="L20" s="41">
        <f t="shared" si="0"/>
        <v>2982366000</v>
      </c>
      <c r="M20" s="41">
        <f t="shared" si="1"/>
        <v>2200275000</v>
      </c>
      <c r="N20" s="41">
        <f t="shared" si="2"/>
        <v>782091000</v>
      </c>
      <c r="O20" s="41">
        <f t="shared" si="3"/>
        <v>0.98159830170876805</v>
      </c>
      <c r="P20" s="41">
        <f t="shared" si="4"/>
        <v>6.5409108490020167E-3</v>
      </c>
    </row>
    <row r="21" spans="1:16" ht="19.95" customHeight="1">
      <c r="A21" s="49">
        <v>18</v>
      </c>
      <c r="B21" s="50" t="s">
        <v>39</v>
      </c>
      <c r="C21" s="51" t="s">
        <v>18</v>
      </c>
      <c r="D21" s="51" t="s">
        <v>43</v>
      </c>
      <c r="E21" s="52">
        <v>135961803000</v>
      </c>
      <c r="F21" s="52">
        <v>132432490000</v>
      </c>
      <c r="G21" s="52">
        <v>2858458000</v>
      </c>
      <c r="H21" s="52" t="s">
        <v>757</v>
      </c>
      <c r="I21" s="52">
        <v>248635000</v>
      </c>
      <c r="J21" s="51" t="s">
        <v>37</v>
      </c>
      <c r="K21" s="51" t="s">
        <v>41</v>
      </c>
      <c r="L21" s="41">
        <f t="shared" si="0"/>
        <v>3529313000</v>
      </c>
      <c r="M21" s="41">
        <f t="shared" si="1"/>
        <v>3107093000</v>
      </c>
      <c r="N21" s="41">
        <f t="shared" si="2"/>
        <v>422220000</v>
      </c>
      <c r="O21" s="41">
        <f t="shared" si="3"/>
        <v>0.97714730952780904</v>
      </c>
      <c r="P21" s="41">
        <f t="shared" si="4"/>
        <v>3.1054310157978709E-3</v>
      </c>
    </row>
    <row r="22" spans="1:16" ht="19.95" customHeight="1">
      <c r="A22" s="49">
        <v>19</v>
      </c>
      <c r="B22" s="50" t="s">
        <v>39</v>
      </c>
      <c r="C22" s="51" t="s">
        <v>20</v>
      </c>
      <c r="D22" s="51" t="s">
        <v>44</v>
      </c>
      <c r="E22" s="52">
        <v>146849686000</v>
      </c>
      <c r="F22" s="52">
        <v>142577080000</v>
      </c>
      <c r="G22" s="52">
        <v>2382097000</v>
      </c>
      <c r="H22" s="52" t="s">
        <v>757</v>
      </c>
      <c r="I22" s="52">
        <v>364735000</v>
      </c>
      <c r="J22" s="51" t="s">
        <v>37</v>
      </c>
      <c r="K22" s="51" t="s">
        <v>41</v>
      </c>
      <c r="L22" s="41">
        <f t="shared" si="0"/>
        <v>4272606000</v>
      </c>
      <c r="M22" s="41">
        <f t="shared" si="1"/>
        <v>2746832000</v>
      </c>
      <c r="N22" s="41">
        <f t="shared" si="2"/>
        <v>1525774000</v>
      </c>
      <c r="O22" s="41">
        <f t="shared" si="3"/>
        <v>0.98129494127757277</v>
      </c>
      <c r="P22" s="41">
        <f t="shared" si="4"/>
        <v>1.0390039240533343E-2</v>
      </c>
    </row>
    <row r="23" spans="1:16" ht="19.95" customHeight="1">
      <c r="A23" s="49">
        <v>20</v>
      </c>
      <c r="B23" s="50" t="s">
        <v>45</v>
      </c>
      <c r="C23" s="51" t="s">
        <v>11</v>
      </c>
      <c r="D23" s="51" t="s">
        <v>12</v>
      </c>
      <c r="E23" s="52">
        <v>19050000000</v>
      </c>
      <c r="F23" s="52">
        <v>8899000000</v>
      </c>
      <c r="G23" s="52">
        <v>6735000000</v>
      </c>
      <c r="H23" s="52">
        <v>1461000000</v>
      </c>
      <c r="I23" s="52">
        <v>595000000</v>
      </c>
      <c r="J23" s="51" t="s">
        <v>37</v>
      </c>
      <c r="K23" s="51" t="s">
        <v>46</v>
      </c>
      <c r="L23" s="41">
        <f t="shared" si="0"/>
        <v>10151000000</v>
      </c>
      <c r="M23" s="41">
        <f t="shared" si="1"/>
        <v>8791000000</v>
      </c>
      <c r="N23" s="41">
        <f t="shared" si="2"/>
        <v>1360000000</v>
      </c>
      <c r="O23" s="41">
        <f t="shared" si="3"/>
        <v>0.5385301837270341</v>
      </c>
      <c r="P23" s="41">
        <f t="shared" si="4"/>
        <v>7.1391076115485563E-2</v>
      </c>
    </row>
    <row r="24" spans="1:16" ht="19.95" customHeight="1">
      <c r="A24" s="49">
        <v>21</v>
      </c>
      <c r="B24" s="50" t="s">
        <v>45</v>
      </c>
      <c r="C24" s="51" t="s">
        <v>16</v>
      </c>
      <c r="D24" s="51" t="s">
        <v>17</v>
      </c>
      <c r="E24" s="52">
        <v>19657000000</v>
      </c>
      <c r="F24" s="52">
        <v>9193000000</v>
      </c>
      <c r="G24" s="52">
        <v>6372000000</v>
      </c>
      <c r="H24" s="52">
        <v>1371000000</v>
      </c>
      <c r="I24" s="52">
        <v>588000000</v>
      </c>
      <c r="J24" s="51" t="s">
        <v>37</v>
      </c>
      <c r="K24" s="51" t="s">
        <v>46</v>
      </c>
      <c r="L24" s="41">
        <f t="shared" si="0"/>
        <v>10464000000</v>
      </c>
      <c r="M24" s="41">
        <f t="shared" si="1"/>
        <v>8331000000</v>
      </c>
      <c r="N24" s="41">
        <f t="shared" si="2"/>
        <v>2133000000</v>
      </c>
      <c r="O24" s="41">
        <f t="shared" si="3"/>
        <v>0.57618151294704179</v>
      </c>
      <c r="P24" s="41">
        <f t="shared" si="4"/>
        <v>0.10851096301571959</v>
      </c>
    </row>
    <row r="25" spans="1:16" ht="19.95" customHeight="1">
      <c r="A25" s="49">
        <v>22</v>
      </c>
      <c r="B25" s="50" t="s">
        <v>45</v>
      </c>
      <c r="C25" s="51" t="s">
        <v>18</v>
      </c>
      <c r="D25" s="51" t="s">
        <v>19</v>
      </c>
      <c r="E25" s="52">
        <v>20247000000</v>
      </c>
      <c r="F25" s="52">
        <v>9218000000</v>
      </c>
      <c r="G25" s="52">
        <v>6530000000</v>
      </c>
      <c r="H25" s="52">
        <v>1345000000</v>
      </c>
      <c r="I25" s="52">
        <v>555000000</v>
      </c>
      <c r="J25" s="51" t="s">
        <v>37</v>
      </c>
      <c r="K25" s="51" t="s">
        <v>46</v>
      </c>
      <c r="L25" s="41">
        <f t="shared" si="0"/>
        <v>11029000000</v>
      </c>
      <c r="M25" s="41">
        <f t="shared" si="1"/>
        <v>8430000000</v>
      </c>
      <c r="N25" s="41">
        <f t="shared" si="2"/>
        <v>2599000000</v>
      </c>
      <c r="O25" s="41">
        <f t="shared" si="3"/>
        <v>0.58364202104015406</v>
      </c>
      <c r="P25" s="41">
        <f t="shared" si="4"/>
        <v>0.12836469600434633</v>
      </c>
    </row>
    <row r="26" spans="1:16" ht="19.95" customHeight="1">
      <c r="A26" s="49">
        <v>23</v>
      </c>
      <c r="B26" s="50" t="s">
        <v>45</v>
      </c>
      <c r="C26" s="51" t="s">
        <v>20</v>
      </c>
      <c r="D26" s="51" t="s">
        <v>21</v>
      </c>
      <c r="E26" s="52">
        <v>20405000000</v>
      </c>
      <c r="F26" s="52">
        <v>8747000000</v>
      </c>
      <c r="G26" s="52">
        <v>6785000000</v>
      </c>
      <c r="H26" s="52">
        <v>1405000000</v>
      </c>
      <c r="I26" s="52">
        <v>601000000</v>
      </c>
      <c r="J26" s="51" t="s">
        <v>37</v>
      </c>
      <c r="K26" s="51" t="s">
        <v>46</v>
      </c>
      <c r="L26" s="41">
        <f t="shared" si="0"/>
        <v>11658000000</v>
      </c>
      <c r="M26" s="41">
        <f t="shared" si="1"/>
        <v>8791000000</v>
      </c>
      <c r="N26" s="41">
        <f t="shared" si="2"/>
        <v>2867000000</v>
      </c>
      <c r="O26" s="41">
        <f t="shared" si="3"/>
        <v>0.5691742220044107</v>
      </c>
      <c r="P26" s="41">
        <f t="shared" si="4"/>
        <v>0.14050477824062729</v>
      </c>
    </row>
    <row r="27" spans="1:16" ht="19.95" customHeight="1">
      <c r="A27" s="49">
        <v>24</v>
      </c>
      <c r="B27" s="50" t="s">
        <v>47</v>
      </c>
      <c r="C27" s="51" t="s">
        <v>11</v>
      </c>
      <c r="D27" s="51" t="s">
        <v>48</v>
      </c>
      <c r="E27" s="52">
        <v>4055240000</v>
      </c>
      <c r="F27" s="52">
        <v>586557000</v>
      </c>
      <c r="G27" s="52">
        <v>2140578000</v>
      </c>
      <c r="H27" s="52">
        <v>826631000</v>
      </c>
      <c r="I27" s="52">
        <v>52254000</v>
      </c>
      <c r="J27" s="51" t="s">
        <v>31</v>
      </c>
      <c r="K27" s="51" t="s">
        <v>49</v>
      </c>
      <c r="L27" s="41">
        <f t="shared" si="0"/>
        <v>3468683000</v>
      </c>
      <c r="M27" s="41">
        <f t="shared" si="1"/>
        <v>3019463000</v>
      </c>
      <c r="N27" s="41">
        <f t="shared" si="2"/>
        <v>449220000</v>
      </c>
      <c r="O27" s="41">
        <f t="shared" si="3"/>
        <v>0.25541694203055798</v>
      </c>
      <c r="P27" s="41">
        <f t="shared" si="4"/>
        <v>0.11077519456308381</v>
      </c>
    </row>
    <row r="28" spans="1:16" ht="19.95" customHeight="1">
      <c r="A28" s="49">
        <v>25</v>
      </c>
      <c r="B28" s="50" t="s">
        <v>47</v>
      </c>
      <c r="C28" s="51" t="s">
        <v>16</v>
      </c>
      <c r="D28" s="51" t="s">
        <v>50</v>
      </c>
      <c r="E28" s="52">
        <v>4147065000</v>
      </c>
      <c r="F28" s="52">
        <v>622080000</v>
      </c>
      <c r="G28" s="52">
        <v>2195640000</v>
      </c>
      <c r="H28" s="52">
        <v>844353000</v>
      </c>
      <c r="I28" s="52">
        <v>52424000</v>
      </c>
      <c r="J28" s="51" t="s">
        <v>31</v>
      </c>
      <c r="K28" s="51" t="s">
        <v>49</v>
      </c>
      <c r="L28" s="41">
        <f t="shared" si="0"/>
        <v>3524985000</v>
      </c>
      <c r="M28" s="41">
        <f t="shared" si="1"/>
        <v>3092417000</v>
      </c>
      <c r="N28" s="41">
        <f t="shared" si="2"/>
        <v>432568000</v>
      </c>
      <c r="O28" s="41">
        <f t="shared" si="3"/>
        <v>0.25431190492553168</v>
      </c>
      <c r="P28" s="41">
        <f t="shared" si="4"/>
        <v>0.10430702195408077</v>
      </c>
    </row>
    <row r="29" spans="1:16" ht="19.95" customHeight="1">
      <c r="A29" s="49">
        <v>26</v>
      </c>
      <c r="B29" s="50" t="s">
        <v>47</v>
      </c>
      <c r="C29" s="51" t="s">
        <v>18</v>
      </c>
      <c r="D29" s="51" t="s">
        <v>51</v>
      </c>
      <c r="E29" s="52">
        <v>4795511000</v>
      </c>
      <c r="F29" s="52">
        <v>744317000</v>
      </c>
      <c r="G29" s="52">
        <v>2215161000</v>
      </c>
      <c r="H29" s="52">
        <v>862730000</v>
      </c>
      <c r="I29" s="52">
        <v>68649000</v>
      </c>
      <c r="J29" s="51" t="s">
        <v>31</v>
      </c>
      <c r="K29" s="51" t="s">
        <v>49</v>
      </c>
      <c r="L29" s="41">
        <f t="shared" si="0"/>
        <v>4051194000</v>
      </c>
      <c r="M29" s="41">
        <f t="shared" si="1"/>
        <v>3146540000</v>
      </c>
      <c r="N29" s="41">
        <f t="shared" si="2"/>
        <v>904654000</v>
      </c>
      <c r="O29" s="41">
        <f t="shared" si="3"/>
        <v>0.34385720312183621</v>
      </c>
      <c r="P29" s="41">
        <f t="shared" si="4"/>
        <v>0.18864600665080322</v>
      </c>
    </row>
    <row r="30" spans="1:16" ht="19.95" customHeight="1">
      <c r="A30" s="49">
        <v>27</v>
      </c>
      <c r="B30" s="50" t="s">
        <v>47</v>
      </c>
      <c r="C30" s="51" t="s">
        <v>20</v>
      </c>
      <c r="D30" s="51" t="s">
        <v>52</v>
      </c>
      <c r="E30" s="52">
        <v>5854430000</v>
      </c>
      <c r="F30" s="52">
        <v>819908000</v>
      </c>
      <c r="G30" s="52">
        <v>2487907000</v>
      </c>
      <c r="H30" s="52">
        <v>975987000</v>
      </c>
      <c r="I30" s="52">
        <v>78534000</v>
      </c>
      <c r="J30" s="51" t="s">
        <v>31</v>
      </c>
      <c r="K30" s="51" t="s">
        <v>49</v>
      </c>
      <c r="L30" s="41">
        <f t="shared" si="0"/>
        <v>5034522000</v>
      </c>
      <c r="M30" s="41">
        <f t="shared" si="1"/>
        <v>3542428000</v>
      </c>
      <c r="N30" s="41">
        <f t="shared" si="2"/>
        <v>1492094000</v>
      </c>
      <c r="O30" s="41">
        <f t="shared" si="3"/>
        <v>0.39491496183232189</v>
      </c>
      <c r="P30" s="41">
        <f t="shared" si="4"/>
        <v>0.25486580247778179</v>
      </c>
    </row>
    <row r="31" spans="1:16" ht="19.95" customHeight="1">
      <c r="A31" s="49">
        <v>28</v>
      </c>
      <c r="B31" s="50" t="s">
        <v>53</v>
      </c>
      <c r="C31" s="51" t="s">
        <v>11</v>
      </c>
      <c r="D31" s="51" t="s">
        <v>54</v>
      </c>
      <c r="E31" s="52">
        <v>2633689000</v>
      </c>
      <c r="F31" s="52">
        <v>941278000</v>
      </c>
      <c r="G31" s="52">
        <v>396233000</v>
      </c>
      <c r="H31" s="52">
        <v>513035000</v>
      </c>
      <c r="I31" s="52">
        <v>220000</v>
      </c>
      <c r="J31" s="51" t="s">
        <v>31</v>
      </c>
      <c r="K31" s="51" t="s">
        <v>55</v>
      </c>
      <c r="L31" s="41">
        <f t="shared" si="0"/>
        <v>1692411000</v>
      </c>
      <c r="M31" s="41">
        <f t="shared" si="1"/>
        <v>909488000</v>
      </c>
      <c r="N31" s="41">
        <f t="shared" si="2"/>
        <v>782923000</v>
      </c>
      <c r="O31" s="41">
        <f t="shared" si="3"/>
        <v>0.65467145133688898</v>
      </c>
      <c r="P31" s="41">
        <f t="shared" si="4"/>
        <v>0.29727238105941894</v>
      </c>
    </row>
    <row r="32" spans="1:16" ht="19.95" customHeight="1">
      <c r="A32" s="49">
        <v>29</v>
      </c>
      <c r="B32" s="50" t="s">
        <v>53</v>
      </c>
      <c r="C32" s="51" t="s">
        <v>16</v>
      </c>
      <c r="D32" s="51" t="s">
        <v>56</v>
      </c>
      <c r="E32" s="52">
        <v>2864773000</v>
      </c>
      <c r="F32" s="52">
        <v>1034585000</v>
      </c>
      <c r="G32" s="52">
        <v>454676000</v>
      </c>
      <c r="H32" s="52">
        <v>559686000</v>
      </c>
      <c r="I32" s="52">
        <v>26020000</v>
      </c>
      <c r="J32" s="51" t="s">
        <v>31</v>
      </c>
      <c r="K32" s="51" t="s">
        <v>55</v>
      </c>
      <c r="L32" s="41">
        <f t="shared" si="0"/>
        <v>1830188000</v>
      </c>
      <c r="M32" s="41">
        <f t="shared" si="1"/>
        <v>1040382000</v>
      </c>
      <c r="N32" s="41">
        <f t="shared" si="2"/>
        <v>789806000</v>
      </c>
      <c r="O32" s="41">
        <f t="shared" si="3"/>
        <v>0.63683614722702286</v>
      </c>
      <c r="P32" s="41">
        <f t="shared" si="4"/>
        <v>0.27569584047322421</v>
      </c>
    </row>
    <row r="33" spans="1:16" ht="19.95" customHeight="1">
      <c r="A33" s="49">
        <v>30</v>
      </c>
      <c r="B33" s="50" t="s">
        <v>53</v>
      </c>
      <c r="C33" s="51" t="s">
        <v>18</v>
      </c>
      <c r="D33" s="51" t="s">
        <v>57</v>
      </c>
      <c r="E33" s="52">
        <v>3435092000</v>
      </c>
      <c r="F33" s="52">
        <v>1175830000</v>
      </c>
      <c r="G33" s="52">
        <v>702644000</v>
      </c>
      <c r="H33" s="52">
        <v>637459000</v>
      </c>
      <c r="I33" s="52">
        <v>88318000</v>
      </c>
      <c r="J33" s="51" t="s">
        <v>31</v>
      </c>
      <c r="K33" s="51" t="s">
        <v>55</v>
      </c>
      <c r="L33" s="41">
        <f t="shared" si="0"/>
        <v>2259262000</v>
      </c>
      <c r="M33" s="41">
        <f t="shared" si="1"/>
        <v>1428421000</v>
      </c>
      <c r="N33" s="41">
        <f t="shared" si="2"/>
        <v>830841000</v>
      </c>
      <c r="O33" s="41">
        <f t="shared" si="3"/>
        <v>0.58416805139425665</v>
      </c>
      <c r="P33" s="41">
        <f t="shared" si="4"/>
        <v>0.24186863117494378</v>
      </c>
    </row>
    <row r="34" spans="1:16" ht="19.95" customHeight="1">
      <c r="A34" s="49">
        <v>31</v>
      </c>
      <c r="B34" s="50" t="s">
        <v>53</v>
      </c>
      <c r="C34" s="51" t="s">
        <v>20</v>
      </c>
      <c r="D34" s="51" t="s">
        <v>58</v>
      </c>
      <c r="E34" s="52">
        <v>3421409000</v>
      </c>
      <c r="F34" s="52">
        <v>1194236000</v>
      </c>
      <c r="G34" s="52">
        <v>461438000</v>
      </c>
      <c r="H34" s="52">
        <v>653816000</v>
      </c>
      <c r="I34" s="52">
        <v>70123000</v>
      </c>
      <c r="J34" s="51" t="s">
        <v>31</v>
      </c>
      <c r="K34" s="51" t="s">
        <v>55</v>
      </c>
      <c r="L34" s="41">
        <f t="shared" si="0"/>
        <v>2227173000</v>
      </c>
      <c r="M34" s="41">
        <f t="shared" si="1"/>
        <v>1185377000</v>
      </c>
      <c r="N34" s="41">
        <f t="shared" si="2"/>
        <v>1041796000</v>
      </c>
      <c r="O34" s="41">
        <f t="shared" si="3"/>
        <v>0.65354127495426595</v>
      </c>
      <c r="P34" s="41">
        <f t="shared" si="4"/>
        <v>0.30449326578611324</v>
      </c>
    </row>
    <row r="35" spans="1:16" ht="19.95" customHeight="1">
      <c r="A35" s="49">
        <v>32</v>
      </c>
      <c r="B35" s="50" t="s">
        <v>59</v>
      </c>
      <c r="C35" s="51" t="s">
        <v>11</v>
      </c>
      <c r="D35" s="51" t="s">
        <v>12</v>
      </c>
      <c r="E35" s="52">
        <v>90559000000</v>
      </c>
      <c r="F35" s="52">
        <v>86936000000</v>
      </c>
      <c r="G35" s="52">
        <v>1665000000</v>
      </c>
      <c r="H35" s="52" t="s">
        <v>757</v>
      </c>
      <c r="I35" s="52" t="s">
        <v>757</v>
      </c>
      <c r="J35" s="51" t="s">
        <v>60</v>
      </c>
      <c r="K35" s="51" t="s">
        <v>61</v>
      </c>
      <c r="L35" s="41">
        <f t="shared" si="0"/>
        <v>3623000000</v>
      </c>
      <c r="M35" s="41">
        <f t="shared" si="1"/>
        <v>1665000000</v>
      </c>
      <c r="N35" s="41">
        <f t="shared" si="2"/>
        <v>1958000000</v>
      </c>
      <c r="O35" s="41">
        <f t="shared" si="3"/>
        <v>0.98161419626983515</v>
      </c>
      <c r="P35" s="41">
        <f t="shared" si="4"/>
        <v>2.1621263485683367E-2</v>
      </c>
    </row>
    <row r="36" spans="1:16" ht="19.95" customHeight="1">
      <c r="A36" s="49">
        <v>33</v>
      </c>
      <c r="B36" s="50" t="s">
        <v>59</v>
      </c>
      <c r="C36" s="51" t="s">
        <v>16</v>
      </c>
      <c r="D36" s="51" t="s">
        <v>17</v>
      </c>
      <c r="E36" s="52">
        <v>89804000000</v>
      </c>
      <c r="F36" s="52">
        <v>85915000000</v>
      </c>
      <c r="G36" s="52">
        <v>1759000000</v>
      </c>
      <c r="H36" s="52" t="s">
        <v>757</v>
      </c>
      <c r="I36" s="52" t="s">
        <v>757</v>
      </c>
      <c r="J36" s="51" t="s">
        <v>60</v>
      </c>
      <c r="K36" s="51" t="s">
        <v>61</v>
      </c>
      <c r="L36" s="41">
        <f t="shared" si="0"/>
        <v>3889000000</v>
      </c>
      <c r="M36" s="41">
        <f t="shared" si="1"/>
        <v>1759000000</v>
      </c>
      <c r="N36" s="41">
        <f t="shared" si="2"/>
        <v>2130000000</v>
      </c>
      <c r="O36" s="41">
        <f t="shared" si="3"/>
        <v>0.98041289920270813</v>
      </c>
      <c r="P36" s="41">
        <f t="shared" si="4"/>
        <v>2.3718319896663845E-2</v>
      </c>
    </row>
    <row r="37" spans="1:16" ht="19.95" customHeight="1">
      <c r="A37" s="49">
        <v>34</v>
      </c>
      <c r="B37" s="50" t="s">
        <v>59</v>
      </c>
      <c r="C37" s="51" t="s">
        <v>18</v>
      </c>
      <c r="D37" s="51" t="s">
        <v>19</v>
      </c>
      <c r="E37" s="52">
        <v>81201000000</v>
      </c>
      <c r="F37" s="52">
        <v>76433000000</v>
      </c>
      <c r="G37" s="52">
        <v>1907000000</v>
      </c>
      <c r="H37" s="52" t="s">
        <v>757</v>
      </c>
      <c r="I37" s="52" t="s">
        <v>757</v>
      </c>
      <c r="J37" s="51" t="s">
        <v>60</v>
      </c>
      <c r="K37" s="51" t="s">
        <v>61</v>
      </c>
      <c r="L37" s="41">
        <f t="shared" si="0"/>
        <v>4768000000</v>
      </c>
      <c r="M37" s="41">
        <f t="shared" si="1"/>
        <v>1907000000</v>
      </c>
      <c r="N37" s="41">
        <f t="shared" si="2"/>
        <v>2861000000</v>
      </c>
      <c r="O37" s="41">
        <f t="shared" si="3"/>
        <v>0.97651506754842921</v>
      </c>
      <c r="P37" s="41">
        <f t="shared" si="4"/>
        <v>3.5233556236992154E-2</v>
      </c>
    </row>
    <row r="38" spans="1:16" ht="19.95" customHeight="1">
      <c r="A38" s="49">
        <v>35</v>
      </c>
      <c r="B38" s="50" t="s">
        <v>59</v>
      </c>
      <c r="C38" s="51" t="s">
        <v>20</v>
      </c>
      <c r="D38" s="51" t="s">
        <v>21</v>
      </c>
      <c r="E38" s="52">
        <v>67702000000</v>
      </c>
      <c r="F38" s="52">
        <v>63682000000</v>
      </c>
      <c r="G38" s="52">
        <v>2010000000</v>
      </c>
      <c r="H38" s="52" t="s">
        <v>757</v>
      </c>
      <c r="I38" s="52" t="s">
        <v>757</v>
      </c>
      <c r="J38" s="51" t="s">
        <v>60</v>
      </c>
      <c r="K38" s="51" t="s">
        <v>61</v>
      </c>
      <c r="L38" s="41">
        <f t="shared" si="0"/>
        <v>4020000000</v>
      </c>
      <c r="M38" s="41">
        <f t="shared" si="1"/>
        <v>2010000000</v>
      </c>
      <c r="N38" s="41">
        <f t="shared" si="2"/>
        <v>2010000000</v>
      </c>
      <c r="O38" s="41">
        <f t="shared" si="3"/>
        <v>0.97031106909692477</v>
      </c>
      <c r="P38" s="41">
        <f t="shared" si="4"/>
        <v>2.9688930903075242E-2</v>
      </c>
    </row>
    <row r="39" spans="1:16" ht="19.95" customHeight="1">
      <c r="A39" s="49">
        <v>36</v>
      </c>
      <c r="B39" s="50" t="s">
        <v>62</v>
      </c>
      <c r="C39" s="51" t="s">
        <v>11</v>
      </c>
      <c r="D39" s="51" t="s">
        <v>12</v>
      </c>
      <c r="E39" s="52">
        <v>3641390000</v>
      </c>
      <c r="F39" s="52">
        <v>2392091000</v>
      </c>
      <c r="G39" s="52">
        <v>108059000</v>
      </c>
      <c r="H39" s="52" t="s">
        <v>757</v>
      </c>
      <c r="I39" s="52">
        <v>166876000</v>
      </c>
      <c r="J39" s="51" t="s">
        <v>31</v>
      </c>
      <c r="K39" s="51" t="s">
        <v>63</v>
      </c>
      <c r="L39" s="41">
        <f t="shared" si="0"/>
        <v>1249299000</v>
      </c>
      <c r="M39" s="41">
        <f t="shared" si="1"/>
        <v>274935000</v>
      </c>
      <c r="N39" s="41">
        <f t="shared" si="2"/>
        <v>974364000</v>
      </c>
      <c r="O39" s="41">
        <f t="shared" si="3"/>
        <v>0.92449723869181821</v>
      </c>
      <c r="P39" s="41">
        <f t="shared" si="4"/>
        <v>0.26758023721710666</v>
      </c>
    </row>
    <row r="40" spans="1:16" ht="19.95" customHeight="1">
      <c r="A40" s="49">
        <v>37</v>
      </c>
      <c r="B40" s="50" t="s">
        <v>62</v>
      </c>
      <c r="C40" s="51" t="s">
        <v>16</v>
      </c>
      <c r="D40" s="51" t="s">
        <v>17</v>
      </c>
      <c r="E40" s="52">
        <v>4319063000</v>
      </c>
      <c r="F40" s="52">
        <v>2894917000</v>
      </c>
      <c r="G40" s="52">
        <v>109115000</v>
      </c>
      <c r="H40" s="52" t="s">
        <v>757</v>
      </c>
      <c r="I40" s="52">
        <v>216119000</v>
      </c>
      <c r="J40" s="51" t="s">
        <v>31</v>
      </c>
      <c r="K40" s="51" t="s">
        <v>63</v>
      </c>
      <c r="L40" s="41">
        <f t="shared" si="0"/>
        <v>1424146000</v>
      </c>
      <c r="M40" s="41">
        <f t="shared" si="1"/>
        <v>325234000</v>
      </c>
      <c r="N40" s="41">
        <f t="shared" si="2"/>
        <v>1098912000</v>
      </c>
      <c r="O40" s="41">
        <f t="shared" si="3"/>
        <v>0.92469801899161919</v>
      </c>
      <c r="P40" s="41">
        <f t="shared" si="4"/>
        <v>0.25443296381645741</v>
      </c>
    </row>
    <row r="41" spans="1:16" ht="19.95" customHeight="1">
      <c r="A41" s="49">
        <v>38</v>
      </c>
      <c r="B41" s="50" t="s">
        <v>62</v>
      </c>
      <c r="C41" s="51" t="s">
        <v>18</v>
      </c>
      <c r="D41" s="51" t="s">
        <v>19</v>
      </c>
      <c r="E41" s="52">
        <v>5302940000</v>
      </c>
      <c r="F41" s="52">
        <v>3643979000</v>
      </c>
      <c r="G41" s="52">
        <v>247412000</v>
      </c>
      <c r="H41" s="52" t="s">
        <v>757</v>
      </c>
      <c r="I41" s="52">
        <v>313082000</v>
      </c>
      <c r="J41" s="51" t="s">
        <v>31</v>
      </c>
      <c r="K41" s="51" t="s">
        <v>63</v>
      </c>
      <c r="L41" s="41">
        <f t="shared" si="0"/>
        <v>1658961000</v>
      </c>
      <c r="M41" s="41">
        <f t="shared" si="1"/>
        <v>560494000</v>
      </c>
      <c r="N41" s="41">
        <f t="shared" si="2"/>
        <v>1098467000</v>
      </c>
      <c r="O41" s="41">
        <f t="shared" si="3"/>
        <v>0.89430504588020987</v>
      </c>
      <c r="P41" s="41">
        <f t="shared" si="4"/>
        <v>0.20714301877826263</v>
      </c>
    </row>
    <row r="42" spans="1:16" ht="19.95" customHeight="1">
      <c r="A42" s="49">
        <v>39</v>
      </c>
      <c r="B42" s="50" t="s">
        <v>62</v>
      </c>
      <c r="C42" s="51" t="s">
        <v>20</v>
      </c>
      <c r="D42" s="51" t="s">
        <v>21</v>
      </c>
      <c r="E42" s="52">
        <v>6439746000</v>
      </c>
      <c r="F42" s="52">
        <v>4482700000</v>
      </c>
      <c r="G42" s="52">
        <v>203046000</v>
      </c>
      <c r="H42" s="52" t="s">
        <v>757</v>
      </c>
      <c r="I42" s="52">
        <v>492140000</v>
      </c>
      <c r="J42" s="51" t="s">
        <v>31</v>
      </c>
      <c r="K42" s="51" t="s">
        <v>63</v>
      </c>
      <c r="L42" s="41">
        <f t="shared" si="0"/>
        <v>1957046000</v>
      </c>
      <c r="M42" s="41">
        <f t="shared" si="1"/>
        <v>695186000</v>
      </c>
      <c r="N42" s="41">
        <f t="shared" si="2"/>
        <v>1261860000</v>
      </c>
      <c r="O42" s="41">
        <f t="shared" si="3"/>
        <v>0.89204760560432039</v>
      </c>
      <c r="P42" s="41">
        <f t="shared" si="4"/>
        <v>0.19594872220115514</v>
      </c>
    </row>
    <row r="43" spans="1:16" ht="19.95" customHeight="1">
      <c r="A43" s="49">
        <v>40</v>
      </c>
      <c r="B43" s="50" t="s">
        <v>64</v>
      </c>
      <c r="C43" s="51" t="s">
        <v>11</v>
      </c>
      <c r="D43" s="51" t="s">
        <v>65</v>
      </c>
      <c r="E43" s="52">
        <v>2312200000</v>
      </c>
      <c r="F43" s="52">
        <v>238500000</v>
      </c>
      <c r="G43" s="52">
        <v>1081800000</v>
      </c>
      <c r="H43" s="52">
        <v>600000000</v>
      </c>
      <c r="I43" s="52">
        <v>42100000</v>
      </c>
      <c r="J43" s="51" t="s">
        <v>31</v>
      </c>
      <c r="K43" s="51" t="s">
        <v>49</v>
      </c>
      <c r="L43" s="41">
        <f t="shared" si="0"/>
        <v>2073700000</v>
      </c>
      <c r="M43" s="41">
        <f t="shared" si="1"/>
        <v>1723900000</v>
      </c>
      <c r="N43" s="41">
        <f t="shared" si="2"/>
        <v>349800000</v>
      </c>
      <c r="O43" s="41">
        <f t="shared" si="3"/>
        <v>0.25443300752530063</v>
      </c>
      <c r="P43" s="41">
        <f t="shared" si="4"/>
        <v>0.15128449096098953</v>
      </c>
    </row>
    <row r="44" spans="1:16" ht="19.95" customHeight="1">
      <c r="A44" s="49">
        <v>41</v>
      </c>
      <c r="B44" s="50" t="s">
        <v>64</v>
      </c>
      <c r="C44" s="51" t="s">
        <v>16</v>
      </c>
      <c r="D44" s="51" t="s">
        <v>66</v>
      </c>
      <c r="E44" s="52">
        <v>2273900000</v>
      </c>
      <c r="F44" s="52">
        <v>274300000</v>
      </c>
      <c r="G44" s="52">
        <v>1054400000</v>
      </c>
      <c r="H44" s="52">
        <v>611100000</v>
      </c>
      <c r="I44" s="52">
        <v>36500000</v>
      </c>
      <c r="J44" s="51" t="s">
        <v>31</v>
      </c>
      <c r="K44" s="51" t="s">
        <v>49</v>
      </c>
      <c r="L44" s="41">
        <f t="shared" si="0"/>
        <v>1999600000</v>
      </c>
      <c r="M44" s="41">
        <f t="shared" si="1"/>
        <v>1702000000</v>
      </c>
      <c r="N44" s="41">
        <f t="shared" si="2"/>
        <v>297600000</v>
      </c>
      <c r="O44" s="41">
        <f t="shared" si="3"/>
        <v>0.25150622278904089</v>
      </c>
      <c r="P44" s="41">
        <f t="shared" si="4"/>
        <v>0.1308764677426448</v>
      </c>
    </row>
    <row r="45" spans="1:16" ht="19.95" customHeight="1">
      <c r="A45" s="49">
        <v>42</v>
      </c>
      <c r="B45" s="50" t="s">
        <v>64</v>
      </c>
      <c r="C45" s="51" t="s">
        <v>18</v>
      </c>
      <c r="D45" s="51" t="s">
        <v>67</v>
      </c>
      <c r="E45" s="52">
        <v>2512200000</v>
      </c>
      <c r="F45" s="52">
        <v>342100000</v>
      </c>
      <c r="G45" s="52">
        <v>1281300000</v>
      </c>
      <c r="H45" s="52">
        <v>725200000</v>
      </c>
      <c r="I45" s="52">
        <v>39800000</v>
      </c>
      <c r="J45" s="51" t="s">
        <v>31</v>
      </c>
      <c r="K45" s="51" t="s">
        <v>49</v>
      </c>
      <c r="L45" s="41">
        <f t="shared" si="0"/>
        <v>2170100000</v>
      </c>
      <c r="M45" s="41">
        <f t="shared" si="1"/>
        <v>2046300000</v>
      </c>
      <c r="N45" s="41">
        <f t="shared" si="2"/>
        <v>123800000</v>
      </c>
      <c r="O45" s="41">
        <f t="shared" si="3"/>
        <v>0.18545497969906855</v>
      </c>
      <c r="P45" s="41">
        <f t="shared" si="4"/>
        <v>4.9279515962104926E-2</v>
      </c>
    </row>
    <row r="46" spans="1:16" ht="19.95" customHeight="1">
      <c r="A46" s="49">
        <v>43</v>
      </c>
      <c r="B46" s="50" t="s">
        <v>64</v>
      </c>
      <c r="C46" s="51" t="s">
        <v>20</v>
      </c>
      <c r="D46" s="51" t="s">
        <v>68</v>
      </c>
      <c r="E46" s="52">
        <v>2504100000</v>
      </c>
      <c r="F46" s="52">
        <v>370700000</v>
      </c>
      <c r="G46" s="52">
        <v>1308900000</v>
      </c>
      <c r="H46" s="52">
        <v>790000000</v>
      </c>
      <c r="I46" s="52">
        <v>33200000</v>
      </c>
      <c r="J46" s="51" t="s">
        <v>31</v>
      </c>
      <c r="K46" s="51" t="s">
        <v>49</v>
      </c>
      <c r="L46" s="41">
        <f t="shared" si="0"/>
        <v>2133400000</v>
      </c>
      <c r="M46" s="41">
        <f t="shared" si="1"/>
        <v>2132100000</v>
      </c>
      <c r="N46" s="41">
        <f t="shared" si="2"/>
        <v>1300000</v>
      </c>
      <c r="O46" s="41">
        <f t="shared" si="3"/>
        <v>0.14855636755720614</v>
      </c>
      <c r="P46" s="41">
        <f t="shared" si="4"/>
        <v>5.1914859630206457E-4</v>
      </c>
    </row>
    <row r="47" spans="1:16" ht="19.95" customHeight="1">
      <c r="A47" s="49">
        <v>44</v>
      </c>
      <c r="B47" s="50" t="s">
        <v>69</v>
      </c>
      <c r="C47" s="51" t="s">
        <v>11</v>
      </c>
      <c r="D47" s="51" t="s">
        <v>12</v>
      </c>
      <c r="E47" s="52">
        <v>5781000000</v>
      </c>
      <c r="F47" s="52">
        <v>3477000000</v>
      </c>
      <c r="G47" s="52">
        <v>443000000</v>
      </c>
      <c r="H47" s="52" t="s">
        <v>757</v>
      </c>
      <c r="I47" s="52">
        <v>673000000</v>
      </c>
      <c r="J47" s="51" t="s">
        <v>70</v>
      </c>
      <c r="K47" s="51" t="s">
        <v>71</v>
      </c>
      <c r="L47" s="41">
        <f t="shared" si="0"/>
        <v>2304000000</v>
      </c>
      <c r="M47" s="41">
        <f t="shared" si="1"/>
        <v>1116000000</v>
      </c>
      <c r="N47" s="41">
        <f t="shared" si="2"/>
        <v>1188000000</v>
      </c>
      <c r="O47" s="41">
        <f t="shared" si="3"/>
        <v>0.80695381421899326</v>
      </c>
      <c r="P47" s="41">
        <f t="shared" si="4"/>
        <v>0.20550077841203945</v>
      </c>
    </row>
    <row r="48" spans="1:16" ht="19.95" customHeight="1">
      <c r="A48" s="49">
        <v>45</v>
      </c>
      <c r="B48" s="50" t="s">
        <v>69</v>
      </c>
      <c r="C48" s="51" t="s">
        <v>16</v>
      </c>
      <c r="D48" s="51" t="s">
        <v>17</v>
      </c>
      <c r="E48" s="52">
        <v>5838000000</v>
      </c>
      <c r="F48" s="52">
        <v>3490000000</v>
      </c>
      <c r="G48" s="52">
        <v>458000000</v>
      </c>
      <c r="H48" s="52" t="s">
        <v>757</v>
      </c>
      <c r="I48" s="52">
        <v>706000000</v>
      </c>
      <c r="J48" s="51" t="s">
        <v>70</v>
      </c>
      <c r="K48" s="51" t="s">
        <v>71</v>
      </c>
      <c r="L48" s="41">
        <f t="shared" si="0"/>
        <v>2348000000</v>
      </c>
      <c r="M48" s="41">
        <f t="shared" si="1"/>
        <v>1164000000</v>
      </c>
      <c r="N48" s="41">
        <f t="shared" si="2"/>
        <v>1184000000</v>
      </c>
      <c r="O48" s="41">
        <f t="shared" si="3"/>
        <v>0.80061664953751288</v>
      </c>
      <c r="P48" s="41">
        <f t="shared" si="4"/>
        <v>0.20280918122644742</v>
      </c>
    </row>
    <row r="49" spans="1:16" ht="19.95" customHeight="1">
      <c r="A49" s="49">
        <v>46</v>
      </c>
      <c r="B49" s="50" t="s">
        <v>69</v>
      </c>
      <c r="C49" s="51" t="s">
        <v>18</v>
      </c>
      <c r="D49" s="51" t="s">
        <v>19</v>
      </c>
      <c r="E49" s="52">
        <v>6053000000</v>
      </c>
      <c r="F49" s="52">
        <v>3586000000</v>
      </c>
      <c r="G49" s="52">
        <v>468000000</v>
      </c>
      <c r="H49" s="52" t="s">
        <v>757</v>
      </c>
      <c r="I49" s="52">
        <v>745000000</v>
      </c>
      <c r="J49" s="51" t="s">
        <v>70</v>
      </c>
      <c r="K49" s="51" t="s">
        <v>71</v>
      </c>
      <c r="L49" s="41">
        <f t="shared" si="0"/>
        <v>2467000000</v>
      </c>
      <c r="M49" s="41">
        <f t="shared" si="1"/>
        <v>1213000000</v>
      </c>
      <c r="N49" s="41">
        <f t="shared" si="2"/>
        <v>1254000000</v>
      </c>
      <c r="O49" s="41">
        <f t="shared" si="3"/>
        <v>0.79960350239550637</v>
      </c>
      <c r="P49" s="41">
        <f t="shared" si="4"/>
        <v>0.20716999834792665</v>
      </c>
    </row>
    <row r="50" spans="1:16" ht="19.95" customHeight="1">
      <c r="A50" s="49">
        <v>47</v>
      </c>
      <c r="B50" s="50" t="s">
        <v>69</v>
      </c>
      <c r="C50" s="51" t="s">
        <v>20</v>
      </c>
      <c r="D50" s="51" t="s">
        <v>21</v>
      </c>
      <c r="E50" s="52">
        <v>6098000000</v>
      </c>
      <c r="F50" s="52">
        <v>3501000000</v>
      </c>
      <c r="G50" s="52">
        <v>542000000</v>
      </c>
      <c r="H50" s="52" t="s">
        <v>757</v>
      </c>
      <c r="I50" s="52">
        <v>796000000</v>
      </c>
      <c r="J50" s="51" t="s">
        <v>70</v>
      </c>
      <c r="K50" s="51" t="s">
        <v>71</v>
      </c>
      <c r="L50" s="41">
        <f t="shared" si="0"/>
        <v>2597000000</v>
      </c>
      <c r="M50" s="41">
        <f t="shared" si="1"/>
        <v>1338000000</v>
      </c>
      <c r="N50" s="41">
        <f t="shared" si="2"/>
        <v>1259000000</v>
      </c>
      <c r="O50" s="41">
        <f t="shared" si="3"/>
        <v>0.78058379796654642</v>
      </c>
      <c r="P50" s="41">
        <f t="shared" si="4"/>
        <v>0.20646113479829453</v>
      </c>
    </row>
    <row r="51" spans="1:16" ht="19.95" customHeight="1">
      <c r="A51" s="49">
        <v>48</v>
      </c>
      <c r="B51" s="50" t="s">
        <v>72</v>
      </c>
      <c r="C51" s="51" t="s">
        <v>11</v>
      </c>
      <c r="D51" s="51" t="s">
        <v>12</v>
      </c>
      <c r="E51" s="52">
        <v>14945000000</v>
      </c>
      <c r="F51" s="52">
        <v>6395000000</v>
      </c>
      <c r="G51" s="52">
        <v>3812000000</v>
      </c>
      <c r="H51" s="52" t="s">
        <v>757</v>
      </c>
      <c r="I51" s="52">
        <v>1782000000</v>
      </c>
      <c r="J51" s="51" t="s">
        <v>70</v>
      </c>
      <c r="K51" s="51" t="s">
        <v>73</v>
      </c>
      <c r="L51" s="41">
        <f t="shared" si="0"/>
        <v>8550000000</v>
      </c>
      <c r="M51" s="41">
        <f t="shared" si="1"/>
        <v>5594000000</v>
      </c>
      <c r="N51" s="41">
        <f t="shared" si="2"/>
        <v>2956000000</v>
      </c>
      <c r="O51" s="41">
        <f t="shared" si="3"/>
        <v>0.62569421211107401</v>
      </c>
      <c r="P51" s="41">
        <f t="shared" si="4"/>
        <v>0.19779190364670457</v>
      </c>
    </row>
    <row r="52" spans="1:16" ht="19.95" customHeight="1">
      <c r="A52" s="49">
        <v>49</v>
      </c>
      <c r="B52" s="50" t="s">
        <v>72</v>
      </c>
      <c r="C52" s="51" t="s">
        <v>16</v>
      </c>
      <c r="D52" s="51" t="s">
        <v>17</v>
      </c>
      <c r="E52" s="52">
        <v>14813500000</v>
      </c>
      <c r="F52" s="52">
        <v>6722300000</v>
      </c>
      <c r="G52" s="52">
        <v>3329800000</v>
      </c>
      <c r="H52" s="52" t="s">
        <v>757</v>
      </c>
      <c r="I52" s="52">
        <v>1712500000</v>
      </c>
      <c r="J52" s="51" t="s">
        <v>70</v>
      </c>
      <c r="K52" s="51" t="s">
        <v>73</v>
      </c>
      <c r="L52" s="41">
        <f t="shared" si="0"/>
        <v>8091200000</v>
      </c>
      <c r="M52" s="41">
        <f t="shared" si="1"/>
        <v>5042300000</v>
      </c>
      <c r="N52" s="41">
        <f t="shared" si="2"/>
        <v>3048900000</v>
      </c>
      <c r="O52" s="41">
        <f t="shared" si="3"/>
        <v>0.6596145407904952</v>
      </c>
      <c r="P52" s="41">
        <f t="shared" si="4"/>
        <v>0.20581901643770883</v>
      </c>
    </row>
    <row r="53" spans="1:16" ht="19.95" customHeight="1">
      <c r="A53" s="49">
        <v>50</v>
      </c>
      <c r="B53" s="50" t="s">
        <v>72</v>
      </c>
      <c r="C53" s="51" t="s">
        <v>18</v>
      </c>
      <c r="D53" s="51" t="s">
        <v>19</v>
      </c>
      <c r="E53" s="52">
        <v>16378600000</v>
      </c>
      <c r="F53" s="52">
        <v>7685700000</v>
      </c>
      <c r="G53" s="52">
        <v>3667900000</v>
      </c>
      <c r="H53" s="52" t="s">
        <v>757</v>
      </c>
      <c r="I53" s="52">
        <v>1897600000</v>
      </c>
      <c r="J53" s="51" t="s">
        <v>70</v>
      </c>
      <c r="K53" s="51" t="s">
        <v>73</v>
      </c>
      <c r="L53" s="41">
        <f t="shared" si="0"/>
        <v>8692900000</v>
      </c>
      <c r="M53" s="41">
        <f t="shared" si="1"/>
        <v>5565500000</v>
      </c>
      <c r="N53" s="41">
        <f t="shared" si="2"/>
        <v>3127400000</v>
      </c>
      <c r="O53" s="41">
        <f t="shared" si="3"/>
        <v>0.66019684222094677</v>
      </c>
      <c r="P53" s="41">
        <f t="shared" si="4"/>
        <v>0.19094428095197391</v>
      </c>
    </row>
    <row r="54" spans="1:16" ht="19.95" customHeight="1">
      <c r="A54" s="49">
        <v>51</v>
      </c>
      <c r="B54" s="50" t="s">
        <v>72</v>
      </c>
      <c r="C54" s="51" t="s">
        <v>20</v>
      </c>
      <c r="D54" s="51" t="s">
        <v>21</v>
      </c>
      <c r="E54" s="52">
        <v>16453200000</v>
      </c>
      <c r="F54" s="52">
        <v>7433500000</v>
      </c>
      <c r="G54" s="52">
        <v>3676500000</v>
      </c>
      <c r="H54" s="52" t="s">
        <v>757</v>
      </c>
      <c r="I54" s="52">
        <v>2009700000</v>
      </c>
      <c r="J54" s="51" t="s">
        <v>70</v>
      </c>
      <c r="K54" s="51" t="s">
        <v>73</v>
      </c>
      <c r="L54" s="41">
        <f t="shared" si="0"/>
        <v>9019700000</v>
      </c>
      <c r="M54" s="41">
        <f t="shared" si="1"/>
        <v>5686200000</v>
      </c>
      <c r="N54" s="41">
        <f t="shared" si="2"/>
        <v>3333500000</v>
      </c>
      <c r="O54" s="41">
        <f t="shared" si="3"/>
        <v>0.65440157537743415</v>
      </c>
      <c r="P54" s="41">
        <f t="shared" si="4"/>
        <v>0.20260496438382808</v>
      </c>
    </row>
    <row r="55" spans="1:16" ht="19.95" customHeight="1">
      <c r="A55" s="49">
        <v>52</v>
      </c>
      <c r="B55" s="50" t="s">
        <v>74</v>
      </c>
      <c r="C55" s="51" t="s">
        <v>11</v>
      </c>
      <c r="D55" s="51" t="s">
        <v>12</v>
      </c>
      <c r="E55" s="52">
        <v>25364000000</v>
      </c>
      <c r="F55" s="52">
        <v>17074000000</v>
      </c>
      <c r="G55" s="52" t="s">
        <v>757</v>
      </c>
      <c r="H55" s="52" t="s">
        <v>757</v>
      </c>
      <c r="I55" s="52">
        <v>3727000000</v>
      </c>
      <c r="J55" s="51" t="s">
        <v>75</v>
      </c>
      <c r="K55" s="51" t="s">
        <v>76</v>
      </c>
      <c r="L55" s="41">
        <f t="shared" si="0"/>
        <v>8290000000</v>
      </c>
      <c r="M55" s="41">
        <f t="shared" si="1"/>
        <v>3727000000</v>
      </c>
      <c r="N55" s="41">
        <f t="shared" si="2"/>
        <v>4563000000</v>
      </c>
      <c r="O55" s="41">
        <f t="shared" si="3"/>
        <v>0.85305945434474051</v>
      </c>
      <c r="P55" s="41">
        <f t="shared" si="4"/>
        <v>0.17990064658571203</v>
      </c>
    </row>
    <row r="56" spans="1:16" ht="19.95" customHeight="1">
      <c r="A56" s="53">
        <v>53</v>
      </c>
      <c r="B56" s="54" t="s">
        <v>74</v>
      </c>
      <c r="C56" s="55" t="s">
        <v>16</v>
      </c>
      <c r="D56" s="55" t="s">
        <v>17</v>
      </c>
      <c r="E56" s="56">
        <v>23939000000</v>
      </c>
      <c r="F56" s="56">
        <v>15341000000</v>
      </c>
      <c r="G56" s="56" t="s">
        <v>757</v>
      </c>
      <c r="H56" s="56" t="s">
        <v>757</v>
      </c>
      <c r="I56" s="56">
        <v>3489000000</v>
      </c>
      <c r="J56" s="55" t="s">
        <v>75</v>
      </c>
      <c r="K56" s="55" t="s">
        <v>76</v>
      </c>
      <c r="L56" s="57">
        <f t="shared" si="0"/>
        <v>8598000000</v>
      </c>
      <c r="M56" s="57">
        <f t="shared" si="1"/>
        <v>3489000000</v>
      </c>
      <c r="N56" s="57">
        <f t="shared" si="2"/>
        <v>5109000000</v>
      </c>
      <c r="O56" s="57">
        <f t="shared" si="3"/>
        <v>0.85425456368269348</v>
      </c>
      <c r="P56" s="57">
        <f t="shared" si="4"/>
        <v>0.21341743598312377</v>
      </c>
    </row>
    <row r="57" spans="1:16" ht="19.95" customHeight="1">
      <c r="A57" s="49">
        <v>54</v>
      </c>
      <c r="B57" s="50" t="s">
        <v>74</v>
      </c>
      <c r="C57" s="51" t="s">
        <v>18</v>
      </c>
      <c r="D57" s="51" t="s">
        <v>19</v>
      </c>
      <c r="E57" s="52">
        <v>22728000000</v>
      </c>
      <c r="F57" s="52">
        <v>14373000000</v>
      </c>
      <c r="G57" s="52" t="s">
        <v>757</v>
      </c>
      <c r="H57" s="52" t="s">
        <v>757</v>
      </c>
      <c r="I57" s="52">
        <v>3547000000</v>
      </c>
      <c r="J57" s="51" t="s">
        <v>75</v>
      </c>
      <c r="K57" s="51" t="s">
        <v>76</v>
      </c>
      <c r="L57" s="41">
        <f t="shared" si="0"/>
        <v>8355000000</v>
      </c>
      <c r="M57" s="41">
        <f t="shared" si="1"/>
        <v>3547000000</v>
      </c>
      <c r="N57" s="41">
        <f t="shared" si="2"/>
        <v>4808000000</v>
      </c>
      <c r="O57" s="41">
        <f t="shared" si="3"/>
        <v>0.84393699401619149</v>
      </c>
      <c r="P57" s="41">
        <f t="shared" si="4"/>
        <v>0.21154523055262231</v>
      </c>
    </row>
    <row r="58" spans="1:16" ht="19.95" customHeight="1">
      <c r="A58" s="49">
        <v>55</v>
      </c>
      <c r="B58" s="50" t="s">
        <v>74</v>
      </c>
      <c r="C58" s="51" t="s">
        <v>20</v>
      </c>
      <c r="D58" s="51" t="s">
        <v>21</v>
      </c>
      <c r="E58" s="52">
        <v>20872000000</v>
      </c>
      <c r="F58" s="52">
        <v>13049000000</v>
      </c>
      <c r="G58" s="52" t="s">
        <v>757</v>
      </c>
      <c r="H58" s="52" t="s">
        <v>757</v>
      </c>
      <c r="I58" s="52">
        <v>3672000000</v>
      </c>
      <c r="J58" s="51" t="s">
        <v>75</v>
      </c>
      <c r="K58" s="51" t="s">
        <v>76</v>
      </c>
      <c r="L58" s="41">
        <f t="shared" si="0"/>
        <v>7823000000</v>
      </c>
      <c r="M58" s="41">
        <f t="shared" si="1"/>
        <v>3672000000</v>
      </c>
      <c r="N58" s="41">
        <f t="shared" si="2"/>
        <v>4151000000</v>
      </c>
      <c r="O58" s="41">
        <f t="shared" si="3"/>
        <v>0.82407052510540435</v>
      </c>
      <c r="P58" s="41">
        <f t="shared" si="4"/>
        <v>0.19887888079724031</v>
      </c>
    </row>
    <row r="59" spans="1:16" ht="19.95" customHeight="1">
      <c r="A59" s="49">
        <v>56</v>
      </c>
      <c r="B59" s="50" t="s">
        <v>77</v>
      </c>
      <c r="C59" s="51" t="s">
        <v>11</v>
      </c>
      <c r="D59" s="51" t="s">
        <v>12</v>
      </c>
      <c r="E59" s="52">
        <v>71214000000</v>
      </c>
      <c r="F59" s="52">
        <v>37745000000</v>
      </c>
      <c r="G59" s="52">
        <v>21491000000</v>
      </c>
      <c r="H59" s="52" t="s">
        <v>757</v>
      </c>
      <c r="I59" s="52" t="s">
        <v>757</v>
      </c>
      <c r="J59" s="51" t="s">
        <v>75</v>
      </c>
      <c r="K59" s="51" t="s">
        <v>78</v>
      </c>
      <c r="L59" s="41">
        <f t="shared" si="0"/>
        <v>33469000000</v>
      </c>
      <c r="M59" s="41">
        <f t="shared" si="1"/>
        <v>21491000000</v>
      </c>
      <c r="N59" s="41">
        <f t="shared" si="2"/>
        <v>11978000000</v>
      </c>
      <c r="O59" s="41">
        <f t="shared" si="3"/>
        <v>0.69821945123149942</v>
      </c>
      <c r="P59" s="41">
        <f t="shared" si="4"/>
        <v>0.16819726458280676</v>
      </c>
    </row>
    <row r="60" spans="1:16" ht="19.95" customHeight="1">
      <c r="A60" s="53">
        <v>57</v>
      </c>
      <c r="B60" s="54" t="s">
        <v>77</v>
      </c>
      <c r="C60" s="55" t="s">
        <v>16</v>
      </c>
      <c r="D60" s="55" t="s">
        <v>17</v>
      </c>
      <c r="E60" s="56">
        <v>68874000000</v>
      </c>
      <c r="F60" s="56">
        <v>34660000000</v>
      </c>
      <c r="G60" s="56">
        <v>22005000000</v>
      </c>
      <c r="H60" s="56" t="s">
        <v>757</v>
      </c>
      <c r="I60" s="56" t="s">
        <v>757</v>
      </c>
      <c r="J60" s="55" t="s">
        <v>75</v>
      </c>
      <c r="K60" s="55" t="s">
        <v>78</v>
      </c>
      <c r="L60" s="57">
        <f t="shared" si="0"/>
        <v>34214000000</v>
      </c>
      <c r="M60" s="57">
        <f t="shared" si="1"/>
        <v>22005000000</v>
      </c>
      <c r="N60" s="57">
        <f t="shared" si="2"/>
        <v>12209000000</v>
      </c>
      <c r="O60" s="57">
        <f t="shared" si="3"/>
        <v>0.68050352818189741</v>
      </c>
      <c r="P60" s="57">
        <f t="shared" si="4"/>
        <v>0.17726573162586753</v>
      </c>
    </row>
    <row r="61" spans="1:16" ht="19.95" customHeight="1">
      <c r="A61" s="49">
        <v>58</v>
      </c>
      <c r="B61" s="50" t="s">
        <v>77</v>
      </c>
      <c r="C61" s="51" t="s">
        <v>18</v>
      </c>
      <c r="D61" s="51" t="s">
        <v>19</v>
      </c>
      <c r="E61" s="52">
        <v>64406000000</v>
      </c>
      <c r="F61" s="52">
        <v>33611000000</v>
      </c>
      <c r="G61" s="52">
        <v>18491000000</v>
      </c>
      <c r="H61" s="52" t="s">
        <v>757</v>
      </c>
      <c r="I61" s="52" t="s">
        <v>757</v>
      </c>
      <c r="J61" s="51" t="s">
        <v>75</v>
      </c>
      <c r="K61" s="51" t="s">
        <v>78</v>
      </c>
      <c r="L61" s="41">
        <f t="shared" si="0"/>
        <v>30795000000</v>
      </c>
      <c r="M61" s="41">
        <f t="shared" si="1"/>
        <v>18491000000</v>
      </c>
      <c r="N61" s="41">
        <f t="shared" si="2"/>
        <v>12304000000</v>
      </c>
      <c r="O61" s="41">
        <f t="shared" si="3"/>
        <v>0.71289941930876011</v>
      </c>
      <c r="P61" s="41">
        <f t="shared" si="4"/>
        <v>0.19103810204018259</v>
      </c>
    </row>
    <row r="62" spans="1:16" ht="19.95" customHeight="1">
      <c r="A62" s="49">
        <v>59</v>
      </c>
      <c r="B62" s="50" t="s">
        <v>77</v>
      </c>
      <c r="C62" s="51" t="s">
        <v>20</v>
      </c>
      <c r="D62" s="51" t="s">
        <v>21</v>
      </c>
      <c r="E62" s="52">
        <v>58327000000</v>
      </c>
      <c r="F62" s="52">
        <v>36581000000</v>
      </c>
      <c r="G62" s="52">
        <v>16417000000</v>
      </c>
      <c r="H62" s="52" t="s">
        <v>757</v>
      </c>
      <c r="I62" s="52" t="s">
        <v>757</v>
      </c>
      <c r="J62" s="51" t="s">
        <v>75</v>
      </c>
      <c r="K62" s="51" t="s">
        <v>78</v>
      </c>
      <c r="L62" s="41">
        <f t="shared" si="0"/>
        <v>21746000000</v>
      </c>
      <c r="M62" s="41">
        <f t="shared" si="1"/>
        <v>16417000000</v>
      </c>
      <c r="N62" s="41">
        <f t="shared" si="2"/>
        <v>5329000000</v>
      </c>
      <c r="O62" s="41">
        <f t="shared" si="3"/>
        <v>0.71853515524542666</v>
      </c>
      <c r="P62" s="41">
        <f t="shared" si="4"/>
        <v>9.1364205256570713E-2</v>
      </c>
    </row>
    <row r="63" spans="1:16" ht="19.95" customHeight="1">
      <c r="A63" s="49">
        <v>60</v>
      </c>
      <c r="B63" s="50" t="s">
        <v>79</v>
      </c>
      <c r="C63" s="51" t="s">
        <v>11</v>
      </c>
      <c r="D63" s="51" t="s">
        <v>12</v>
      </c>
      <c r="E63" s="52">
        <v>958511000</v>
      </c>
      <c r="F63" s="52">
        <v>386355000</v>
      </c>
      <c r="G63" s="52">
        <v>61732000</v>
      </c>
      <c r="H63" s="52" t="s">
        <v>757</v>
      </c>
      <c r="I63" s="52">
        <v>325173000</v>
      </c>
      <c r="J63" s="51" t="s">
        <v>80</v>
      </c>
      <c r="K63" s="51" t="s">
        <v>81</v>
      </c>
      <c r="L63" s="41">
        <f t="shared" si="0"/>
        <v>572156000</v>
      </c>
      <c r="M63" s="41">
        <f t="shared" si="1"/>
        <v>386905000</v>
      </c>
      <c r="N63" s="41">
        <f t="shared" si="2"/>
        <v>185251000</v>
      </c>
      <c r="O63" s="41">
        <f t="shared" si="3"/>
        <v>0.59634787707183334</v>
      </c>
      <c r="P63" s="41">
        <f t="shared" si="4"/>
        <v>0.19326956080837884</v>
      </c>
    </row>
    <row r="64" spans="1:16" ht="19.95" customHeight="1">
      <c r="A64" s="49">
        <v>61</v>
      </c>
      <c r="B64" s="50" t="s">
        <v>79</v>
      </c>
      <c r="C64" s="51" t="s">
        <v>16</v>
      </c>
      <c r="D64" s="51" t="s">
        <v>17</v>
      </c>
      <c r="E64" s="52">
        <v>974053000</v>
      </c>
      <c r="F64" s="52">
        <v>380051000</v>
      </c>
      <c r="G64" s="52">
        <v>53073000</v>
      </c>
      <c r="H64" s="52" t="s">
        <v>757</v>
      </c>
      <c r="I64" s="52">
        <v>291910000</v>
      </c>
      <c r="J64" s="51" t="s">
        <v>80</v>
      </c>
      <c r="K64" s="51" t="s">
        <v>81</v>
      </c>
      <c r="L64" s="41">
        <f t="shared" si="0"/>
        <v>594002000</v>
      </c>
      <c r="M64" s="41">
        <f t="shared" si="1"/>
        <v>344983000</v>
      </c>
      <c r="N64" s="41">
        <f t="shared" si="2"/>
        <v>249019000</v>
      </c>
      <c r="O64" s="41">
        <f t="shared" si="3"/>
        <v>0.64582728044572524</v>
      </c>
      <c r="P64" s="41">
        <f t="shared" si="4"/>
        <v>0.25565241316437609</v>
      </c>
    </row>
    <row r="65" spans="1:16" ht="19.95" customHeight="1">
      <c r="A65" s="49">
        <v>62</v>
      </c>
      <c r="B65" s="50" t="s">
        <v>79</v>
      </c>
      <c r="C65" s="51" t="s">
        <v>18</v>
      </c>
      <c r="D65" s="51" t="s">
        <v>19</v>
      </c>
      <c r="E65" s="52">
        <v>984363000</v>
      </c>
      <c r="F65" s="52">
        <v>380964000</v>
      </c>
      <c r="G65" s="52">
        <v>56621000</v>
      </c>
      <c r="H65" s="52" t="s">
        <v>757</v>
      </c>
      <c r="I65" s="52">
        <v>282608000</v>
      </c>
      <c r="J65" s="51" t="s">
        <v>80</v>
      </c>
      <c r="K65" s="51" t="s">
        <v>81</v>
      </c>
      <c r="L65" s="41">
        <f t="shared" si="0"/>
        <v>603399000</v>
      </c>
      <c r="M65" s="41">
        <f t="shared" si="1"/>
        <v>339229000</v>
      </c>
      <c r="N65" s="41">
        <f t="shared" si="2"/>
        <v>264170000</v>
      </c>
      <c r="O65" s="41">
        <f t="shared" si="3"/>
        <v>0.65538221164346888</v>
      </c>
      <c r="P65" s="41">
        <f t="shared" si="4"/>
        <v>0.2683664461179463</v>
      </c>
    </row>
    <row r="66" spans="1:16" ht="19.95" customHeight="1">
      <c r="A66" s="49">
        <v>63</v>
      </c>
      <c r="B66" s="50" t="s">
        <v>79</v>
      </c>
      <c r="C66" s="51" t="s">
        <v>20</v>
      </c>
      <c r="D66" s="51" t="s">
        <v>21</v>
      </c>
      <c r="E66" s="52">
        <v>981310000</v>
      </c>
      <c r="F66" s="52">
        <v>365248000</v>
      </c>
      <c r="G66" s="52">
        <v>53546000</v>
      </c>
      <c r="H66" s="52" t="s">
        <v>757</v>
      </c>
      <c r="I66" s="52">
        <v>306301000</v>
      </c>
      <c r="J66" s="51" t="s">
        <v>80</v>
      </c>
      <c r="K66" s="51" t="s">
        <v>81</v>
      </c>
      <c r="L66" s="41">
        <f t="shared" si="0"/>
        <v>616062000</v>
      </c>
      <c r="M66" s="41">
        <f t="shared" si="1"/>
        <v>359847000</v>
      </c>
      <c r="N66" s="41">
        <f t="shared" si="2"/>
        <v>256215000</v>
      </c>
      <c r="O66" s="41">
        <f t="shared" si="3"/>
        <v>0.63329936513436125</v>
      </c>
      <c r="P66" s="41">
        <f t="shared" si="4"/>
        <v>0.26109486298926943</v>
      </c>
    </row>
    <row r="67" spans="1:16" ht="19.95" customHeight="1">
      <c r="A67" s="49">
        <v>64</v>
      </c>
      <c r="B67" s="50" t="s">
        <v>82</v>
      </c>
      <c r="C67" s="51" t="s">
        <v>11</v>
      </c>
      <c r="D67" s="51" t="s">
        <v>17</v>
      </c>
      <c r="E67" s="52">
        <v>9047657000</v>
      </c>
      <c r="F67" s="52">
        <v>6709936000</v>
      </c>
      <c r="G67" s="52" t="s">
        <v>757</v>
      </c>
      <c r="H67" s="52" t="s">
        <v>757</v>
      </c>
      <c r="I67" s="52">
        <v>1470287000</v>
      </c>
      <c r="J67" s="51" t="s">
        <v>75</v>
      </c>
      <c r="K67" s="51" t="s">
        <v>83</v>
      </c>
      <c r="L67" s="41">
        <f t="shared" ref="L67:L130" si="5">Total_Revenue-COGS</f>
        <v>2337721000</v>
      </c>
      <c r="M67" s="41">
        <f t="shared" ref="M67:M130" si="6">SGAA+RandD+OOI</f>
        <v>1470287000</v>
      </c>
      <c r="N67" s="41">
        <f t="shared" ref="N67:N130" si="7">Gross_Profit-Total_Operating_Expenses</f>
        <v>867434000</v>
      </c>
      <c r="O67" s="41">
        <f t="shared" ref="O67:O130" si="8">1-(Total_Operating_Expenses/Total_Revenue)</f>
        <v>0.83749527640139321</v>
      </c>
      <c r="P67" s="41">
        <f t="shared" ref="P67:P130" si="9">Operating_Profit/Total_Revenue</f>
        <v>9.5873882044821113E-2</v>
      </c>
    </row>
    <row r="68" spans="1:16" ht="19.95" customHeight="1">
      <c r="A68" s="53">
        <v>65</v>
      </c>
      <c r="B68" s="54" t="s">
        <v>82</v>
      </c>
      <c r="C68" s="55" t="s">
        <v>16</v>
      </c>
      <c r="D68" s="55" t="s">
        <v>19</v>
      </c>
      <c r="E68" s="56">
        <v>10381653000</v>
      </c>
      <c r="F68" s="56">
        <v>8093563000</v>
      </c>
      <c r="G68" s="56" t="s">
        <v>757</v>
      </c>
      <c r="H68" s="56" t="s">
        <v>757</v>
      </c>
      <c r="I68" s="56">
        <v>1485558000</v>
      </c>
      <c r="J68" s="55" t="s">
        <v>75</v>
      </c>
      <c r="K68" s="55" t="s">
        <v>83</v>
      </c>
      <c r="L68" s="57">
        <f t="shared" si="5"/>
        <v>2288090000</v>
      </c>
      <c r="M68" s="57">
        <f t="shared" si="6"/>
        <v>1485558000</v>
      </c>
      <c r="N68" s="57">
        <f t="shared" si="7"/>
        <v>802532000</v>
      </c>
      <c r="O68" s="57">
        <f t="shared" si="8"/>
        <v>0.85690544656038881</v>
      </c>
      <c r="P68" s="57">
        <f t="shared" si="9"/>
        <v>7.7302911203061792E-2</v>
      </c>
    </row>
    <row r="69" spans="1:16" ht="19.95" customHeight="1">
      <c r="A69" s="49">
        <v>66</v>
      </c>
      <c r="B69" s="50" t="s">
        <v>82</v>
      </c>
      <c r="C69" s="51" t="s">
        <v>18</v>
      </c>
      <c r="D69" s="51" t="s">
        <v>21</v>
      </c>
      <c r="E69" s="52">
        <v>10325494000</v>
      </c>
      <c r="F69" s="52">
        <v>8666624000</v>
      </c>
      <c r="G69" s="52" t="s">
        <v>757</v>
      </c>
      <c r="H69" s="52" t="s">
        <v>757</v>
      </c>
      <c r="I69" s="52">
        <v>1402573000</v>
      </c>
      <c r="J69" s="51" t="s">
        <v>75</v>
      </c>
      <c r="K69" s="51" t="s">
        <v>83</v>
      </c>
      <c r="L69" s="41">
        <f t="shared" si="5"/>
        <v>1658870000</v>
      </c>
      <c r="M69" s="41">
        <f t="shared" si="6"/>
        <v>1402573000</v>
      </c>
      <c r="N69" s="41">
        <f t="shared" si="7"/>
        <v>256297000</v>
      </c>
      <c r="O69" s="41">
        <f t="shared" si="8"/>
        <v>0.86416407776712667</v>
      </c>
      <c r="P69" s="41">
        <f t="shared" si="9"/>
        <v>2.4821766396842609E-2</v>
      </c>
    </row>
    <row r="70" spans="1:16" ht="19.95" customHeight="1">
      <c r="A70" s="49">
        <v>67</v>
      </c>
      <c r="B70" s="50" t="s">
        <v>82</v>
      </c>
      <c r="C70" s="51" t="s">
        <v>20</v>
      </c>
      <c r="D70" s="51" t="s">
        <v>84</v>
      </c>
      <c r="E70" s="52">
        <v>7531780000</v>
      </c>
      <c r="F70" s="52">
        <v>5251228000</v>
      </c>
      <c r="G70" s="52" t="s">
        <v>757</v>
      </c>
      <c r="H70" s="52" t="s">
        <v>757</v>
      </c>
      <c r="I70" s="52">
        <v>1351314000</v>
      </c>
      <c r="J70" s="51" t="s">
        <v>75</v>
      </c>
      <c r="K70" s="51" t="s">
        <v>83</v>
      </c>
      <c r="L70" s="41">
        <f t="shared" si="5"/>
        <v>2280552000</v>
      </c>
      <c r="M70" s="41">
        <f t="shared" si="6"/>
        <v>1351314000</v>
      </c>
      <c r="N70" s="41">
        <f t="shared" si="7"/>
        <v>929238000</v>
      </c>
      <c r="O70" s="41">
        <f t="shared" si="8"/>
        <v>0.82058504098632723</v>
      </c>
      <c r="P70" s="41">
        <f t="shared" si="9"/>
        <v>0.12337561638815792</v>
      </c>
    </row>
    <row r="71" spans="1:16" ht="19.95" customHeight="1">
      <c r="A71" s="49">
        <v>72</v>
      </c>
      <c r="B71" s="50" t="s">
        <v>85</v>
      </c>
      <c r="C71" s="51" t="s">
        <v>11</v>
      </c>
      <c r="D71" s="51" t="s">
        <v>12</v>
      </c>
      <c r="E71" s="52">
        <v>1373947000</v>
      </c>
      <c r="F71" s="52">
        <v>529900000</v>
      </c>
      <c r="G71" s="52">
        <v>433448000</v>
      </c>
      <c r="H71" s="52">
        <v>74744000</v>
      </c>
      <c r="I71" s="52">
        <v>20962000</v>
      </c>
      <c r="J71" s="51" t="s">
        <v>31</v>
      </c>
      <c r="K71" s="51" t="s">
        <v>86</v>
      </c>
      <c r="L71" s="41">
        <f t="shared" si="5"/>
        <v>844047000</v>
      </c>
      <c r="M71" s="41">
        <f t="shared" si="6"/>
        <v>529154000</v>
      </c>
      <c r="N71" s="41">
        <f t="shared" si="7"/>
        <v>314893000</v>
      </c>
      <c r="O71" s="41">
        <f t="shared" si="8"/>
        <v>0.61486578448804796</v>
      </c>
      <c r="P71" s="41">
        <f t="shared" si="9"/>
        <v>0.2291886077119423</v>
      </c>
    </row>
    <row r="72" spans="1:16" ht="19.95" customHeight="1">
      <c r="A72" s="49">
        <v>73</v>
      </c>
      <c r="B72" s="50" t="s">
        <v>85</v>
      </c>
      <c r="C72" s="51" t="s">
        <v>16</v>
      </c>
      <c r="D72" s="51" t="s">
        <v>17</v>
      </c>
      <c r="E72" s="52">
        <v>1577922000</v>
      </c>
      <c r="F72" s="52">
        <v>511087000</v>
      </c>
      <c r="G72" s="52">
        <v>535598000</v>
      </c>
      <c r="H72" s="52">
        <v>93879000</v>
      </c>
      <c r="I72" s="52">
        <v>21547000</v>
      </c>
      <c r="J72" s="51" t="s">
        <v>31</v>
      </c>
      <c r="K72" s="51" t="s">
        <v>86</v>
      </c>
      <c r="L72" s="41">
        <f t="shared" si="5"/>
        <v>1066835000</v>
      </c>
      <c r="M72" s="41">
        <f t="shared" si="6"/>
        <v>651024000</v>
      </c>
      <c r="N72" s="41">
        <f t="shared" si="7"/>
        <v>415811000</v>
      </c>
      <c r="O72" s="41">
        <f t="shared" si="8"/>
        <v>0.58741686851441322</v>
      </c>
      <c r="P72" s="41">
        <f t="shared" si="9"/>
        <v>0.26351809531776604</v>
      </c>
    </row>
    <row r="73" spans="1:16" ht="19.95" customHeight="1">
      <c r="A73" s="49">
        <v>74</v>
      </c>
      <c r="B73" s="50" t="s">
        <v>85</v>
      </c>
      <c r="C73" s="51" t="s">
        <v>18</v>
      </c>
      <c r="D73" s="51" t="s">
        <v>19</v>
      </c>
      <c r="E73" s="52">
        <v>1963874000</v>
      </c>
      <c r="F73" s="52">
        <v>610943000</v>
      </c>
      <c r="G73" s="52">
        <v>704880000</v>
      </c>
      <c r="H73" s="52">
        <v>125286000</v>
      </c>
      <c r="I73" s="52">
        <v>32057000</v>
      </c>
      <c r="J73" s="51" t="s">
        <v>31</v>
      </c>
      <c r="K73" s="51" t="s">
        <v>86</v>
      </c>
      <c r="L73" s="41">
        <f t="shared" si="5"/>
        <v>1352931000</v>
      </c>
      <c r="M73" s="41">
        <f t="shared" si="6"/>
        <v>862223000</v>
      </c>
      <c r="N73" s="41">
        <f t="shared" si="7"/>
        <v>490708000</v>
      </c>
      <c r="O73" s="41">
        <f t="shared" si="8"/>
        <v>0.56095808590571494</v>
      </c>
      <c r="P73" s="41">
        <f t="shared" si="9"/>
        <v>0.24986735401558349</v>
      </c>
    </row>
    <row r="74" spans="1:16" ht="19.95" customHeight="1">
      <c r="A74" s="49">
        <v>75</v>
      </c>
      <c r="B74" s="50" t="s">
        <v>85</v>
      </c>
      <c r="C74" s="51" t="s">
        <v>20</v>
      </c>
      <c r="D74" s="51" t="s">
        <v>21</v>
      </c>
      <c r="E74" s="52">
        <v>2197448000</v>
      </c>
      <c r="F74" s="52">
        <v>725620000</v>
      </c>
      <c r="G74" s="52">
        <v>829253000</v>
      </c>
      <c r="H74" s="52">
        <v>148591000</v>
      </c>
      <c r="I74" s="52">
        <v>27067000</v>
      </c>
      <c r="J74" s="51" t="s">
        <v>31</v>
      </c>
      <c r="K74" s="51" t="s">
        <v>86</v>
      </c>
      <c r="L74" s="41">
        <f t="shared" si="5"/>
        <v>1471828000</v>
      </c>
      <c r="M74" s="41">
        <f t="shared" si="6"/>
        <v>1004911000</v>
      </c>
      <c r="N74" s="41">
        <f t="shared" si="7"/>
        <v>466917000</v>
      </c>
      <c r="O74" s="41">
        <f t="shared" si="8"/>
        <v>0.542691795209716</v>
      </c>
      <c r="P74" s="41">
        <f t="shared" si="9"/>
        <v>0.21248147851507748</v>
      </c>
    </row>
    <row r="75" spans="1:16" ht="19.95" customHeight="1">
      <c r="A75" s="49">
        <v>76</v>
      </c>
      <c r="B75" s="50" t="s">
        <v>87</v>
      </c>
      <c r="C75" s="51" t="s">
        <v>11</v>
      </c>
      <c r="D75" s="51" t="s">
        <v>12</v>
      </c>
      <c r="E75" s="52">
        <v>2519154000</v>
      </c>
      <c r="F75" s="52">
        <v>1620311000</v>
      </c>
      <c r="G75" s="52">
        <v>308456000</v>
      </c>
      <c r="H75" s="52">
        <v>78919000</v>
      </c>
      <c r="I75" s="52" t="s">
        <v>757</v>
      </c>
      <c r="J75" s="51" t="s">
        <v>88</v>
      </c>
      <c r="K75" s="51" t="s">
        <v>89</v>
      </c>
      <c r="L75" s="41">
        <f t="shared" si="5"/>
        <v>898843000</v>
      </c>
      <c r="M75" s="41">
        <f t="shared" si="6"/>
        <v>387375000</v>
      </c>
      <c r="N75" s="41">
        <f t="shared" si="7"/>
        <v>511468000</v>
      </c>
      <c r="O75" s="41">
        <f t="shared" si="8"/>
        <v>0.84622813849411349</v>
      </c>
      <c r="P75" s="41">
        <f t="shared" si="9"/>
        <v>0.20303165268975221</v>
      </c>
    </row>
    <row r="76" spans="1:16" ht="19.95" customHeight="1">
      <c r="A76" s="49">
        <v>77</v>
      </c>
      <c r="B76" s="50" t="s">
        <v>87</v>
      </c>
      <c r="C76" s="51" t="s">
        <v>16</v>
      </c>
      <c r="D76" s="51" t="s">
        <v>17</v>
      </c>
      <c r="E76" s="52">
        <v>2394270000</v>
      </c>
      <c r="F76" s="52">
        <v>1543799000</v>
      </c>
      <c r="G76" s="52">
        <v>158189000</v>
      </c>
      <c r="H76" s="52">
        <v>82246000</v>
      </c>
      <c r="I76" s="52" t="s">
        <v>757</v>
      </c>
      <c r="J76" s="51" t="s">
        <v>88</v>
      </c>
      <c r="K76" s="51" t="s">
        <v>89</v>
      </c>
      <c r="L76" s="41">
        <f t="shared" si="5"/>
        <v>850471000</v>
      </c>
      <c r="M76" s="41">
        <f t="shared" si="6"/>
        <v>240435000</v>
      </c>
      <c r="N76" s="41">
        <f t="shared" si="7"/>
        <v>610036000</v>
      </c>
      <c r="O76" s="41">
        <f t="shared" si="8"/>
        <v>0.89957899485020487</v>
      </c>
      <c r="P76" s="41">
        <f t="shared" si="9"/>
        <v>0.25478997773851736</v>
      </c>
    </row>
    <row r="77" spans="1:16" ht="19.95" customHeight="1">
      <c r="A77" s="49">
        <v>78</v>
      </c>
      <c r="B77" s="50" t="s">
        <v>87</v>
      </c>
      <c r="C77" s="51" t="s">
        <v>18</v>
      </c>
      <c r="D77" s="51" t="s">
        <v>19</v>
      </c>
      <c r="E77" s="52">
        <v>2445548000</v>
      </c>
      <c r="F77" s="52">
        <v>1674700000</v>
      </c>
      <c r="G77" s="52">
        <v>355135000</v>
      </c>
      <c r="H77" s="52">
        <v>88310000</v>
      </c>
      <c r="I77" s="52" t="s">
        <v>757</v>
      </c>
      <c r="J77" s="51" t="s">
        <v>88</v>
      </c>
      <c r="K77" s="51" t="s">
        <v>89</v>
      </c>
      <c r="L77" s="41">
        <f t="shared" si="5"/>
        <v>770848000</v>
      </c>
      <c r="M77" s="41">
        <f t="shared" si="6"/>
        <v>443445000</v>
      </c>
      <c r="N77" s="41">
        <f t="shared" si="7"/>
        <v>327403000</v>
      </c>
      <c r="O77" s="41">
        <f t="shared" si="8"/>
        <v>0.81867254292289493</v>
      </c>
      <c r="P77" s="41">
        <f t="shared" si="9"/>
        <v>0.13387715146053156</v>
      </c>
    </row>
    <row r="78" spans="1:16" ht="19.95" customHeight="1">
      <c r="A78" s="49">
        <v>79</v>
      </c>
      <c r="B78" s="50" t="s">
        <v>87</v>
      </c>
      <c r="C78" s="51" t="s">
        <v>20</v>
      </c>
      <c r="D78" s="51" t="s">
        <v>21</v>
      </c>
      <c r="E78" s="52">
        <v>3651335000</v>
      </c>
      <c r="F78" s="52">
        <v>2454463000</v>
      </c>
      <c r="G78" s="52">
        <v>512274000</v>
      </c>
      <c r="H78" s="52">
        <v>102871000</v>
      </c>
      <c r="I78" s="52" t="s">
        <v>757</v>
      </c>
      <c r="J78" s="51" t="s">
        <v>88</v>
      </c>
      <c r="K78" s="51" t="s">
        <v>89</v>
      </c>
      <c r="L78" s="41">
        <f t="shared" si="5"/>
        <v>1196872000</v>
      </c>
      <c r="M78" s="41">
        <f t="shared" si="6"/>
        <v>615145000</v>
      </c>
      <c r="N78" s="41">
        <f t="shared" si="7"/>
        <v>581727000</v>
      </c>
      <c r="O78" s="41">
        <f t="shared" si="8"/>
        <v>0.831528742227158</v>
      </c>
      <c r="P78" s="41">
        <f t="shared" si="9"/>
        <v>0.15931898880820303</v>
      </c>
    </row>
    <row r="79" spans="1:16" ht="19.95" customHeight="1">
      <c r="A79" s="49">
        <v>80</v>
      </c>
      <c r="B79" s="50" t="s">
        <v>90</v>
      </c>
      <c r="C79" s="51" t="s">
        <v>11</v>
      </c>
      <c r="D79" s="51" t="s">
        <v>12</v>
      </c>
      <c r="E79" s="52">
        <v>4657000000</v>
      </c>
      <c r="F79" s="52">
        <v>2319000000</v>
      </c>
      <c r="G79" s="52">
        <v>1542000000</v>
      </c>
      <c r="H79" s="52" t="s">
        <v>757</v>
      </c>
      <c r="I79" s="52">
        <v>264000000</v>
      </c>
      <c r="J79" s="51" t="s">
        <v>14</v>
      </c>
      <c r="K79" s="51" t="s">
        <v>15</v>
      </c>
      <c r="L79" s="41">
        <f t="shared" si="5"/>
        <v>2338000000</v>
      </c>
      <c r="M79" s="41">
        <f t="shared" si="6"/>
        <v>1806000000</v>
      </c>
      <c r="N79" s="41">
        <f t="shared" si="7"/>
        <v>532000000</v>
      </c>
      <c r="O79" s="41">
        <f t="shared" si="8"/>
        <v>0.61219669315009662</v>
      </c>
      <c r="P79" s="41">
        <f t="shared" si="9"/>
        <v>0.11423663302555292</v>
      </c>
    </row>
    <row r="80" spans="1:16" ht="19.95" customHeight="1">
      <c r="A80" s="49">
        <v>81</v>
      </c>
      <c r="B80" s="50" t="s">
        <v>90</v>
      </c>
      <c r="C80" s="51" t="s">
        <v>16</v>
      </c>
      <c r="D80" s="51" t="s">
        <v>17</v>
      </c>
      <c r="E80" s="52">
        <v>5156000000</v>
      </c>
      <c r="F80" s="52">
        <v>2355000000</v>
      </c>
      <c r="G80" s="52">
        <v>1693000000</v>
      </c>
      <c r="H80" s="52" t="s">
        <v>757</v>
      </c>
      <c r="I80" s="52">
        <v>270000000</v>
      </c>
      <c r="J80" s="51" t="s">
        <v>14</v>
      </c>
      <c r="K80" s="51" t="s">
        <v>15</v>
      </c>
      <c r="L80" s="41">
        <f t="shared" si="5"/>
        <v>2801000000</v>
      </c>
      <c r="M80" s="41">
        <f t="shared" si="6"/>
        <v>1963000000</v>
      </c>
      <c r="N80" s="41">
        <f t="shared" si="7"/>
        <v>838000000</v>
      </c>
      <c r="O80" s="41">
        <f t="shared" si="8"/>
        <v>0.61927851047323501</v>
      </c>
      <c r="P80" s="41">
        <f t="shared" si="9"/>
        <v>0.16252909231962762</v>
      </c>
    </row>
    <row r="81" spans="1:16" ht="19.95" customHeight="1">
      <c r="A81" s="49">
        <v>82</v>
      </c>
      <c r="B81" s="50" t="s">
        <v>90</v>
      </c>
      <c r="C81" s="51" t="s">
        <v>18</v>
      </c>
      <c r="D81" s="51" t="s">
        <v>19</v>
      </c>
      <c r="E81" s="52">
        <v>5368000000</v>
      </c>
      <c r="F81" s="52">
        <v>2325000000</v>
      </c>
      <c r="G81" s="52">
        <v>1817000000</v>
      </c>
      <c r="H81" s="52" t="s">
        <v>757</v>
      </c>
      <c r="I81" s="52">
        <v>294000000</v>
      </c>
      <c r="J81" s="51" t="s">
        <v>14</v>
      </c>
      <c r="K81" s="51" t="s">
        <v>15</v>
      </c>
      <c r="L81" s="41">
        <f t="shared" si="5"/>
        <v>3043000000</v>
      </c>
      <c r="M81" s="41">
        <f t="shared" si="6"/>
        <v>2111000000</v>
      </c>
      <c r="N81" s="41">
        <f t="shared" si="7"/>
        <v>932000000</v>
      </c>
      <c r="O81" s="41">
        <f t="shared" si="8"/>
        <v>0.60674366616989572</v>
      </c>
      <c r="P81" s="41">
        <f t="shared" si="9"/>
        <v>0.1736214605067064</v>
      </c>
    </row>
    <row r="82" spans="1:16" ht="19.95" customHeight="1">
      <c r="A82" s="49">
        <v>83</v>
      </c>
      <c r="B82" s="50" t="s">
        <v>90</v>
      </c>
      <c r="C82" s="51" t="s">
        <v>20</v>
      </c>
      <c r="D82" s="51" t="s">
        <v>21</v>
      </c>
      <c r="E82" s="52">
        <v>5598000000</v>
      </c>
      <c r="F82" s="52">
        <v>1935000000</v>
      </c>
      <c r="G82" s="52">
        <v>2013000000</v>
      </c>
      <c r="H82" s="52" t="s">
        <v>757</v>
      </c>
      <c r="I82" s="52">
        <v>320000000</v>
      </c>
      <c r="J82" s="51" t="s">
        <v>14</v>
      </c>
      <c r="K82" s="51" t="s">
        <v>15</v>
      </c>
      <c r="L82" s="41">
        <f t="shared" si="5"/>
        <v>3663000000</v>
      </c>
      <c r="M82" s="41">
        <f t="shared" si="6"/>
        <v>2333000000</v>
      </c>
      <c r="N82" s="41">
        <f t="shared" si="7"/>
        <v>1330000000</v>
      </c>
      <c r="O82" s="41">
        <f t="shared" si="8"/>
        <v>0.58324401571989992</v>
      </c>
      <c r="P82" s="41">
        <f t="shared" si="9"/>
        <v>0.2375848517327617</v>
      </c>
    </row>
    <row r="83" spans="1:16" ht="19.95" customHeight="1">
      <c r="A83" s="49">
        <v>84</v>
      </c>
      <c r="B83" s="50" t="s">
        <v>91</v>
      </c>
      <c r="C83" s="51" t="s">
        <v>11</v>
      </c>
      <c r="D83" s="51" t="s">
        <v>12</v>
      </c>
      <c r="E83" s="52">
        <v>33315000000</v>
      </c>
      <c r="F83" s="52">
        <v>21618000000</v>
      </c>
      <c r="G83" s="52" t="s">
        <v>757</v>
      </c>
      <c r="H83" s="52" t="s">
        <v>757</v>
      </c>
      <c r="I83" s="52">
        <v>8002000000</v>
      </c>
      <c r="J83" s="51" t="s">
        <v>75</v>
      </c>
      <c r="K83" s="51" t="s">
        <v>78</v>
      </c>
      <c r="L83" s="41">
        <f t="shared" si="5"/>
        <v>11697000000</v>
      </c>
      <c r="M83" s="41">
        <f t="shared" si="6"/>
        <v>8002000000</v>
      </c>
      <c r="N83" s="41">
        <f t="shared" si="7"/>
        <v>3695000000</v>
      </c>
      <c r="O83" s="41">
        <f t="shared" si="8"/>
        <v>0.759807894341888</v>
      </c>
      <c r="P83" s="41">
        <f t="shared" si="9"/>
        <v>0.11091100105057781</v>
      </c>
    </row>
    <row r="84" spans="1:16" ht="19.95" customHeight="1">
      <c r="A84" s="53">
        <v>85</v>
      </c>
      <c r="B84" s="54" t="s">
        <v>91</v>
      </c>
      <c r="C84" s="55" t="s">
        <v>16</v>
      </c>
      <c r="D84" s="55" t="s">
        <v>17</v>
      </c>
      <c r="E84" s="56">
        <v>34507000000</v>
      </c>
      <c r="F84" s="56">
        <v>19828000000</v>
      </c>
      <c r="G84" s="56">
        <v>1278000000</v>
      </c>
      <c r="H84" s="56" t="s">
        <v>757</v>
      </c>
      <c r="I84" s="56">
        <v>8389000000</v>
      </c>
      <c r="J84" s="55" t="s">
        <v>75</v>
      </c>
      <c r="K84" s="55" t="s">
        <v>78</v>
      </c>
      <c r="L84" s="57">
        <f t="shared" si="5"/>
        <v>14679000000</v>
      </c>
      <c r="M84" s="57">
        <f t="shared" si="6"/>
        <v>9667000000</v>
      </c>
      <c r="N84" s="57">
        <f t="shared" si="7"/>
        <v>5012000000</v>
      </c>
      <c r="O84" s="57">
        <f t="shared" si="8"/>
        <v>0.71985394267829717</v>
      </c>
      <c r="P84" s="57">
        <f t="shared" si="9"/>
        <v>0.1452458921378271</v>
      </c>
    </row>
    <row r="85" spans="1:16" ht="19.95" customHeight="1">
      <c r="A85" s="49">
        <v>86</v>
      </c>
      <c r="B85" s="50" t="s">
        <v>91</v>
      </c>
      <c r="C85" s="51" t="s">
        <v>18</v>
      </c>
      <c r="D85" s="51" t="s">
        <v>19</v>
      </c>
      <c r="E85" s="52">
        <v>35239000000</v>
      </c>
      <c r="F85" s="52">
        <v>21193000000</v>
      </c>
      <c r="G85" s="52">
        <v>919000000</v>
      </c>
      <c r="H85" s="52" t="s">
        <v>757</v>
      </c>
      <c r="I85" s="52">
        <v>8476000000</v>
      </c>
      <c r="J85" s="51" t="s">
        <v>75</v>
      </c>
      <c r="K85" s="51" t="s">
        <v>78</v>
      </c>
      <c r="L85" s="41">
        <f t="shared" si="5"/>
        <v>14046000000</v>
      </c>
      <c r="M85" s="41">
        <f t="shared" si="6"/>
        <v>9395000000</v>
      </c>
      <c r="N85" s="41">
        <f t="shared" si="7"/>
        <v>4651000000</v>
      </c>
      <c r="O85" s="41">
        <f t="shared" si="8"/>
        <v>0.73339198047617704</v>
      </c>
      <c r="P85" s="41">
        <f t="shared" si="9"/>
        <v>0.13198444904792986</v>
      </c>
    </row>
    <row r="86" spans="1:16" ht="19.95" customHeight="1">
      <c r="A86" s="49">
        <v>87</v>
      </c>
      <c r="B86" s="50" t="s">
        <v>91</v>
      </c>
      <c r="C86" s="51" t="s">
        <v>20</v>
      </c>
      <c r="D86" s="51" t="s">
        <v>21</v>
      </c>
      <c r="E86" s="52">
        <v>35653000000</v>
      </c>
      <c r="F86" s="52">
        <v>22837000000</v>
      </c>
      <c r="G86" s="52">
        <v>761000000</v>
      </c>
      <c r="H86" s="52" t="s">
        <v>757</v>
      </c>
      <c r="I86" s="52">
        <v>8445000000</v>
      </c>
      <c r="J86" s="51" t="s">
        <v>75</v>
      </c>
      <c r="K86" s="51" t="s">
        <v>78</v>
      </c>
      <c r="L86" s="41">
        <f t="shared" si="5"/>
        <v>12816000000</v>
      </c>
      <c r="M86" s="41">
        <f t="shared" si="6"/>
        <v>9206000000</v>
      </c>
      <c r="N86" s="41">
        <f t="shared" si="7"/>
        <v>3610000000</v>
      </c>
      <c r="O86" s="41">
        <f t="shared" si="8"/>
        <v>0.7417889097691639</v>
      </c>
      <c r="P86" s="41">
        <f t="shared" si="9"/>
        <v>0.10125375143746669</v>
      </c>
    </row>
    <row r="87" spans="1:16" ht="19.95" customHeight="1">
      <c r="A87" s="49">
        <v>88</v>
      </c>
      <c r="B87" s="50" t="s">
        <v>92</v>
      </c>
      <c r="C87" s="51" t="s">
        <v>11</v>
      </c>
      <c r="D87" s="51" t="s">
        <v>17</v>
      </c>
      <c r="E87" s="52">
        <v>2069600000</v>
      </c>
      <c r="F87" s="52">
        <v>1208100000</v>
      </c>
      <c r="G87" s="52">
        <v>483100000</v>
      </c>
      <c r="H87" s="52" t="s">
        <v>757</v>
      </c>
      <c r="I87" s="52" t="s">
        <v>757</v>
      </c>
      <c r="J87" s="51" t="s">
        <v>14</v>
      </c>
      <c r="K87" s="51" t="s">
        <v>93</v>
      </c>
      <c r="L87" s="41">
        <f t="shared" si="5"/>
        <v>861500000</v>
      </c>
      <c r="M87" s="41">
        <f t="shared" si="6"/>
        <v>483100000</v>
      </c>
      <c r="N87" s="41">
        <f t="shared" si="7"/>
        <v>378400000</v>
      </c>
      <c r="O87" s="41">
        <f t="shared" si="8"/>
        <v>0.76657325086973327</v>
      </c>
      <c r="P87" s="41">
        <f t="shared" si="9"/>
        <v>0.1828372632392733</v>
      </c>
    </row>
    <row r="88" spans="1:16" ht="19.95" customHeight="1">
      <c r="A88" s="49">
        <v>89</v>
      </c>
      <c r="B88" s="50" t="s">
        <v>92</v>
      </c>
      <c r="C88" s="51" t="s">
        <v>16</v>
      </c>
      <c r="D88" s="51" t="s">
        <v>19</v>
      </c>
      <c r="E88" s="52">
        <v>2118300000</v>
      </c>
      <c r="F88" s="52">
        <v>1264600000</v>
      </c>
      <c r="G88" s="52">
        <v>527400000</v>
      </c>
      <c r="H88" s="52" t="s">
        <v>757</v>
      </c>
      <c r="I88" s="52" t="s">
        <v>757</v>
      </c>
      <c r="J88" s="51" t="s">
        <v>14</v>
      </c>
      <c r="K88" s="51" t="s">
        <v>93</v>
      </c>
      <c r="L88" s="41">
        <f t="shared" si="5"/>
        <v>853700000</v>
      </c>
      <c r="M88" s="41">
        <f t="shared" si="6"/>
        <v>527400000</v>
      </c>
      <c r="N88" s="41">
        <f t="shared" si="7"/>
        <v>326300000</v>
      </c>
      <c r="O88" s="41">
        <f t="shared" si="8"/>
        <v>0.75102676674691971</v>
      </c>
      <c r="P88" s="41">
        <f t="shared" si="9"/>
        <v>0.15403861587121748</v>
      </c>
    </row>
    <row r="89" spans="1:16" ht="19.95" customHeight="1">
      <c r="A89" s="49">
        <v>90</v>
      </c>
      <c r="B89" s="50" t="s">
        <v>92</v>
      </c>
      <c r="C89" s="51" t="s">
        <v>18</v>
      </c>
      <c r="D89" s="51" t="s">
        <v>21</v>
      </c>
      <c r="E89" s="52">
        <v>2068100000</v>
      </c>
      <c r="F89" s="52">
        <v>1199000000</v>
      </c>
      <c r="G89" s="52">
        <v>510500000</v>
      </c>
      <c r="H89" s="52" t="s">
        <v>757</v>
      </c>
      <c r="I89" s="52" t="s">
        <v>757</v>
      </c>
      <c r="J89" s="51" t="s">
        <v>14</v>
      </c>
      <c r="K89" s="51" t="s">
        <v>93</v>
      </c>
      <c r="L89" s="41">
        <f t="shared" si="5"/>
        <v>869100000</v>
      </c>
      <c r="M89" s="41">
        <f t="shared" si="6"/>
        <v>510500000</v>
      </c>
      <c r="N89" s="41">
        <f t="shared" si="7"/>
        <v>358600000</v>
      </c>
      <c r="O89" s="41">
        <f t="shared" si="8"/>
        <v>0.75315506987089598</v>
      </c>
      <c r="P89" s="41">
        <f t="shared" si="9"/>
        <v>0.17339587060587011</v>
      </c>
    </row>
    <row r="90" spans="1:16" ht="19.95" customHeight="1">
      <c r="A90" s="49">
        <v>91</v>
      </c>
      <c r="B90" s="50" t="s">
        <v>92</v>
      </c>
      <c r="C90" s="51" t="s">
        <v>20</v>
      </c>
      <c r="D90" s="51" t="s">
        <v>84</v>
      </c>
      <c r="E90" s="52">
        <v>2238000000</v>
      </c>
      <c r="F90" s="52">
        <v>1252700000</v>
      </c>
      <c r="G90" s="52">
        <v>559800000</v>
      </c>
      <c r="H90" s="52" t="s">
        <v>757</v>
      </c>
      <c r="I90" s="52" t="s">
        <v>757</v>
      </c>
      <c r="J90" s="51" t="s">
        <v>14</v>
      </c>
      <c r="K90" s="51" t="s">
        <v>93</v>
      </c>
      <c r="L90" s="41">
        <f t="shared" si="5"/>
        <v>985300000</v>
      </c>
      <c r="M90" s="41">
        <f t="shared" si="6"/>
        <v>559800000</v>
      </c>
      <c r="N90" s="41">
        <f t="shared" si="7"/>
        <v>425500000</v>
      </c>
      <c r="O90" s="41">
        <f t="shared" si="8"/>
        <v>0.74986595174262738</v>
      </c>
      <c r="P90" s="41">
        <f t="shared" si="9"/>
        <v>0.19012511170688115</v>
      </c>
    </row>
    <row r="91" spans="1:16" ht="19.95" customHeight="1">
      <c r="A91" s="49">
        <v>92</v>
      </c>
      <c r="B91" s="50" t="s">
        <v>94</v>
      </c>
      <c r="C91" s="51" t="s">
        <v>11</v>
      </c>
      <c r="D91" s="51" t="s">
        <v>17</v>
      </c>
      <c r="E91" s="52">
        <v>1551346000</v>
      </c>
      <c r="F91" s="52">
        <v>177556000</v>
      </c>
      <c r="G91" s="52">
        <v>493726000</v>
      </c>
      <c r="H91" s="52">
        <v>317093000</v>
      </c>
      <c r="I91" s="52">
        <v>417000</v>
      </c>
      <c r="J91" s="51" t="s">
        <v>37</v>
      </c>
      <c r="K91" s="51" t="s">
        <v>95</v>
      </c>
      <c r="L91" s="41">
        <f t="shared" si="5"/>
        <v>1373790000</v>
      </c>
      <c r="M91" s="41">
        <f t="shared" si="6"/>
        <v>811236000</v>
      </c>
      <c r="N91" s="41">
        <f t="shared" si="7"/>
        <v>562554000</v>
      </c>
      <c r="O91" s="41">
        <f t="shared" si="8"/>
        <v>0.47707603590688341</v>
      </c>
      <c r="P91" s="41">
        <f t="shared" si="9"/>
        <v>0.36262316723670929</v>
      </c>
    </row>
    <row r="92" spans="1:16" ht="19.95" customHeight="1">
      <c r="A92" s="49">
        <v>93</v>
      </c>
      <c r="B92" s="50" t="s">
        <v>94</v>
      </c>
      <c r="C92" s="51" t="s">
        <v>16</v>
      </c>
      <c r="D92" s="51" t="s">
        <v>19</v>
      </c>
      <c r="E92" s="52">
        <v>2234000000</v>
      </c>
      <c r="F92" s="52">
        <v>174000000</v>
      </c>
      <c r="G92" s="52">
        <v>650000000</v>
      </c>
      <c r="H92" s="52">
        <v>514000000</v>
      </c>
      <c r="I92" s="52" t="s">
        <v>757</v>
      </c>
      <c r="J92" s="51" t="s">
        <v>37</v>
      </c>
      <c r="K92" s="51" t="s">
        <v>95</v>
      </c>
      <c r="L92" s="41">
        <f t="shared" si="5"/>
        <v>2060000000</v>
      </c>
      <c r="M92" s="41">
        <f t="shared" si="6"/>
        <v>1164000000</v>
      </c>
      <c r="N92" s="41">
        <f t="shared" si="7"/>
        <v>896000000</v>
      </c>
      <c r="O92" s="41">
        <f t="shared" si="8"/>
        <v>0.47896150402864812</v>
      </c>
      <c r="P92" s="41">
        <f t="shared" si="9"/>
        <v>0.40107430617726053</v>
      </c>
    </row>
    <row r="93" spans="1:16" ht="19.95" customHeight="1">
      <c r="A93" s="49">
        <v>94</v>
      </c>
      <c r="B93" s="50" t="s">
        <v>94</v>
      </c>
      <c r="C93" s="51" t="s">
        <v>18</v>
      </c>
      <c r="D93" s="51" t="s">
        <v>21</v>
      </c>
      <c r="E93" s="52">
        <v>2604000000</v>
      </c>
      <c r="F93" s="52">
        <v>233000000</v>
      </c>
      <c r="G93" s="52">
        <v>927000000</v>
      </c>
      <c r="H93" s="52">
        <v>709000000</v>
      </c>
      <c r="I93" s="52">
        <v>117000000</v>
      </c>
      <c r="J93" s="51" t="s">
        <v>37</v>
      </c>
      <c r="K93" s="51" t="s">
        <v>95</v>
      </c>
      <c r="L93" s="41">
        <f t="shared" si="5"/>
        <v>2371000000</v>
      </c>
      <c r="M93" s="41">
        <f t="shared" si="6"/>
        <v>1753000000</v>
      </c>
      <c r="N93" s="41">
        <f t="shared" si="7"/>
        <v>618000000</v>
      </c>
      <c r="O93" s="41">
        <f t="shared" si="8"/>
        <v>0.3268049155145929</v>
      </c>
      <c r="P93" s="41">
        <f t="shared" si="9"/>
        <v>0.23732718894009217</v>
      </c>
    </row>
    <row r="94" spans="1:16" ht="19.95" customHeight="1">
      <c r="A94" s="49">
        <v>95</v>
      </c>
      <c r="B94" s="50" t="s">
        <v>94</v>
      </c>
      <c r="C94" s="51" t="s">
        <v>20</v>
      </c>
      <c r="D94" s="51" t="s">
        <v>84</v>
      </c>
      <c r="E94" s="52">
        <v>3084000000</v>
      </c>
      <c r="F94" s="52">
        <v>258000000</v>
      </c>
      <c r="G94" s="52">
        <v>990000000</v>
      </c>
      <c r="H94" s="52">
        <v>757000000</v>
      </c>
      <c r="I94" s="52">
        <v>322000000</v>
      </c>
      <c r="J94" s="51" t="s">
        <v>37</v>
      </c>
      <c r="K94" s="51" t="s">
        <v>95</v>
      </c>
      <c r="L94" s="41">
        <f t="shared" si="5"/>
        <v>2826000000</v>
      </c>
      <c r="M94" s="41">
        <f t="shared" si="6"/>
        <v>2069000000</v>
      </c>
      <c r="N94" s="41">
        <f t="shared" si="7"/>
        <v>757000000</v>
      </c>
      <c r="O94" s="41">
        <f t="shared" si="8"/>
        <v>0.329118028534371</v>
      </c>
      <c r="P94" s="41">
        <f t="shared" si="9"/>
        <v>0.2454604409857328</v>
      </c>
    </row>
    <row r="95" spans="1:16" ht="19.95" customHeight="1">
      <c r="A95" s="49">
        <v>96</v>
      </c>
      <c r="B95" s="50" t="s">
        <v>96</v>
      </c>
      <c r="C95" s="51" t="s">
        <v>11</v>
      </c>
      <c r="D95" s="51" t="s">
        <v>97</v>
      </c>
      <c r="E95" s="52">
        <v>7509000000</v>
      </c>
      <c r="F95" s="52">
        <v>4518000000</v>
      </c>
      <c r="G95" s="52">
        <v>898000000</v>
      </c>
      <c r="H95" s="52">
        <v>1320000000</v>
      </c>
      <c r="I95" s="52" t="s">
        <v>757</v>
      </c>
      <c r="J95" s="51" t="s">
        <v>31</v>
      </c>
      <c r="K95" s="51" t="s">
        <v>98</v>
      </c>
      <c r="L95" s="41">
        <f t="shared" si="5"/>
        <v>2991000000</v>
      </c>
      <c r="M95" s="41">
        <f t="shared" si="6"/>
        <v>2218000000</v>
      </c>
      <c r="N95" s="41">
        <f t="shared" si="7"/>
        <v>773000000</v>
      </c>
      <c r="O95" s="41">
        <f t="shared" si="8"/>
        <v>0.70462112132108135</v>
      </c>
      <c r="P95" s="41">
        <f t="shared" si="9"/>
        <v>0.10294313490478094</v>
      </c>
    </row>
    <row r="96" spans="1:16" ht="19.95" customHeight="1">
      <c r="A96" s="49">
        <v>97</v>
      </c>
      <c r="B96" s="50" t="s">
        <v>96</v>
      </c>
      <c r="C96" s="51" t="s">
        <v>16</v>
      </c>
      <c r="D96" s="51" t="s">
        <v>99</v>
      </c>
      <c r="E96" s="52">
        <v>9072000000</v>
      </c>
      <c r="F96" s="52">
        <v>5229000000</v>
      </c>
      <c r="G96" s="52">
        <v>895000000</v>
      </c>
      <c r="H96" s="52">
        <v>1428000000</v>
      </c>
      <c r="I96" s="52" t="s">
        <v>757</v>
      </c>
      <c r="J96" s="51" t="s">
        <v>31</v>
      </c>
      <c r="K96" s="51" t="s">
        <v>98</v>
      </c>
      <c r="L96" s="41">
        <f t="shared" si="5"/>
        <v>3843000000</v>
      </c>
      <c r="M96" s="41">
        <f t="shared" si="6"/>
        <v>2323000000</v>
      </c>
      <c r="N96" s="41">
        <f t="shared" si="7"/>
        <v>1520000000</v>
      </c>
      <c r="O96" s="41">
        <f t="shared" si="8"/>
        <v>0.7439373897707231</v>
      </c>
      <c r="P96" s="41">
        <f t="shared" si="9"/>
        <v>0.16754850088183421</v>
      </c>
    </row>
    <row r="97" spans="1:16" ht="19.95" customHeight="1">
      <c r="A97" s="49">
        <v>98</v>
      </c>
      <c r="B97" s="50" t="s">
        <v>96</v>
      </c>
      <c r="C97" s="51" t="s">
        <v>18</v>
      </c>
      <c r="D97" s="51" t="s">
        <v>100</v>
      </c>
      <c r="E97" s="52">
        <v>9659000000</v>
      </c>
      <c r="F97" s="52">
        <v>5707000000</v>
      </c>
      <c r="G97" s="52">
        <v>808000000</v>
      </c>
      <c r="H97" s="52">
        <v>1451000000</v>
      </c>
      <c r="I97" s="52" t="s">
        <v>757</v>
      </c>
      <c r="J97" s="51" t="s">
        <v>31</v>
      </c>
      <c r="K97" s="51" t="s">
        <v>98</v>
      </c>
      <c r="L97" s="41">
        <f t="shared" si="5"/>
        <v>3952000000</v>
      </c>
      <c r="M97" s="41">
        <f t="shared" si="6"/>
        <v>2259000000</v>
      </c>
      <c r="N97" s="41">
        <f t="shared" si="7"/>
        <v>1693000000</v>
      </c>
      <c r="O97" s="41">
        <f t="shared" si="8"/>
        <v>0.76612485764571903</v>
      </c>
      <c r="P97" s="41">
        <f t="shared" si="9"/>
        <v>0.17527694378300032</v>
      </c>
    </row>
    <row r="98" spans="1:16" ht="19.95" customHeight="1">
      <c r="A98" s="49">
        <v>99</v>
      </c>
      <c r="B98" s="50" t="s">
        <v>96</v>
      </c>
      <c r="C98" s="51" t="s">
        <v>20</v>
      </c>
      <c r="D98" s="51" t="s">
        <v>101</v>
      </c>
      <c r="E98" s="52">
        <v>10825000000</v>
      </c>
      <c r="F98" s="52">
        <v>6314000000</v>
      </c>
      <c r="G98" s="52">
        <v>819000000</v>
      </c>
      <c r="H98" s="52">
        <v>1540000000</v>
      </c>
      <c r="I98" s="52" t="s">
        <v>757</v>
      </c>
      <c r="J98" s="51" t="s">
        <v>31</v>
      </c>
      <c r="K98" s="51" t="s">
        <v>98</v>
      </c>
      <c r="L98" s="41">
        <f t="shared" si="5"/>
        <v>4511000000</v>
      </c>
      <c r="M98" s="41">
        <f t="shared" si="6"/>
        <v>2359000000</v>
      </c>
      <c r="N98" s="41">
        <f t="shared" si="7"/>
        <v>2152000000</v>
      </c>
      <c r="O98" s="41">
        <f t="shared" si="8"/>
        <v>0.78207852193995375</v>
      </c>
      <c r="P98" s="41">
        <f t="shared" si="9"/>
        <v>0.19879907621247114</v>
      </c>
    </row>
    <row r="99" spans="1:16" ht="19.95" customHeight="1">
      <c r="A99" s="49">
        <v>100</v>
      </c>
      <c r="B99" s="50" t="s">
        <v>102</v>
      </c>
      <c r="C99" s="51" t="s">
        <v>11</v>
      </c>
      <c r="D99" s="51" t="s">
        <v>12</v>
      </c>
      <c r="E99" s="52">
        <v>3334213000</v>
      </c>
      <c r="F99" s="52">
        <v>2154132000</v>
      </c>
      <c r="G99" s="52">
        <v>380532000</v>
      </c>
      <c r="H99" s="52" t="s">
        <v>757</v>
      </c>
      <c r="I99" s="52">
        <v>53677000</v>
      </c>
      <c r="J99" s="51" t="s">
        <v>14</v>
      </c>
      <c r="K99" s="51" t="s">
        <v>103</v>
      </c>
      <c r="L99" s="41">
        <f t="shared" si="5"/>
        <v>1180081000</v>
      </c>
      <c r="M99" s="41">
        <f t="shared" si="6"/>
        <v>434209000</v>
      </c>
      <c r="N99" s="41">
        <f t="shared" si="7"/>
        <v>745872000</v>
      </c>
      <c r="O99" s="41">
        <f t="shared" si="8"/>
        <v>0.86977166725701083</v>
      </c>
      <c r="P99" s="41">
        <f t="shared" si="9"/>
        <v>0.22370256489312471</v>
      </c>
    </row>
    <row r="100" spans="1:16" ht="19.95" customHeight="1">
      <c r="A100" s="49">
        <v>101</v>
      </c>
      <c r="B100" s="50" t="s">
        <v>102</v>
      </c>
      <c r="C100" s="51" t="s">
        <v>16</v>
      </c>
      <c r="D100" s="51" t="s">
        <v>17</v>
      </c>
      <c r="E100" s="52">
        <v>3594136000</v>
      </c>
      <c r="F100" s="52">
        <v>2323642000</v>
      </c>
      <c r="G100" s="52">
        <v>398177000</v>
      </c>
      <c r="H100" s="52" t="s">
        <v>757</v>
      </c>
      <c r="I100" s="52">
        <v>57238000</v>
      </c>
      <c r="J100" s="51" t="s">
        <v>14</v>
      </c>
      <c r="K100" s="51" t="s">
        <v>103</v>
      </c>
      <c r="L100" s="41">
        <f t="shared" si="5"/>
        <v>1270494000</v>
      </c>
      <c r="M100" s="41">
        <f t="shared" si="6"/>
        <v>455415000</v>
      </c>
      <c r="N100" s="41">
        <f t="shared" si="7"/>
        <v>815079000</v>
      </c>
      <c r="O100" s="41">
        <f t="shared" si="8"/>
        <v>0.87328943590337149</v>
      </c>
      <c r="P100" s="41">
        <f t="shared" si="9"/>
        <v>0.22678023313530707</v>
      </c>
    </row>
    <row r="101" spans="1:16" ht="19.95" customHeight="1">
      <c r="A101" s="49">
        <v>102</v>
      </c>
      <c r="B101" s="50" t="s">
        <v>102</v>
      </c>
      <c r="C101" s="51" t="s">
        <v>18</v>
      </c>
      <c r="D101" s="51" t="s">
        <v>19</v>
      </c>
      <c r="E101" s="52">
        <v>4021964000</v>
      </c>
      <c r="F101" s="52">
        <v>2597017000</v>
      </c>
      <c r="G101" s="52">
        <v>462637000</v>
      </c>
      <c r="H101" s="52" t="s">
        <v>757</v>
      </c>
      <c r="I101" s="52">
        <v>63724000</v>
      </c>
      <c r="J101" s="51" t="s">
        <v>14</v>
      </c>
      <c r="K101" s="51" t="s">
        <v>103</v>
      </c>
      <c r="L101" s="41">
        <f t="shared" si="5"/>
        <v>1424947000</v>
      </c>
      <c r="M101" s="41">
        <f t="shared" si="6"/>
        <v>526361000</v>
      </c>
      <c r="N101" s="41">
        <f t="shared" si="7"/>
        <v>898586000</v>
      </c>
      <c r="O101" s="41">
        <f t="shared" si="8"/>
        <v>0.86912836614151689</v>
      </c>
      <c r="P101" s="41">
        <f t="shared" si="9"/>
        <v>0.22341970241404449</v>
      </c>
    </row>
    <row r="102" spans="1:16" ht="19.95" customHeight="1">
      <c r="A102" s="49">
        <v>103</v>
      </c>
      <c r="B102" s="50" t="s">
        <v>102</v>
      </c>
      <c r="C102" s="51" t="s">
        <v>20</v>
      </c>
      <c r="D102" s="51" t="s">
        <v>21</v>
      </c>
      <c r="E102" s="52">
        <v>3974295000</v>
      </c>
      <c r="F102" s="52">
        <v>2549280000</v>
      </c>
      <c r="G102" s="52">
        <v>448592000</v>
      </c>
      <c r="H102" s="52" t="s">
        <v>757</v>
      </c>
      <c r="I102" s="52">
        <v>68707000</v>
      </c>
      <c r="J102" s="51" t="s">
        <v>14</v>
      </c>
      <c r="K102" s="51" t="s">
        <v>103</v>
      </c>
      <c r="L102" s="41">
        <f t="shared" si="5"/>
        <v>1425015000</v>
      </c>
      <c r="M102" s="41">
        <f t="shared" si="6"/>
        <v>517299000</v>
      </c>
      <c r="N102" s="41">
        <f t="shared" si="7"/>
        <v>907716000</v>
      </c>
      <c r="O102" s="41">
        <f t="shared" si="8"/>
        <v>0.86983880159877414</v>
      </c>
      <c r="P102" s="41">
        <f t="shared" si="9"/>
        <v>0.22839673451517817</v>
      </c>
    </row>
    <row r="103" spans="1:16" ht="19.95" customHeight="1">
      <c r="A103" s="49">
        <v>108</v>
      </c>
      <c r="B103" s="50" t="s">
        <v>104</v>
      </c>
      <c r="C103" s="51" t="s">
        <v>11</v>
      </c>
      <c r="D103" s="51" t="s">
        <v>17</v>
      </c>
      <c r="E103" s="52">
        <v>18676000000</v>
      </c>
      <c r="F103" s="52">
        <v>3346000000</v>
      </c>
      <c r="G103" s="52">
        <v>5380000000</v>
      </c>
      <c r="H103" s="52">
        <v>4083000000</v>
      </c>
      <c r="I103" s="52" t="s">
        <v>757</v>
      </c>
      <c r="J103" s="51" t="s">
        <v>37</v>
      </c>
      <c r="K103" s="51" t="s">
        <v>95</v>
      </c>
      <c r="L103" s="41">
        <f t="shared" si="5"/>
        <v>15330000000</v>
      </c>
      <c r="M103" s="41">
        <f t="shared" si="6"/>
        <v>9463000000</v>
      </c>
      <c r="N103" s="41">
        <f t="shared" si="7"/>
        <v>5867000000</v>
      </c>
      <c r="O103" s="41">
        <f t="shared" si="8"/>
        <v>0.49330691796958659</v>
      </c>
      <c r="P103" s="41">
        <f t="shared" si="9"/>
        <v>0.3141464981794817</v>
      </c>
    </row>
    <row r="104" spans="1:16" ht="19.95" customHeight="1">
      <c r="A104" s="49">
        <v>109</v>
      </c>
      <c r="B104" s="50" t="s">
        <v>104</v>
      </c>
      <c r="C104" s="51" t="s">
        <v>16</v>
      </c>
      <c r="D104" s="51" t="s">
        <v>19</v>
      </c>
      <c r="E104" s="52">
        <v>20063000000</v>
      </c>
      <c r="F104" s="52">
        <v>4422000000</v>
      </c>
      <c r="G104" s="52">
        <v>5153000000</v>
      </c>
      <c r="H104" s="52">
        <v>4297000000</v>
      </c>
      <c r="I104" s="52" t="s">
        <v>757</v>
      </c>
      <c r="J104" s="51" t="s">
        <v>37</v>
      </c>
      <c r="K104" s="51" t="s">
        <v>95</v>
      </c>
      <c r="L104" s="41">
        <f t="shared" si="5"/>
        <v>15641000000</v>
      </c>
      <c r="M104" s="41">
        <f t="shared" si="6"/>
        <v>9450000000</v>
      </c>
      <c r="N104" s="41">
        <f t="shared" si="7"/>
        <v>6191000000</v>
      </c>
      <c r="O104" s="41">
        <f t="shared" si="8"/>
        <v>0.52898370134077655</v>
      </c>
      <c r="P104" s="41">
        <f t="shared" si="9"/>
        <v>0.30857797936500025</v>
      </c>
    </row>
    <row r="105" spans="1:16" ht="19.95" customHeight="1">
      <c r="A105" s="49">
        <v>110</v>
      </c>
      <c r="B105" s="50" t="s">
        <v>104</v>
      </c>
      <c r="C105" s="51" t="s">
        <v>18</v>
      </c>
      <c r="D105" s="51" t="s">
        <v>21</v>
      </c>
      <c r="E105" s="52">
        <v>21662000000</v>
      </c>
      <c r="F105" s="52">
        <v>4227000000</v>
      </c>
      <c r="G105" s="52">
        <v>4895000000</v>
      </c>
      <c r="H105" s="52">
        <v>4070000000</v>
      </c>
      <c r="I105" s="52" t="s">
        <v>757</v>
      </c>
      <c r="J105" s="51" t="s">
        <v>37</v>
      </c>
      <c r="K105" s="51" t="s">
        <v>95</v>
      </c>
      <c r="L105" s="41">
        <f t="shared" si="5"/>
        <v>17435000000</v>
      </c>
      <c r="M105" s="41">
        <f t="shared" si="6"/>
        <v>8965000000</v>
      </c>
      <c r="N105" s="41">
        <f t="shared" si="7"/>
        <v>8470000000</v>
      </c>
      <c r="O105" s="41">
        <f t="shared" si="8"/>
        <v>0.58614163050503187</v>
      </c>
      <c r="P105" s="41">
        <f t="shared" si="9"/>
        <v>0.39100729387868155</v>
      </c>
    </row>
    <row r="106" spans="1:16" ht="19.95" customHeight="1">
      <c r="A106" s="49">
        <v>111</v>
      </c>
      <c r="B106" s="50" t="s">
        <v>104</v>
      </c>
      <c r="C106" s="51" t="s">
        <v>20</v>
      </c>
      <c r="D106" s="51" t="s">
        <v>84</v>
      </c>
      <c r="E106" s="52">
        <v>22991000000</v>
      </c>
      <c r="F106" s="52">
        <v>4162000000</v>
      </c>
      <c r="G106" s="52">
        <v>5195000000</v>
      </c>
      <c r="H106" s="52">
        <v>3840000000</v>
      </c>
      <c r="I106" s="52" t="s">
        <v>757</v>
      </c>
      <c r="J106" s="51" t="s">
        <v>37</v>
      </c>
      <c r="K106" s="51" t="s">
        <v>95</v>
      </c>
      <c r="L106" s="41">
        <f t="shared" si="5"/>
        <v>18829000000</v>
      </c>
      <c r="M106" s="41">
        <f t="shared" si="6"/>
        <v>9035000000</v>
      </c>
      <c r="N106" s="41">
        <f t="shared" si="7"/>
        <v>9794000000</v>
      </c>
      <c r="O106" s="41">
        <f t="shared" si="8"/>
        <v>0.6070201383149928</v>
      </c>
      <c r="P106" s="41">
        <f t="shared" si="9"/>
        <v>0.4259927797833935</v>
      </c>
    </row>
    <row r="107" spans="1:16" ht="19.95" customHeight="1">
      <c r="A107" s="49">
        <v>112</v>
      </c>
      <c r="B107" s="50" t="s">
        <v>105</v>
      </c>
      <c r="C107" s="51" t="s">
        <v>11</v>
      </c>
      <c r="D107" s="51" t="s">
        <v>12</v>
      </c>
      <c r="E107" s="52">
        <v>10259000000</v>
      </c>
      <c r="F107" s="52">
        <v>1899000000</v>
      </c>
      <c r="G107" s="52">
        <v>3927000000</v>
      </c>
      <c r="H107" s="52" t="s">
        <v>757</v>
      </c>
      <c r="I107" s="52">
        <v>2877000000</v>
      </c>
      <c r="J107" s="51" t="s">
        <v>75</v>
      </c>
      <c r="K107" s="51" t="s">
        <v>106</v>
      </c>
      <c r="L107" s="41">
        <f t="shared" si="5"/>
        <v>8360000000</v>
      </c>
      <c r="M107" s="41">
        <f t="shared" si="6"/>
        <v>6804000000</v>
      </c>
      <c r="N107" s="41">
        <f t="shared" si="7"/>
        <v>1556000000</v>
      </c>
      <c r="O107" s="41">
        <f t="shared" si="8"/>
        <v>0.33677746369041817</v>
      </c>
      <c r="P107" s="41">
        <f t="shared" si="9"/>
        <v>0.15167170289501899</v>
      </c>
    </row>
    <row r="108" spans="1:16" ht="19.95" customHeight="1">
      <c r="A108" s="53">
        <v>113</v>
      </c>
      <c r="B108" s="54" t="s">
        <v>105</v>
      </c>
      <c r="C108" s="55" t="s">
        <v>16</v>
      </c>
      <c r="D108" s="55" t="s">
        <v>17</v>
      </c>
      <c r="E108" s="56">
        <v>11230000000</v>
      </c>
      <c r="F108" s="56">
        <v>1954000000</v>
      </c>
      <c r="G108" s="56">
        <v>3862000000</v>
      </c>
      <c r="H108" s="56" t="s">
        <v>757</v>
      </c>
      <c r="I108" s="56">
        <v>3132000000</v>
      </c>
      <c r="J108" s="55" t="s">
        <v>75</v>
      </c>
      <c r="K108" s="55" t="s">
        <v>106</v>
      </c>
      <c r="L108" s="57">
        <f t="shared" si="5"/>
        <v>9276000000</v>
      </c>
      <c r="M108" s="57">
        <f t="shared" si="6"/>
        <v>6994000000</v>
      </c>
      <c r="N108" s="57">
        <f t="shared" si="7"/>
        <v>2282000000</v>
      </c>
      <c r="O108" s="57">
        <f t="shared" si="8"/>
        <v>0.3772039180765806</v>
      </c>
      <c r="P108" s="57">
        <f t="shared" si="9"/>
        <v>0.20320569902048086</v>
      </c>
    </row>
    <row r="109" spans="1:16" ht="19.95" customHeight="1">
      <c r="A109" s="49">
        <v>114</v>
      </c>
      <c r="B109" s="50" t="s">
        <v>105</v>
      </c>
      <c r="C109" s="51" t="s">
        <v>18</v>
      </c>
      <c r="D109" s="51" t="s">
        <v>19</v>
      </c>
      <c r="E109" s="52">
        <v>12296000000</v>
      </c>
      <c r="F109" s="52">
        <v>1982000000</v>
      </c>
      <c r="G109" s="52">
        <v>3808000000</v>
      </c>
      <c r="H109" s="52" t="s">
        <v>757</v>
      </c>
      <c r="I109" s="52">
        <v>3603000000</v>
      </c>
      <c r="J109" s="51" t="s">
        <v>75</v>
      </c>
      <c r="K109" s="51" t="s">
        <v>106</v>
      </c>
      <c r="L109" s="41">
        <f t="shared" si="5"/>
        <v>10314000000</v>
      </c>
      <c r="M109" s="41">
        <f t="shared" si="6"/>
        <v>7411000000</v>
      </c>
      <c r="N109" s="41">
        <f t="shared" si="7"/>
        <v>2903000000</v>
      </c>
      <c r="O109" s="41">
        <f t="shared" si="8"/>
        <v>0.39728366948601168</v>
      </c>
      <c r="P109" s="41">
        <f t="shared" si="9"/>
        <v>0.23609303838646714</v>
      </c>
    </row>
    <row r="110" spans="1:16" ht="19.95" customHeight="1">
      <c r="A110" s="49">
        <v>115</v>
      </c>
      <c r="B110" s="50" t="s">
        <v>105</v>
      </c>
      <c r="C110" s="51" t="s">
        <v>20</v>
      </c>
      <c r="D110" s="51" t="s">
        <v>21</v>
      </c>
      <c r="E110" s="52">
        <v>12200000000</v>
      </c>
      <c r="F110" s="52">
        <v>2261000000</v>
      </c>
      <c r="G110" s="52">
        <v>3750000000</v>
      </c>
      <c r="H110" s="52" t="s">
        <v>757</v>
      </c>
      <c r="I110" s="52">
        <v>3630000000</v>
      </c>
      <c r="J110" s="51" t="s">
        <v>75</v>
      </c>
      <c r="K110" s="51" t="s">
        <v>106</v>
      </c>
      <c r="L110" s="41">
        <f t="shared" si="5"/>
        <v>9939000000</v>
      </c>
      <c r="M110" s="41">
        <f t="shared" si="6"/>
        <v>7380000000</v>
      </c>
      <c r="N110" s="41">
        <f t="shared" si="7"/>
        <v>2559000000</v>
      </c>
      <c r="O110" s="41">
        <f t="shared" si="8"/>
        <v>0.39508196721311473</v>
      </c>
      <c r="P110" s="41">
        <f t="shared" si="9"/>
        <v>0.20975409836065573</v>
      </c>
    </row>
    <row r="111" spans="1:16" ht="19.95" customHeight="1">
      <c r="A111" s="49">
        <v>116</v>
      </c>
      <c r="B111" s="50" t="s">
        <v>107</v>
      </c>
      <c r="C111" s="51" t="s">
        <v>11</v>
      </c>
      <c r="D111" s="51" t="s">
        <v>12</v>
      </c>
      <c r="E111" s="52">
        <v>2875960000</v>
      </c>
      <c r="F111" s="52">
        <v>722479000</v>
      </c>
      <c r="G111" s="52">
        <v>389486000</v>
      </c>
      <c r="H111" s="52" t="s">
        <v>757</v>
      </c>
      <c r="I111" s="52">
        <v>644276000</v>
      </c>
      <c r="J111" s="51" t="s">
        <v>80</v>
      </c>
      <c r="K111" s="51" t="s">
        <v>108</v>
      </c>
      <c r="L111" s="41">
        <f t="shared" si="5"/>
        <v>2153481000</v>
      </c>
      <c r="M111" s="41">
        <f t="shared" si="6"/>
        <v>1033762000</v>
      </c>
      <c r="N111" s="41">
        <f t="shared" si="7"/>
        <v>1119719000</v>
      </c>
      <c r="O111" s="41">
        <f t="shared" si="8"/>
        <v>0.64055063352758723</v>
      </c>
      <c r="P111" s="41">
        <f t="shared" si="9"/>
        <v>0.38933747340018637</v>
      </c>
    </row>
    <row r="112" spans="1:16" ht="19.95" customHeight="1">
      <c r="A112" s="49">
        <v>117</v>
      </c>
      <c r="B112" s="50" t="s">
        <v>107</v>
      </c>
      <c r="C112" s="51" t="s">
        <v>16</v>
      </c>
      <c r="D112" s="51" t="s">
        <v>17</v>
      </c>
      <c r="E112" s="52">
        <v>3361407000</v>
      </c>
      <c r="F112" s="52">
        <v>859873000</v>
      </c>
      <c r="G112" s="52">
        <v>487084000</v>
      </c>
      <c r="H112" s="52" t="s">
        <v>757</v>
      </c>
      <c r="I112" s="52">
        <v>800145000</v>
      </c>
      <c r="J112" s="51" t="s">
        <v>80</v>
      </c>
      <c r="K112" s="51" t="s">
        <v>108</v>
      </c>
      <c r="L112" s="41">
        <f t="shared" si="5"/>
        <v>2501534000</v>
      </c>
      <c r="M112" s="41">
        <f t="shared" si="6"/>
        <v>1287229000</v>
      </c>
      <c r="N112" s="41">
        <f t="shared" si="7"/>
        <v>1214305000</v>
      </c>
      <c r="O112" s="41">
        <f t="shared" si="8"/>
        <v>0.6170564885478016</v>
      </c>
      <c r="P112" s="41">
        <f t="shared" si="9"/>
        <v>0.36124902459000058</v>
      </c>
    </row>
    <row r="113" spans="1:16" ht="19.95" customHeight="1">
      <c r="A113" s="49">
        <v>118</v>
      </c>
      <c r="B113" s="50" t="s">
        <v>107</v>
      </c>
      <c r="C113" s="51" t="s">
        <v>18</v>
      </c>
      <c r="D113" s="51" t="s">
        <v>19</v>
      </c>
      <c r="E113" s="52">
        <v>4100048000</v>
      </c>
      <c r="F113" s="52">
        <v>1094265000</v>
      </c>
      <c r="G113" s="52">
        <v>515059000</v>
      </c>
      <c r="H113" s="52" t="s">
        <v>757</v>
      </c>
      <c r="I113" s="52">
        <v>1003802000</v>
      </c>
      <c r="J113" s="51" t="s">
        <v>80</v>
      </c>
      <c r="K113" s="51" t="s">
        <v>108</v>
      </c>
      <c r="L113" s="41">
        <f t="shared" si="5"/>
        <v>3005783000</v>
      </c>
      <c r="M113" s="41">
        <f t="shared" si="6"/>
        <v>1518861000</v>
      </c>
      <c r="N113" s="41">
        <f t="shared" si="7"/>
        <v>1486922000</v>
      </c>
      <c r="O113" s="41">
        <f t="shared" si="8"/>
        <v>0.62955043453149817</v>
      </c>
      <c r="P113" s="41">
        <f t="shared" si="9"/>
        <v>0.36265965666743416</v>
      </c>
    </row>
    <row r="114" spans="1:16" ht="19.95" customHeight="1">
      <c r="A114" s="49">
        <v>119</v>
      </c>
      <c r="B114" s="50" t="s">
        <v>107</v>
      </c>
      <c r="C114" s="51" t="s">
        <v>20</v>
      </c>
      <c r="D114" s="51" t="s">
        <v>21</v>
      </c>
      <c r="E114" s="52">
        <v>4771516000</v>
      </c>
      <c r="F114" s="52">
        <v>1308868000</v>
      </c>
      <c r="G114" s="52">
        <v>564531000</v>
      </c>
      <c r="H114" s="52" t="s">
        <v>757</v>
      </c>
      <c r="I114" s="52">
        <v>1285328000</v>
      </c>
      <c r="J114" s="51" t="s">
        <v>80</v>
      </c>
      <c r="K114" s="51" t="s">
        <v>108</v>
      </c>
      <c r="L114" s="41">
        <f t="shared" si="5"/>
        <v>3462648000</v>
      </c>
      <c r="M114" s="41">
        <f t="shared" si="6"/>
        <v>1849859000</v>
      </c>
      <c r="N114" s="41">
        <f t="shared" si="7"/>
        <v>1612789000</v>
      </c>
      <c r="O114" s="41">
        <f t="shared" si="8"/>
        <v>0.61231210374229073</v>
      </c>
      <c r="P114" s="41">
        <f t="shared" si="9"/>
        <v>0.33800347730155361</v>
      </c>
    </row>
    <row r="115" spans="1:16" ht="19.95" customHeight="1">
      <c r="A115" s="49">
        <v>120</v>
      </c>
      <c r="B115" s="50" t="s">
        <v>109</v>
      </c>
      <c r="C115" s="51" t="s">
        <v>11</v>
      </c>
      <c r="D115" s="51" t="s">
        <v>17</v>
      </c>
      <c r="E115" s="52">
        <v>74452000000</v>
      </c>
      <c r="F115" s="52">
        <v>54181000000</v>
      </c>
      <c r="G115" s="52">
        <v>19526000000</v>
      </c>
      <c r="H115" s="52" t="s">
        <v>757</v>
      </c>
      <c r="I115" s="52" t="s">
        <v>757</v>
      </c>
      <c r="J115" s="51" t="s">
        <v>24</v>
      </c>
      <c r="K115" s="51" t="s">
        <v>110</v>
      </c>
      <c r="L115" s="41">
        <f t="shared" si="5"/>
        <v>20271000000</v>
      </c>
      <c r="M115" s="41">
        <f t="shared" si="6"/>
        <v>19526000000</v>
      </c>
      <c r="N115" s="41">
        <f t="shared" si="7"/>
        <v>745000000</v>
      </c>
      <c r="O115" s="41">
        <f t="shared" si="8"/>
        <v>0.73773706549186047</v>
      </c>
      <c r="P115" s="41">
        <f t="shared" si="9"/>
        <v>1.0006447106860796E-2</v>
      </c>
    </row>
    <row r="116" spans="1:16" ht="19.95" customHeight="1">
      <c r="A116" s="49">
        <v>121</v>
      </c>
      <c r="B116" s="50" t="s">
        <v>109</v>
      </c>
      <c r="C116" s="51" t="s">
        <v>16</v>
      </c>
      <c r="D116" s="51" t="s">
        <v>19</v>
      </c>
      <c r="E116" s="52">
        <v>88988000000</v>
      </c>
      <c r="F116" s="52">
        <v>62752000000</v>
      </c>
      <c r="G116" s="52">
        <v>26058000000</v>
      </c>
      <c r="H116" s="52" t="s">
        <v>757</v>
      </c>
      <c r="I116" s="52" t="s">
        <v>757</v>
      </c>
      <c r="J116" s="51" t="s">
        <v>24</v>
      </c>
      <c r="K116" s="51" t="s">
        <v>110</v>
      </c>
      <c r="L116" s="41">
        <f t="shared" si="5"/>
        <v>26236000000</v>
      </c>
      <c r="M116" s="41">
        <f t="shared" si="6"/>
        <v>26058000000</v>
      </c>
      <c r="N116" s="41">
        <f t="shared" si="7"/>
        <v>178000000</v>
      </c>
      <c r="O116" s="41">
        <f t="shared" si="8"/>
        <v>0.70717400098889738</v>
      </c>
      <c r="P116" s="41">
        <f t="shared" si="9"/>
        <v>2.000269699285297E-3</v>
      </c>
    </row>
    <row r="117" spans="1:16" ht="19.95" customHeight="1">
      <c r="A117" s="49">
        <v>122</v>
      </c>
      <c r="B117" s="50" t="s">
        <v>109</v>
      </c>
      <c r="C117" s="51" t="s">
        <v>18</v>
      </c>
      <c r="D117" s="51" t="s">
        <v>21</v>
      </c>
      <c r="E117" s="52">
        <v>107006000000</v>
      </c>
      <c r="F117" s="52">
        <v>71651000000</v>
      </c>
      <c r="G117" s="52">
        <v>33122000000</v>
      </c>
      <c r="H117" s="52" t="s">
        <v>757</v>
      </c>
      <c r="I117" s="52" t="s">
        <v>757</v>
      </c>
      <c r="J117" s="51" t="s">
        <v>24</v>
      </c>
      <c r="K117" s="51" t="s">
        <v>110</v>
      </c>
      <c r="L117" s="41">
        <f t="shared" si="5"/>
        <v>35355000000</v>
      </c>
      <c r="M117" s="41">
        <f t="shared" si="6"/>
        <v>33122000000</v>
      </c>
      <c r="N117" s="41">
        <f t="shared" si="7"/>
        <v>2233000000</v>
      </c>
      <c r="O117" s="41">
        <f t="shared" si="8"/>
        <v>0.69046595518008336</v>
      </c>
      <c r="P117" s="41">
        <f t="shared" si="9"/>
        <v>2.0867988710913405E-2</v>
      </c>
    </row>
    <row r="118" spans="1:16" ht="19.95" customHeight="1">
      <c r="A118" s="49">
        <v>123</v>
      </c>
      <c r="B118" s="50" t="s">
        <v>109</v>
      </c>
      <c r="C118" s="51" t="s">
        <v>20</v>
      </c>
      <c r="D118" s="51" t="s">
        <v>84</v>
      </c>
      <c r="E118" s="52">
        <v>135987000000</v>
      </c>
      <c r="F118" s="52">
        <v>88265000000</v>
      </c>
      <c r="G118" s="52">
        <v>43536000000</v>
      </c>
      <c r="H118" s="52" t="s">
        <v>757</v>
      </c>
      <c r="I118" s="52" t="s">
        <v>757</v>
      </c>
      <c r="J118" s="51" t="s">
        <v>24</v>
      </c>
      <c r="K118" s="51" t="s">
        <v>110</v>
      </c>
      <c r="L118" s="41">
        <f t="shared" si="5"/>
        <v>47722000000</v>
      </c>
      <c r="M118" s="41">
        <f t="shared" si="6"/>
        <v>43536000000</v>
      </c>
      <c r="N118" s="41">
        <f t="shared" si="7"/>
        <v>4186000000</v>
      </c>
      <c r="O118" s="41">
        <f t="shared" si="8"/>
        <v>0.67985175053497759</v>
      </c>
      <c r="P118" s="41">
        <f t="shared" si="9"/>
        <v>3.0782354195621642E-2</v>
      </c>
    </row>
    <row r="119" spans="1:16" ht="19.95" customHeight="1">
      <c r="A119" s="49">
        <v>124</v>
      </c>
      <c r="B119" s="50" t="s">
        <v>111</v>
      </c>
      <c r="C119" s="51" t="s">
        <v>11</v>
      </c>
      <c r="D119" s="51" t="s">
        <v>17</v>
      </c>
      <c r="E119" s="52">
        <v>17517600000</v>
      </c>
      <c r="F119" s="52">
        <v>14757700000</v>
      </c>
      <c r="G119" s="52">
        <v>1924300000</v>
      </c>
      <c r="H119" s="52" t="s">
        <v>757</v>
      </c>
      <c r="I119" s="52">
        <v>95300000</v>
      </c>
      <c r="J119" s="51" t="s">
        <v>24</v>
      </c>
      <c r="K119" s="51" t="s">
        <v>112</v>
      </c>
      <c r="L119" s="41">
        <f t="shared" si="5"/>
        <v>2759900000</v>
      </c>
      <c r="M119" s="41">
        <f t="shared" si="6"/>
        <v>2019600000</v>
      </c>
      <c r="N119" s="41">
        <f t="shared" si="7"/>
        <v>740300000</v>
      </c>
      <c r="O119" s="41">
        <f t="shared" si="8"/>
        <v>0.88471023427866835</v>
      </c>
      <c r="P119" s="41">
        <f t="shared" si="9"/>
        <v>4.2260355299812757E-2</v>
      </c>
    </row>
    <row r="120" spans="1:16" ht="19.95" customHeight="1">
      <c r="A120" s="49">
        <v>125</v>
      </c>
      <c r="B120" s="50" t="s">
        <v>111</v>
      </c>
      <c r="C120" s="51" t="s">
        <v>16</v>
      </c>
      <c r="D120" s="51" t="s">
        <v>19</v>
      </c>
      <c r="E120" s="52">
        <v>19108800000</v>
      </c>
      <c r="F120" s="52">
        <v>16120100000</v>
      </c>
      <c r="G120" s="52">
        <v>2061000000</v>
      </c>
      <c r="H120" s="52" t="s">
        <v>757</v>
      </c>
      <c r="I120" s="52">
        <v>106900000</v>
      </c>
      <c r="J120" s="51" t="s">
        <v>24</v>
      </c>
      <c r="K120" s="51" t="s">
        <v>112</v>
      </c>
      <c r="L120" s="41">
        <f t="shared" si="5"/>
        <v>2988700000</v>
      </c>
      <c r="M120" s="41">
        <f t="shared" si="6"/>
        <v>2167900000</v>
      </c>
      <c r="N120" s="41">
        <f t="shared" si="7"/>
        <v>820800000</v>
      </c>
      <c r="O120" s="41">
        <f t="shared" si="8"/>
        <v>0.88654965251611828</v>
      </c>
      <c r="P120" s="41">
        <f t="shared" si="9"/>
        <v>4.2954031650339113E-2</v>
      </c>
    </row>
    <row r="121" spans="1:16" ht="19.95" customHeight="1">
      <c r="A121" s="49">
        <v>126</v>
      </c>
      <c r="B121" s="50" t="s">
        <v>111</v>
      </c>
      <c r="C121" s="51" t="s">
        <v>18</v>
      </c>
      <c r="D121" s="51" t="s">
        <v>21</v>
      </c>
      <c r="E121" s="52">
        <v>20862000000</v>
      </c>
      <c r="F121" s="52">
        <v>17600500000</v>
      </c>
      <c r="G121" s="52">
        <v>2245600000</v>
      </c>
      <c r="H121" s="52" t="s">
        <v>757</v>
      </c>
      <c r="I121" s="52">
        <v>127400000</v>
      </c>
      <c r="J121" s="51" t="s">
        <v>24</v>
      </c>
      <c r="K121" s="51" t="s">
        <v>112</v>
      </c>
      <c r="L121" s="41">
        <f t="shared" si="5"/>
        <v>3261500000</v>
      </c>
      <c r="M121" s="41">
        <f t="shared" si="6"/>
        <v>2373000000</v>
      </c>
      <c r="N121" s="41">
        <f t="shared" si="7"/>
        <v>888500000</v>
      </c>
      <c r="O121" s="41">
        <f t="shared" si="8"/>
        <v>0.88625251653724479</v>
      </c>
      <c r="P121" s="41">
        <f t="shared" si="9"/>
        <v>4.2589396989742116E-2</v>
      </c>
    </row>
    <row r="122" spans="1:16" ht="19.95" customHeight="1">
      <c r="A122" s="49">
        <v>127</v>
      </c>
      <c r="B122" s="50" t="s">
        <v>111</v>
      </c>
      <c r="C122" s="51" t="s">
        <v>20</v>
      </c>
      <c r="D122" s="51" t="s">
        <v>84</v>
      </c>
      <c r="E122" s="52">
        <v>21609000000</v>
      </c>
      <c r="F122" s="52">
        <v>18295800000</v>
      </c>
      <c r="G122" s="52">
        <v>2280300000</v>
      </c>
      <c r="H122" s="52" t="s">
        <v>757</v>
      </c>
      <c r="I122" s="52">
        <v>143400000</v>
      </c>
      <c r="J122" s="51" t="s">
        <v>24</v>
      </c>
      <c r="K122" s="51" t="s">
        <v>112</v>
      </c>
      <c r="L122" s="41">
        <f t="shared" si="5"/>
        <v>3313200000</v>
      </c>
      <c r="M122" s="41">
        <f t="shared" si="6"/>
        <v>2423700000</v>
      </c>
      <c r="N122" s="41">
        <f t="shared" si="7"/>
        <v>889500000</v>
      </c>
      <c r="O122" s="41">
        <f t="shared" si="8"/>
        <v>0.88783840066638897</v>
      </c>
      <c r="P122" s="41">
        <f t="shared" si="9"/>
        <v>4.1163404137165072E-2</v>
      </c>
    </row>
    <row r="123" spans="1:16" ht="19.95" customHeight="1">
      <c r="A123" s="49">
        <v>128</v>
      </c>
      <c r="B123" s="50" t="s">
        <v>113</v>
      </c>
      <c r="C123" s="51" t="s">
        <v>11</v>
      </c>
      <c r="D123" s="51" t="s">
        <v>12</v>
      </c>
      <c r="E123" s="52">
        <v>61497200000</v>
      </c>
      <c r="F123" s="52">
        <v>48213600000</v>
      </c>
      <c r="G123" s="52">
        <v>8680500000</v>
      </c>
      <c r="H123" s="52" t="s">
        <v>757</v>
      </c>
      <c r="I123" s="52">
        <v>233000000</v>
      </c>
      <c r="J123" s="51" t="s">
        <v>37</v>
      </c>
      <c r="K123" s="51" t="s">
        <v>114</v>
      </c>
      <c r="L123" s="41">
        <f t="shared" si="5"/>
        <v>13283600000</v>
      </c>
      <c r="M123" s="41">
        <f t="shared" si="6"/>
        <v>8913500000</v>
      </c>
      <c r="N123" s="41">
        <f t="shared" si="7"/>
        <v>4370100000</v>
      </c>
      <c r="O123" s="41">
        <f t="shared" si="8"/>
        <v>0.85505844168514988</v>
      </c>
      <c r="P123" s="41">
        <f t="shared" si="9"/>
        <v>7.1061771918071073E-2</v>
      </c>
    </row>
    <row r="124" spans="1:16" ht="19.95" customHeight="1">
      <c r="A124" s="49">
        <v>129</v>
      </c>
      <c r="B124" s="50" t="s">
        <v>113</v>
      </c>
      <c r="C124" s="51" t="s">
        <v>16</v>
      </c>
      <c r="D124" s="51" t="s">
        <v>17</v>
      </c>
      <c r="E124" s="52">
        <v>71023500000</v>
      </c>
      <c r="F124" s="52">
        <v>56237100000</v>
      </c>
      <c r="G124" s="52">
        <v>9952900000</v>
      </c>
      <c r="H124" s="52" t="s">
        <v>757</v>
      </c>
      <c r="I124" s="52">
        <v>245300000</v>
      </c>
      <c r="J124" s="51" t="s">
        <v>37</v>
      </c>
      <c r="K124" s="51" t="s">
        <v>114</v>
      </c>
      <c r="L124" s="41">
        <f t="shared" si="5"/>
        <v>14786400000</v>
      </c>
      <c r="M124" s="41">
        <f t="shared" si="6"/>
        <v>10198200000</v>
      </c>
      <c r="N124" s="41">
        <f t="shared" si="7"/>
        <v>4588200000</v>
      </c>
      <c r="O124" s="41">
        <f t="shared" si="8"/>
        <v>0.85641090624934002</v>
      </c>
      <c r="P124" s="41">
        <f t="shared" si="9"/>
        <v>6.4601153139453846E-2</v>
      </c>
    </row>
    <row r="125" spans="1:16" ht="19.95" customHeight="1">
      <c r="A125" s="49">
        <v>130</v>
      </c>
      <c r="B125" s="50" t="s">
        <v>113</v>
      </c>
      <c r="C125" s="51" t="s">
        <v>18</v>
      </c>
      <c r="D125" s="51" t="s">
        <v>19</v>
      </c>
      <c r="E125" s="52">
        <v>73874100000</v>
      </c>
      <c r="F125" s="52">
        <v>56854900000</v>
      </c>
      <c r="G125" s="52">
        <v>11748400000</v>
      </c>
      <c r="H125" s="52" t="s">
        <v>757</v>
      </c>
      <c r="I125" s="52">
        <v>220900000</v>
      </c>
      <c r="J125" s="51" t="s">
        <v>37</v>
      </c>
      <c r="K125" s="51" t="s">
        <v>114</v>
      </c>
      <c r="L125" s="41">
        <f t="shared" si="5"/>
        <v>17019200000</v>
      </c>
      <c r="M125" s="41">
        <f t="shared" si="6"/>
        <v>11969300000</v>
      </c>
      <c r="N125" s="41">
        <f t="shared" si="7"/>
        <v>5049900000</v>
      </c>
      <c r="O125" s="41">
        <f t="shared" si="8"/>
        <v>0.83797704472880208</v>
      </c>
      <c r="P125" s="41">
        <f t="shared" si="9"/>
        <v>6.8358193196262296E-2</v>
      </c>
    </row>
    <row r="126" spans="1:16" ht="19.95" customHeight="1">
      <c r="A126" s="49">
        <v>131</v>
      </c>
      <c r="B126" s="50" t="s">
        <v>113</v>
      </c>
      <c r="C126" s="51" t="s">
        <v>20</v>
      </c>
      <c r="D126" s="51" t="s">
        <v>21</v>
      </c>
      <c r="E126" s="52">
        <v>79156500000</v>
      </c>
      <c r="F126" s="52">
        <v>61116900000</v>
      </c>
      <c r="G126" s="52">
        <v>12534800000</v>
      </c>
      <c r="H126" s="52" t="s">
        <v>757</v>
      </c>
      <c r="I126" s="52">
        <v>230100000</v>
      </c>
      <c r="J126" s="51" t="s">
        <v>37</v>
      </c>
      <c r="K126" s="51" t="s">
        <v>114</v>
      </c>
      <c r="L126" s="41">
        <f t="shared" si="5"/>
        <v>18039600000</v>
      </c>
      <c r="M126" s="41">
        <f t="shared" si="6"/>
        <v>12764900000</v>
      </c>
      <c r="N126" s="41">
        <f t="shared" si="7"/>
        <v>5274700000</v>
      </c>
      <c r="O126" s="41">
        <f t="shared" si="8"/>
        <v>0.83873844851654633</v>
      </c>
      <c r="P126" s="41">
        <f t="shared" si="9"/>
        <v>6.6636346983507358E-2</v>
      </c>
    </row>
    <row r="127" spans="1:16" ht="19.95" customHeight="1">
      <c r="A127" s="49">
        <v>136</v>
      </c>
      <c r="B127" s="50" t="s">
        <v>115</v>
      </c>
      <c r="C127" s="51" t="s">
        <v>11</v>
      </c>
      <c r="D127" s="51" t="s">
        <v>12</v>
      </c>
      <c r="E127" s="52">
        <v>16428000000</v>
      </c>
      <c r="F127" s="52">
        <v>3079000000</v>
      </c>
      <c r="G127" s="52">
        <v>1333000000</v>
      </c>
      <c r="H127" s="52" t="s">
        <v>757</v>
      </c>
      <c r="I127" s="52">
        <v>6881000000</v>
      </c>
      <c r="J127" s="51" t="s">
        <v>116</v>
      </c>
      <c r="K127" s="51" t="s">
        <v>117</v>
      </c>
      <c r="L127" s="41">
        <f t="shared" si="5"/>
        <v>13349000000</v>
      </c>
      <c r="M127" s="41">
        <f t="shared" si="6"/>
        <v>8214000000</v>
      </c>
      <c r="N127" s="41">
        <f t="shared" si="7"/>
        <v>5135000000</v>
      </c>
      <c r="O127" s="41">
        <f t="shared" si="8"/>
        <v>0.5</v>
      </c>
      <c r="P127" s="41">
        <f t="shared" si="9"/>
        <v>0.31257608960311661</v>
      </c>
    </row>
    <row r="128" spans="1:16" ht="19.95" customHeight="1">
      <c r="A128" s="53">
        <v>137</v>
      </c>
      <c r="B128" s="54" t="s">
        <v>115</v>
      </c>
      <c r="C128" s="55" t="s">
        <v>16</v>
      </c>
      <c r="D128" s="55" t="s">
        <v>17</v>
      </c>
      <c r="E128" s="56">
        <v>14771000000</v>
      </c>
      <c r="F128" s="56">
        <v>2938000000</v>
      </c>
      <c r="G128" s="56">
        <v>1286000000</v>
      </c>
      <c r="H128" s="56" t="s">
        <v>757</v>
      </c>
      <c r="I128" s="56">
        <v>5866000000</v>
      </c>
      <c r="J128" s="55" t="s">
        <v>116</v>
      </c>
      <c r="K128" s="55" t="s">
        <v>117</v>
      </c>
      <c r="L128" s="57">
        <f t="shared" si="5"/>
        <v>11833000000</v>
      </c>
      <c r="M128" s="57">
        <f t="shared" si="6"/>
        <v>7152000000</v>
      </c>
      <c r="N128" s="57">
        <f t="shared" si="7"/>
        <v>4681000000</v>
      </c>
      <c r="O128" s="57">
        <f t="shared" si="8"/>
        <v>0.5158080021664071</v>
      </c>
      <c r="P128" s="57">
        <f t="shared" si="9"/>
        <v>0.31690474578566108</v>
      </c>
    </row>
    <row r="129" spans="1:16" ht="19.95" customHeight="1">
      <c r="A129" s="49">
        <v>138</v>
      </c>
      <c r="B129" s="50" t="s">
        <v>115</v>
      </c>
      <c r="C129" s="51" t="s">
        <v>18</v>
      </c>
      <c r="D129" s="51" t="s">
        <v>19</v>
      </c>
      <c r="E129" s="52">
        <v>12691000000</v>
      </c>
      <c r="F129" s="52">
        <v>2511000000</v>
      </c>
      <c r="G129" s="52">
        <v>1095000000</v>
      </c>
      <c r="H129" s="52" t="s">
        <v>757</v>
      </c>
      <c r="I129" s="52">
        <v>9720000000</v>
      </c>
      <c r="J129" s="51" t="s">
        <v>116</v>
      </c>
      <c r="K129" s="51" t="s">
        <v>117</v>
      </c>
      <c r="L129" s="41">
        <f t="shared" si="5"/>
        <v>10180000000</v>
      </c>
      <c r="M129" s="41">
        <f t="shared" si="6"/>
        <v>10815000000</v>
      </c>
      <c r="N129" s="41">
        <f t="shared" si="7"/>
        <v>-635000000</v>
      </c>
      <c r="O129" s="41">
        <f t="shared" si="8"/>
        <v>0.14782129067843353</v>
      </c>
      <c r="P129" s="41">
        <f t="shared" si="9"/>
        <v>-5.0035458198723508E-2</v>
      </c>
    </row>
    <row r="130" spans="1:16" ht="19.95" customHeight="1">
      <c r="A130" s="49">
        <v>139</v>
      </c>
      <c r="B130" s="50" t="s">
        <v>115</v>
      </c>
      <c r="C130" s="51" t="s">
        <v>20</v>
      </c>
      <c r="D130" s="51" t="s">
        <v>21</v>
      </c>
      <c r="E130" s="52">
        <v>6383000000</v>
      </c>
      <c r="F130" s="52">
        <v>2065000000</v>
      </c>
      <c r="G130" s="52">
        <v>791000000</v>
      </c>
      <c r="H130" s="52" t="s">
        <v>757</v>
      </c>
      <c r="I130" s="52">
        <v>29372000000</v>
      </c>
      <c r="J130" s="51" t="s">
        <v>116</v>
      </c>
      <c r="K130" s="51" t="s">
        <v>117</v>
      </c>
      <c r="L130" s="41">
        <f t="shared" si="5"/>
        <v>4318000000</v>
      </c>
      <c r="M130" s="41">
        <f t="shared" si="6"/>
        <v>30163000000</v>
      </c>
      <c r="N130" s="41">
        <f t="shared" si="7"/>
        <v>-25845000000</v>
      </c>
      <c r="O130" s="41">
        <f t="shared" si="8"/>
        <v>-3.7255209149302839</v>
      </c>
      <c r="P130" s="41">
        <f t="shared" si="9"/>
        <v>-4.0490365032116555</v>
      </c>
    </row>
    <row r="131" spans="1:16" ht="19.95" customHeight="1">
      <c r="A131" s="49">
        <v>140</v>
      </c>
      <c r="B131" s="50" t="s">
        <v>118</v>
      </c>
      <c r="C131" s="51" t="s">
        <v>11</v>
      </c>
      <c r="D131" s="51" t="s">
        <v>17</v>
      </c>
      <c r="E131" s="52">
        <v>14581000000</v>
      </c>
      <c r="F131" s="52">
        <v>2942000000</v>
      </c>
      <c r="G131" s="52">
        <v>2256000000</v>
      </c>
      <c r="H131" s="52" t="s">
        <v>757</v>
      </c>
      <c r="I131" s="52">
        <v>3927000000</v>
      </c>
      <c r="J131" s="51" t="s">
        <v>116</v>
      </c>
      <c r="K131" s="51" t="s">
        <v>117</v>
      </c>
      <c r="L131" s="41">
        <f t="shared" ref="L131:L194" si="10">Total_Revenue-COGS</f>
        <v>11639000000</v>
      </c>
      <c r="M131" s="41">
        <f t="shared" ref="M131:M194" si="11">SGAA+RandD+OOI</f>
        <v>6183000000</v>
      </c>
      <c r="N131" s="41">
        <f t="shared" ref="N131:N194" si="12">Gross_Profit-Total_Operating_Expenses</f>
        <v>5456000000</v>
      </c>
      <c r="O131" s="41">
        <f t="shared" ref="O131:O194" si="13">1-(Total_Operating_Expenses/Total_Revenue)</f>
        <v>0.57595500994444826</v>
      </c>
      <c r="P131" s="41">
        <f t="shared" ref="P131:P194" si="14">Operating_Profit/Total_Revenue</f>
        <v>0.37418558397915097</v>
      </c>
    </row>
    <row r="132" spans="1:16" ht="19.95" customHeight="1">
      <c r="A132" s="53">
        <v>141</v>
      </c>
      <c r="B132" s="54" t="s">
        <v>118</v>
      </c>
      <c r="C132" s="55" t="s">
        <v>16</v>
      </c>
      <c r="D132" s="55" t="s">
        <v>19</v>
      </c>
      <c r="E132" s="56">
        <v>18470000000</v>
      </c>
      <c r="F132" s="56">
        <v>3317000000</v>
      </c>
      <c r="G132" s="56">
        <v>2725000000</v>
      </c>
      <c r="H132" s="56" t="s">
        <v>757</v>
      </c>
      <c r="I132" s="56">
        <v>4550000000</v>
      </c>
      <c r="J132" s="55" t="s">
        <v>116</v>
      </c>
      <c r="K132" s="55" t="s">
        <v>117</v>
      </c>
      <c r="L132" s="57">
        <f t="shared" si="10"/>
        <v>15153000000</v>
      </c>
      <c r="M132" s="57">
        <f t="shared" si="11"/>
        <v>7275000000</v>
      </c>
      <c r="N132" s="57">
        <f t="shared" si="12"/>
        <v>7878000000</v>
      </c>
      <c r="O132" s="57">
        <f t="shared" si="13"/>
        <v>0.60611802923659996</v>
      </c>
      <c r="P132" s="57">
        <f t="shared" si="14"/>
        <v>0.42652950730914996</v>
      </c>
    </row>
    <row r="133" spans="1:16" ht="19.95" customHeight="1">
      <c r="A133" s="49">
        <v>142</v>
      </c>
      <c r="B133" s="50" t="s">
        <v>118</v>
      </c>
      <c r="C133" s="51" t="s">
        <v>18</v>
      </c>
      <c r="D133" s="51" t="s">
        <v>21</v>
      </c>
      <c r="E133" s="52">
        <v>8698000000</v>
      </c>
      <c r="F133" s="52">
        <v>3185000000</v>
      </c>
      <c r="G133" s="52">
        <v>2000000000</v>
      </c>
      <c r="H133" s="52" t="s">
        <v>757</v>
      </c>
      <c r="I133" s="52">
        <v>4603000000</v>
      </c>
      <c r="J133" s="51" t="s">
        <v>116</v>
      </c>
      <c r="K133" s="51" t="s">
        <v>117</v>
      </c>
      <c r="L133" s="41">
        <f t="shared" si="10"/>
        <v>5513000000</v>
      </c>
      <c r="M133" s="41">
        <f t="shared" si="11"/>
        <v>6603000000</v>
      </c>
      <c r="N133" s="41">
        <f t="shared" si="12"/>
        <v>-1090000000</v>
      </c>
      <c r="O133" s="41">
        <f t="shared" si="13"/>
        <v>0.24085996780869168</v>
      </c>
      <c r="P133" s="41">
        <f t="shared" si="14"/>
        <v>-0.1253161646355484</v>
      </c>
    </row>
    <row r="134" spans="1:16" ht="19.95" customHeight="1">
      <c r="A134" s="49">
        <v>143</v>
      </c>
      <c r="B134" s="50" t="s">
        <v>118</v>
      </c>
      <c r="C134" s="51" t="s">
        <v>20</v>
      </c>
      <c r="D134" s="51" t="s">
        <v>84</v>
      </c>
      <c r="E134" s="52">
        <v>7869000000</v>
      </c>
      <c r="F134" s="52">
        <v>2900000000</v>
      </c>
      <c r="G134" s="52">
        <v>2094000000</v>
      </c>
      <c r="H134" s="52" t="s">
        <v>757</v>
      </c>
      <c r="I134" s="52">
        <v>4301000000</v>
      </c>
      <c r="J134" s="51" t="s">
        <v>116</v>
      </c>
      <c r="K134" s="51" t="s">
        <v>117</v>
      </c>
      <c r="L134" s="41">
        <f t="shared" si="10"/>
        <v>4969000000</v>
      </c>
      <c r="M134" s="41">
        <f t="shared" si="11"/>
        <v>6395000000</v>
      </c>
      <c r="N134" s="41">
        <f t="shared" si="12"/>
        <v>-1426000000</v>
      </c>
      <c r="O134" s="41">
        <f t="shared" si="13"/>
        <v>0.18731732113356203</v>
      </c>
      <c r="P134" s="41">
        <f t="shared" si="14"/>
        <v>-0.18121743550641758</v>
      </c>
    </row>
    <row r="135" spans="1:16" ht="19.95" customHeight="1">
      <c r="A135" s="49">
        <v>144</v>
      </c>
      <c r="B135" s="50" t="s">
        <v>119</v>
      </c>
      <c r="C135" s="51" t="s">
        <v>11</v>
      </c>
      <c r="D135" s="51" t="s">
        <v>40</v>
      </c>
      <c r="E135" s="52">
        <v>10180400000</v>
      </c>
      <c r="F135" s="52">
        <v>7472100000</v>
      </c>
      <c r="G135" s="52">
        <v>1018600000</v>
      </c>
      <c r="H135" s="52">
        <v>133700000</v>
      </c>
      <c r="I135" s="52" t="s">
        <v>757</v>
      </c>
      <c r="J135" s="51" t="s">
        <v>88</v>
      </c>
      <c r="K135" s="51" t="s">
        <v>120</v>
      </c>
      <c r="L135" s="41">
        <f t="shared" si="10"/>
        <v>2708300000</v>
      </c>
      <c r="M135" s="41">
        <f t="shared" si="11"/>
        <v>1152300000</v>
      </c>
      <c r="N135" s="41">
        <f t="shared" si="12"/>
        <v>1556000000</v>
      </c>
      <c r="O135" s="41">
        <f t="shared" si="13"/>
        <v>0.88681191308789442</v>
      </c>
      <c r="P135" s="41">
        <f t="shared" si="14"/>
        <v>0.152842717378492</v>
      </c>
    </row>
    <row r="136" spans="1:16" ht="19.95" customHeight="1">
      <c r="A136" s="49">
        <v>145</v>
      </c>
      <c r="B136" s="50" t="s">
        <v>119</v>
      </c>
      <c r="C136" s="51" t="s">
        <v>16</v>
      </c>
      <c r="D136" s="51" t="s">
        <v>42</v>
      </c>
      <c r="E136" s="52">
        <v>10439000000</v>
      </c>
      <c r="F136" s="52">
        <v>7629900000</v>
      </c>
      <c r="G136" s="52">
        <v>1007400000</v>
      </c>
      <c r="H136" s="52">
        <v>139800000</v>
      </c>
      <c r="I136" s="52" t="s">
        <v>757</v>
      </c>
      <c r="J136" s="51" t="s">
        <v>88</v>
      </c>
      <c r="K136" s="51" t="s">
        <v>120</v>
      </c>
      <c r="L136" s="41">
        <f t="shared" si="10"/>
        <v>2809100000</v>
      </c>
      <c r="M136" s="41">
        <f t="shared" si="11"/>
        <v>1147200000</v>
      </c>
      <c r="N136" s="41">
        <f t="shared" si="12"/>
        <v>1661900000</v>
      </c>
      <c r="O136" s="41">
        <f t="shared" si="13"/>
        <v>0.89010441613181335</v>
      </c>
      <c r="P136" s="41">
        <f t="shared" si="14"/>
        <v>0.15920107289970303</v>
      </c>
    </row>
    <row r="137" spans="1:16" ht="19.95" customHeight="1">
      <c r="A137" s="49">
        <v>146</v>
      </c>
      <c r="B137" s="50" t="s">
        <v>119</v>
      </c>
      <c r="C137" s="51" t="s">
        <v>18</v>
      </c>
      <c r="D137" s="51" t="s">
        <v>43</v>
      </c>
      <c r="E137" s="52">
        <v>9894900000</v>
      </c>
      <c r="F137" s="52">
        <v>6939000000</v>
      </c>
      <c r="G137" s="52">
        <v>895300000</v>
      </c>
      <c r="H137" s="52">
        <v>137100000</v>
      </c>
      <c r="I137" s="52" t="s">
        <v>757</v>
      </c>
      <c r="J137" s="51" t="s">
        <v>88</v>
      </c>
      <c r="K137" s="51" t="s">
        <v>120</v>
      </c>
      <c r="L137" s="41">
        <f t="shared" si="10"/>
        <v>2955900000</v>
      </c>
      <c r="M137" s="41">
        <f t="shared" si="11"/>
        <v>1032400000</v>
      </c>
      <c r="N137" s="41">
        <f t="shared" si="12"/>
        <v>1923500000</v>
      </c>
      <c r="O137" s="41">
        <f t="shared" si="13"/>
        <v>0.89566342257122356</v>
      </c>
      <c r="P137" s="41">
        <f t="shared" si="14"/>
        <v>0.19439307117808163</v>
      </c>
    </row>
    <row r="138" spans="1:16" ht="19.95" customHeight="1">
      <c r="A138" s="49">
        <v>147</v>
      </c>
      <c r="B138" s="50" t="s">
        <v>119</v>
      </c>
      <c r="C138" s="51" t="s">
        <v>20</v>
      </c>
      <c r="D138" s="51" t="s">
        <v>44</v>
      </c>
      <c r="E138" s="52">
        <v>9524400000</v>
      </c>
      <c r="F138" s="52">
        <v>6402700000</v>
      </c>
      <c r="G138" s="52">
        <v>797600000</v>
      </c>
      <c r="H138" s="52">
        <v>132000000</v>
      </c>
      <c r="I138" s="52" t="s">
        <v>757</v>
      </c>
      <c r="J138" s="51" t="s">
        <v>88</v>
      </c>
      <c r="K138" s="51" t="s">
        <v>120</v>
      </c>
      <c r="L138" s="41">
        <f t="shared" si="10"/>
        <v>3121700000</v>
      </c>
      <c r="M138" s="41">
        <f t="shared" si="11"/>
        <v>929600000</v>
      </c>
      <c r="N138" s="41">
        <f t="shared" si="12"/>
        <v>2192100000</v>
      </c>
      <c r="O138" s="41">
        <f t="shared" si="13"/>
        <v>0.90239805132081807</v>
      </c>
      <c r="P138" s="41">
        <f t="shared" si="14"/>
        <v>0.23015623031372054</v>
      </c>
    </row>
    <row r="139" spans="1:16" ht="19.95" customHeight="1">
      <c r="A139" s="49">
        <v>148</v>
      </c>
      <c r="B139" s="50" t="s">
        <v>121</v>
      </c>
      <c r="C139" s="51" t="s">
        <v>11</v>
      </c>
      <c r="D139" s="51" t="s">
        <v>12</v>
      </c>
      <c r="E139" s="52">
        <v>4292100000</v>
      </c>
      <c r="F139" s="52">
        <v>2948900000</v>
      </c>
      <c r="G139" s="52">
        <v>512900000</v>
      </c>
      <c r="H139" s="52" t="s">
        <v>757</v>
      </c>
      <c r="I139" s="52" t="s">
        <v>757</v>
      </c>
      <c r="J139" s="51" t="s">
        <v>31</v>
      </c>
      <c r="K139" s="51" t="s">
        <v>122</v>
      </c>
      <c r="L139" s="41">
        <f t="shared" si="10"/>
        <v>1343200000</v>
      </c>
      <c r="M139" s="41">
        <f t="shared" si="11"/>
        <v>512900000</v>
      </c>
      <c r="N139" s="41">
        <f t="shared" si="12"/>
        <v>830300000</v>
      </c>
      <c r="O139" s="41">
        <f t="shared" si="13"/>
        <v>0.88050138626779428</v>
      </c>
      <c r="P139" s="41">
        <f t="shared" si="14"/>
        <v>0.19344842850818947</v>
      </c>
    </row>
    <row r="140" spans="1:16" ht="19.95" customHeight="1">
      <c r="A140" s="49">
        <v>149</v>
      </c>
      <c r="B140" s="50" t="s">
        <v>121</v>
      </c>
      <c r="C140" s="51" t="s">
        <v>16</v>
      </c>
      <c r="D140" s="51" t="s">
        <v>17</v>
      </c>
      <c r="E140" s="52">
        <v>4614700000</v>
      </c>
      <c r="F140" s="52">
        <v>3163900000</v>
      </c>
      <c r="G140" s="52">
        <v>548000000</v>
      </c>
      <c r="H140" s="52" t="s">
        <v>757</v>
      </c>
      <c r="I140" s="52" t="s">
        <v>757</v>
      </c>
      <c r="J140" s="51" t="s">
        <v>31</v>
      </c>
      <c r="K140" s="51" t="s">
        <v>122</v>
      </c>
      <c r="L140" s="41">
        <f t="shared" si="10"/>
        <v>1450800000</v>
      </c>
      <c r="M140" s="41">
        <f t="shared" si="11"/>
        <v>548000000</v>
      </c>
      <c r="N140" s="41">
        <f t="shared" si="12"/>
        <v>902800000</v>
      </c>
      <c r="O140" s="41">
        <f t="shared" si="13"/>
        <v>0.88124905194270486</v>
      </c>
      <c r="P140" s="41">
        <f t="shared" si="14"/>
        <v>0.19563568596008407</v>
      </c>
    </row>
    <row r="141" spans="1:16" ht="19.95" customHeight="1">
      <c r="A141" s="49">
        <v>150</v>
      </c>
      <c r="B141" s="50" t="s">
        <v>121</v>
      </c>
      <c r="C141" s="51" t="s">
        <v>18</v>
      </c>
      <c r="D141" s="51" t="s">
        <v>19</v>
      </c>
      <c r="E141" s="52">
        <v>5345500000</v>
      </c>
      <c r="F141" s="52">
        <v>3651700000</v>
      </c>
      <c r="G141" s="52">
        <v>645100000</v>
      </c>
      <c r="H141" s="52" t="s">
        <v>757</v>
      </c>
      <c r="I141" s="52" t="s">
        <v>757</v>
      </c>
      <c r="J141" s="51" t="s">
        <v>31</v>
      </c>
      <c r="K141" s="51" t="s">
        <v>122</v>
      </c>
      <c r="L141" s="41">
        <f t="shared" si="10"/>
        <v>1693800000</v>
      </c>
      <c r="M141" s="41">
        <f t="shared" si="11"/>
        <v>645100000</v>
      </c>
      <c r="N141" s="41">
        <f t="shared" si="12"/>
        <v>1048700000</v>
      </c>
      <c r="O141" s="41">
        <f t="shared" si="13"/>
        <v>0.87931905340940975</v>
      </c>
      <c r="P141" s="41">
        <f t="shared" si="14"/>
        <v>0.19618370592086801</v>
      </c>
    </row>
    <row r="142" spans="1:16" ht="19.95" customHeight="1">
      <c r="A142" s="49">
        <v>151</v>
      </c>
      <c r="B142" s="50" t="s">
        <v>121</v>
      </c>
      <c r="C142" s="51" t="s">
        <v>20</v>
      </c>
      <c r="D142" s="51" t="s">
        <v>21</v>
      </c>
      <c r="E142" s="52">
        <v>5568700000</v>
      </c>
      <c r="F142" s="52">
        <v>3789200000</v>
      </c>
      <c r="G142" s="52">
        <v>669100000</v>
      </c>
      <c r="H142" s="52" t="s">
        <v>757</v>
      </c>
      <c r="I142" s="52" t="s">
        <v>757</v>
      </c>
      <c r="J142" s="51" t="s">
        <v>31</v>
      </c>
      <c r="K142" s="51" t="s">
        <v>122</v>
      </c>
      <c r="L142" s="41">
        <f t="shared" si="10"/>
        <v>1779500000</v>
      </c>
      <c r="M142" s="41">
        <f t="shared" si="11"/>
        <v>669100000</v>
      </c>
      <c r="N142" s="41">
        <f t="shared" si="12"/>
        <v>1110400000</v>
      </c>
      <c r="O142" s="41">
        <f t="shared" si="13"/>
        <v>0.87984628369278284</v>
      </c>
      <c r="P142" s="41">
        <f t="shared" si="14"/>
        <v>0.19940021908165281</v>
      </c>
    </row>
    <row r="143" spans="1:16" ht="19.95" customHeight="1">
      <c r="A143" s="49">
        <v>152</v>
      </c>
      <c r="B143" s="50" t="s">
        <v>123</v>
      </c>
      <c r="C143" s="51" t="s">
        <v>11</v>
      </c>
      <c r="D143" s="51" t="s">
        <v>12</v>
      </c>
      <c r="E143" s="52">
        <v>23700000000</v>
      </c>
      <c r="F143" s="52">
        <v>20401000000</v>
      </c>
      <c r="G143" s="52">
        <v>997000000</v>
      </c>
      <c r="H143" s="52">
        <v>197000000</v>
      </c>
      <c r="I143" s="52">
        <v>1460000000</v>
      </c>
      <c r="J143" s="51" t="s">
        <v>14</v>
      </c>
      <c r="K143" s="51" t="s">
        <v>124</v>
      </c>
      <c r="L143" s="41">
        <f t="shared" si="10"/>
        <v>3299000000</v>
      </c>
      <c r="M143" s="41">
        <f t="shared" si="11"/>
        <v>2654000000</v>
      </c>
      <c r="N143" s="41">
        <f t="shared" si="12"/>
        <v>645000000</v>
      </c>
      <c r="O143" s="41">
        <f t="shared" si="13"/>
        <v>0.88801687763713077</v>
      </c>
      <c r="P143" s="41">
        <f t="shared" si="14"/>
        <v>2.7215189873417721E-2</v>
      </c>
    </row>
    <row r="144" spans="1:16" ht="19.95" customHeight="1">
      <c r="A144" s="49">
        <v>153</v>
      </c>
      <c r="B144" s="50" t="s">
        <v>123</v>
      </c>
      <c r="C144" s="51" t="s">
        <v>16</v>
      </c>
      <c r="D144" s="51" t="s">
        <v>17</v>
      </c>
      <c r="E144" s="52">
        <v>23032000000</v>
      </c>
      <c r="F144" s="52">
        <v>19286000000</v>
      </c>
      <c r="G144" s="52">
        <v>1008000000</v>
      </c>
      <c r="H144" s="52">
        <v>192000000</v>
      </c>
      <c r="I144" s="52">
        <v>1421000000</v>
      </c>
      <c r="J144" s="51" t="s">
        <v>14</v>
      </c>
      <c r="K144" s="51" t="s">
        <v>124</v>
      </c>
      <c r="L144" s="41">
        <f t="shared" si="10"/>
        <v>3746000000</v>
      </c>
      <c r="M144" s="41">
        <f t="shared" si="11"/>
        <v>2621000000</v>
      </c>
      <c r="N144" s="41">
        <f t="shared" si="12"/>
        <v>1125000000</v>
      </c>
      <c r="O144" s="41">
        <f t="shared" si="13"/>
        <v>0.88620180618270239</v>
      </c>
      <c r="P144" s="41">
        <f t="shared" si="14"/>
        <v>4.8845085098992706E-2</v>
      </c>
    </row>
    <row r="145" spans="1:16" ht="19.95" customHeight="1">
      <c r="A145" s="49">
        <v>154</v>
      </c>
      <c r="B145" s="50" t="s">
        <v>123</v>
      </c>
      <c r="C145" s="51" t="s">
        <v>18</v>
      </c>
      <c r="D145" s="51" t="s">
        <v>19</v>
      </c>
      <c r="E145" s="52">
        <v>23906000000</v>
      </c>
      <c r="F145" s="52">
        <v>19137000000</v>
      </c>
      <c r="G145" s="52">
        <v>995000000</v>
      </c>
      <c r="H145" s="52">
        <v>218000000</v>
      </c>
      <c r="I145" s="52">
        <v>1371000000</v>
      </c>
      <c r="J145" s="51" t="s">
        <v>14</v>
      </c>
      <c r="K145" s="51" t="s">
        <v>124</v>
      </c>
      <c r="L145" s="41">
        <f t="shared" si="10"/>
        <v>4769000000</v>
      </c>
      <c r="M145" s="41">
        <f t="shared" si="11"/>
        <v>2584000000</v>
      </c>
      <c r="N145" s="41">
        <f t="shared" si="12"/>
        <v>2185000000</v>
      </c>
      <c r="O145" s="41">
        <f t="shared" si="13"/>
        <v>0.89190998075796868</v>
      </c>
      <c r="P145" s="41">
        <f t="shared" si="14"/>
        <v>9.1399648623776461E-2</v>
      </c>
    </row>
    <row r="146" spans="1:16" ht="19.95" customHeight="1">
      <c r="A146" s="49">
        <v>155</v>
      </c>
      <c r="B146" s="50" t="s">
        <v>123</v>
      </c>
      <c r="C146" s="51" t="s">
        <v>20</v>
      </c>
      <c r="D146" s="51" t="s">
        <v>21</v>
      </c>
      <c r="E146" s="52">
        <v>22534000000</v>
      </c>
      <c r="F146" s="52">
        <v>18069000000</v>
      </c>
      <c r="G146" s="52">
        <v>979000000</v>
      </c>
      <c r="H146" s="52">
        <v>238000000</v>
      </c>
      <c r="I146" s="52">
        <v>1280000000</v>
      </c>
      <c r="J146" s="51" t="s">
        <v>14</v>
      </c>
      <c r="K146" s="51" t="s">
        <v>124</v>
      </c>
      <c r="L146" s="41">
        <f t="shared" si="10"/>
        <v>4465000000</v>
      </c>
      <c r="M146" s="41">
        <f t="shared" si="11"/>
        <v>2497000000</v>
      </c>
      <c r="N146" s="41">
        <f t="shared" si="12"/>
        <v>1968000000</v>
      </c>
      <c r="O146" s="41">
        <f t="shared" si="13"/>
        <v>0.88918966894470575</v>
      </c>
      <c r="P146" s="41">
        <f t="shared" si="14"/>
        <v>8.7334694239815394E-2</v>
      </c>
    </row>
    <row r="147" spans="1:16" ht="19.95" customHeight="1">
      <c r="A147" s="49">
        <v>156</v>
      </c>
      <c r="B147" s="50" t="s">
        <v>125</v>
      </c>
      <c r="C147" s="51" t="s">
        <v>11</v>
      </c>
      <c r="D147" s="51" t="s">
        <v>12</v>
      </c>
      <c r="E147" s="52">
        <v>4856000000</v>
      </c>
      <c r="F147" s="52">
        <v>1662000000</v>
      </c>
      <c r="G147" s="52">
        <v>1139000000</v>
      </c>
      <c r="H147" s="52">
        <v>604000000</v>
      </c>
      <c r="I147" s="52" t="s">
        <v>757</v>
      </c>
      <c r="J147" s="51" t="s">
        <v>31</v>
      </c>
      <c r="K147" s="51" t="s">
        <v>126</v>
      </c>
      <c r="L147" s="41">
        <f t="shared" si="10"/>
        <v>3194000000</v>
      </c>
      <c r="M147" s="41">
        <f t="shared" si="11"/>
        <v>1743000000</v>
      </c>
      <c r="N147" s="41">
        <f t="shared" si="12"/>
        <v>1451000000</v>
      </c>
      <c r="O147" s="41">
        <f t="shared" si="13"/>
        <v>0.64106260296540363</v>
      </c>
      <c r="P147" s="41">
        <f t="shared" si="14"/>
        <v>0.29880560131795719</v>
      </c>
    </row>
    <row r="148" spans="1:16" ht="19.95" customHeight="1">
      <c r="A148" s="49">
        <v>157</v>
      </c>
      <c r="B148" s="50" t="s">
        <v>125</v>
      </c>
      <c r="C148" s="51" t="s">
        <v>16</v>
      </c>
      <c r="D148" s="51" t="s">
        <v>17</v>
      </c>
      <c r="E148" s="52">
        <v>4583000000</v>
      </c>
      <c r="F148" s="52">
        <v>1531000000</v>
      </c>
      <c r="G148" s="52">
        <v>1096000000</v>
      </c>
      <c r="H148" s="52">
        <v>584000000</v>
      </c>
      <c r="I148" s="52" t="s">
        <v>757</v>
      </c>
      <c r="J148" s="51" t="s">
        <v>31</v>
      </c>
      <c r="K148" s="51" t="s">
        <v>126</v>
      </c>
      <c r="L148" s="41">
        <f t="shared" si="10"/>
        <v>3052000000</v>
      </c>
      <c r="M148" s="41">
        <f t="shared" si="11"/>
        <v>1680000000</v>
      </c>
      <c r="N148" s="41">
        <f t="shared" si="12"/>
        <v>1372000000</v>
      </c>
      <c r="O148" s="41">
        <f t="shared" si="13"/>
        <v>0.63342788566441199</v>
      </c>
      <c r="P148" s="41">
        <f t="shared" si="14"/>
        <v>0.29936722670739691</v>
      </c>
    </row>
    <row r="149" spans="1:16" ht="19.95" customHeight="1">
      <c r="A149" s="49">
        <v>158</v>
      </c>
      <c r="B149" s="50" t="s">
        <v>125</v>
      </c>
      <c r="C149" s="51" t="s">
        <v>18</v>
      </c>
      <c r="D149" s="51" t="s">
        <v>19</v>
      </c>
      <c r="E149" s="52">
        <v>4408000000</v>
      </c>
      <c r="F149" s="52">
        <v>1525000000</v>
      </c>
      <c r="G149" s="52">
        <v>1129000000</v>
      </c>
      <c r="H149" s="52">
        <v>571000000</v>
      </c>
      <c r="I149" s="52" t="s">
        <v>757</v>
      </c>
      <c r="J149" s="51" t="s">
        <v>31</v>
      </c>
      <c r="K149" s="51" t="s">
        <v>126</v>
      </c>
      <c r="L149" s="41">
        <f t="shared" si="10"/>
        <v>2883000000</v>
      </c>
      <c r="M149" s="41">
        <f t="shared" si="11"/>
        <v>1700000000</v>
      </c>
      <c r="N149" s="41">
        <f t="shared" si="12"/>
        <v>1183000000</v>
      </c>
      <c r="O149" s="41">
        <f t="shared" si="13"/>
        <v>0.61433756805807627</v>
      </c>
      <c r="P149" s="41">
        <f t="shared" si="14"/>
        <v>0.26837568058076228</v>
      </c>
    </row>
    <row r="150" spans="1:16" ht="19.95" customHeight="1">
      <c r="A150" s="49">
        <v>159</v>
      </c>
      <c r="B150" s="50" t="s">
        <v>125</v>
      </c>
      <c r="C150" s="51" t="s">
        <v>20</v>
      </c>
      <c r="D150" s="51" t="s">
        <v>21</v>
      </c>
      <c r="E150" s="52">
        <v>4664000000</v>
      </c>
      <c r="F150" s="52">
        <v>1585000000</v>
      </c>
      <c r="G150" s="52">
        <v>1114000000</v>
      </c>
      <c r="H150" s="52">
        <v>646000000</v>
      </c>
      <c r="I150" s="52" t="s">
        <v>757</v>
      </c>
      <c r="J150" s="51" t="s">
        <v>31</v>
      </c>
      <c r="K150" s="51" t="s">
        <v>126</v>
      </c>
      <c r="L150" s="41">
        <f t="shared" si="10"/>
        <v>3079000000</v>
      </c>
      <c r="M150" s="41">
        <f t="shared" si="11"/>
        <v>1760000000</v>
      </c>
      <c r="N150" s="41">
        <f t="shared" si="12"/>
        <v>1319000000</v>
      </c>
      <c r="O150" s="41">
        <f t="shared" si="13"/>
        <v>0.62264150943396224</v>
      </c>
      <c r="P150" s="41">
        <f t="shared" si="14"/>
        <v>0.28280445969125212</v>
      </c>
    </row>
    <row r="151" spans="1:16" ht="19.95" customHeight="1">
      <c r="A151" s="49">
        <v>164</v>
      </c>
      <c r="B151" s="50" t="s">
        <v>127</v>
      </c>
      <c r="C151" s="51" t="s">
        <v>11</v>
      </c>
      <c r="D151" s="51" t="s">
        <v>128</v>
      </c>
      <c r="E151" s="52">
        <v>6824000000</v>
      </c>
      <c r="F151" s="52">
        <v>3271000000</v>
      </c>
      <c r="G151" s="52">
        <v>486000000</v>
      </c>
      <c r="H151" s="52">
        <v>1049000000</v>
      </c>
      <c r="I151" s="52">
        <v>249000000</v>
      </c>
      <c r="J151" s="51" t="s">
        <v>31</v>
      </c>
      <c r="K151" s="51" t="s">
        <v>55</v>
      </c>
      <c r="L151" s="41">
        <f t="shared" si="10"/>
        <v>3553000000</v>
      </c>
      <c r="M151" s="41">
        <f t="shared" si="11"/>
        <v>1784000000</v>
      </c>
      <c r="N151" s="41">
        <f t="shared" si="12"/>
        <v>1769000000</v>
      </c>
      <c r="O151" s="41">
        <f t="shared" si="13"/>
        <v>0.73856975381008205</v>
      </c>
      <c r="P151" s="41">
        <f t="shared" si="14"/>
        <v>0.25923212192262601</v>
      </c>
    </row>
    <row r="152" spans="1:16" ht="19.95" customHeight="1">
      <c r="A152" s="49">
        <v>165</v>
      </c>
      <c r="B152" s="50" t="s">
        <v>127</v>
      </c>
      <c r="C152" s="51" t="s">
        <v>16</v>
      </c>
      <c r="D152" s="51" t="s">
        <v>101</v>
      </c>
      <c r="E152" s="52">
        <v>13240000000</v>
      </c>
      <c r="F152" s="52">
        <v>7300000000</v>
      </c>
      <c r="G152" s="52">
        <v>806000000</v>
      </c>
      <c r="H152" s="52">
        <v>2674000000</v>
      </c>
      <c r="I152" s="52">
        <v>1873000000</v>
      </c>
      <c r="J152" s="51" t="s">
        <v>31</v>
      </c>
      <c r="K152" s="51" t="s">
        <v>55</v>
      </c>
      <c r="L152" s="41">
        <f t="shared" si="10"/>
        <v>5940000000</v>
      </c>
      <c r="M152" s="41">
        <f t="shared" si="11"/>
        <v>5353000000</v>
      </c>
      <c r="N152" s="41">
        <f t="shared" si="12"/>
        <v>587000000</v>
      </c>
      <c r="O152" s="41">
        <f t="shared" si="13"/>
        <v>0.59569486404833838</v>
      </c>
      <c r="P152" s="41">
        <f t="shared" si="14"/>
        <v>4.4335347432024171E-2</v>
      </c>
    </row>
    <row r="153" spans="1:16" ht="19.95" customHeight="1">
      <c r="A153" s="49">
        <v>166</v>
      </c>
      <c r="B153" s="50" t="s">
        <v>129</v>
      </c>
      <c r="C153" s="51" t="s">
        <v>11</v>
      </c>
      <c r="D153" s="51" t="s">
        <v>12</v>
      </c>
      <c r="E153" s="52">
        <v>5863500000</v>
      </c>
      <c r="F153" s="52">
        <v>4335300000</v>
      </c>
      <c r="G153" s="52">
        <v>1148900000</v>
      </c>
      <c r="H153" s="52" t="s">
        <v>757</v>
      </c>
      <c r="I153" s="52" t="s">
        <v>757</v>
      </c>
      <c r="J153" s="51" t="s">
        <v>88</v>
      </c>
      <c r="K153" s="51" t="s">
        <v>130</v>
      </c>
      <c r="L153" s="41">
        <f t="shared" si="10"/>
        <v>1528200000</v>
      </c>
      <c r="M153" s="41">
        <f t="shared" si="11"/>
        <v>1148900000</v>
      </c>
      <c r="N153" s="41">
        <f t="shared" si="12"/>
        <v>379300000</v>
      </c>
      <c r="O153" s="41">
        <f t="shared" si="13"/>
        <v>0.80405900912424322</v>
      </c>
      <c r="P153" s="41">
        <f t="shared" si="14"/>
        <v>6.4688326085102749E-2</v>
      </c>
    </row>
    <row r="154" spans="1:16" ht="19.95" customHeight="1">
      <c r="A154" s="49">
        <v>167</v>
      </c>
      <c r="B154" s="50" t="s">
        <v>129</v>
      </c>
      <c r="C154" s="51" t="s">
        <v>16</v>
      </c>
      <c r="D154" s="51" t="s">
        <v>26</v>
      </c>
      <c r="E154" s="52">
        <v>6140000000</v>
      </c>
      <c r="F154" s="52">
        <v>4502300000</v>
      </c>
      <c r="G154" s="52">
        <v>1174200000</v>
      </c>
      <c r="H154" s="52" t="s">
        <v>757</v>
      </c>
      <c r="I154" s="52" t="s">
        <v>757</v>
      </c>
      <c r="J154" s="51" t="s">
        <v>88</v>
      </c>
      <c r="K154" s="51" t="s">
        <v>130</v>
      </c>
      <c r="L154" s="41">
        <f t="shared" si="10"/>
        <v>1637700000</v>
      </c>
      <c r="M154" s="41">
        <f t="shared" si="11"/>
        <v>1174200000</v>
      </c>
      <c r="N154" s="41">
        <f t="shared" si="12"/>
        <v>463500000</v>
      </c>
      <c r="O154" s="41">
        <f t="shared" si="13"/>
        <v>0.80876221498371337</v>
      </c>
      <c r="P154" s="41">
        <f t="shared" si="14"/>
        <v>7.5488599348534205E-2</v>
      </c>
    </row>
    <row r="155" spans="1:16" ht="19.95" customHeight="1">
      <c r="A155" s="49">
        <v>168</v>
      </c>
      <c r="B155" s="50" t="s">
        <v>129</v>
      </c>
      <c r="C155" s="51" t="s">
        <v>18</v>
      </c>
      <c r="D155" s="51" t="s">
        <v>27</v>
      </c>
      <c r="E155" s="52">
        <v>6330300000</v>
      </c>
      <c r="F155" s="52">
        <v>4679100000</v>
      </c>
      <c r="G155" s="52">
        <v>1158900000</v>
      </c>
      <c r="H155" s="52" t="s">
        <v>757</v>
      </c>
      <c r="I155" s="52" t="s">
        <v>757</v>
      </c>
      <c r="J155" s="51" t="s">
        <v>88</v>
      </c>
      <c r="K155" s="51" t="s">
        <v>130</v>
      </c>
      <c r="L155" s="41">
        <f t="shared" si="10"/>
        <v>1651200000</v>
      </c>
      <c r="M155" s="41">
        <f t="shared" si="11"/>
        <v>1158900000</v>
      </c>
      <c r="N155" s="41">
        <f t="shared" si="12"/>
        <v>492300000</v>
      </c>
      <c r="O155" s="41">
        <f t="shared" si="13"/>
        <v>0.81692810767262214</v>
      </c>
      <c r="P155" s="41">
        <f t="shared" si="14"/>
        <v>7.7768826121984741E-2</v>
      </c>
    </row>
    <row r="156" spans="1:16" ht="19.95" customHeight="1">
      <c r="A156" s="49">
        <v>169</v>
      </c>
      <c r="B156" s="50" t="s">
        <v>129</v>
      </c>
      <c r="C156" s="51" t="s">
        <v>20</v>
      </c>
      <c r="D156" s="51" t="s">
        <v>28</v>
      </c>
      <c r="E156" s="52">
        <v>5966900000</v>
      </c>
      <c r="F156" s="52">
        <v>4321100000</v>
      </c>
      <c r="G156" s="52">
        <v>1108100000</v>
      </c>
      <c r="H156" s="52" t="s">
        <v>757</v>
      </c>
      <c r="I156" s="52" t="s">
        <v>757</v>
      </c>
      <c r="J156" s="51" t="s">
        <v>88</v>
      </c>
      <c r="K156" s="51" t="s">
        <v>130</v>
      </c>
      <c r="L156" s="41">
        <f t="shared" si="10"/>
        <v>1645800000</v>
      </c>
      <c r="M156" s="41">
        <f t="shared" si="11"/>
        <v>1108100000</v>
      </c>
      <c r="N156" s="41">
        <f t="shared" si="12"/>
        <v>537700000</v>
      </c>
      <c r="O156" s="41">
        <f t="shared" si="13"/>
        <v>0.81429217851815849</v>
      </c>
      <c r="P156" s="41">
        <f t="shared" si="14"/>
        <v>9.0113794432619951E-2</v>
      </c>
    </row>
    <row r="157" spans="1:16" ht="19.95" customHeight="1">
      <c r="A157" s="49">
        <v>170</v>
      </c>
      <c r="B157" s="50" t="s">
        <v>131</v>
      </c>
      <c r="C157" s="51" t="s">
        <v>11</v>
      </c>
      <c r="D157" s="51" t="s">
        <v>12</v>
      </c>
      <c r="E157" s="52">
        <v>2853926000</v>
      </c>
      <c r="F157" s="52">
        <v>1329500000</v>
      </c>
      <c r="G157" s="52">
        <v>220758000</v>
      </c>
      <c r="H157" s="52" t="s">
        <v>757</v>
      </c>
      <c r="I157" s="52">
        <v>380402000</v>
      </c>
      <c r="J157" s="51" t="s">
        <v>70</v>
      </c>
      <c r="K157" s="51" t="s">
        <v>132</v>
      </c>
      <c r="L157" s="41">
        <f t="shared" si="10"/>
        <v>1524426000</v>
      </c>
      <c r="M157" s="41">
        <f t="shared" si="11"/>
        <v>601160000</v>
      </c>
      <c r="N157" s="41">
        <f t="shared" si="12"/>
        <v>923266000</v>
      </c>
      <c r="O157" s="41">
        <f t="shared" si="13"/>
        <v>0.78935683686262359</v>
      </c>
      <c r="P157" s="41">
        <f t="shared" si="14"/>
        <v>0.32350733691062766</v>
      </c>
    </row>
    <row r="158" spans="1:16" ht="19.95" customHeight="1">
      <c r="A158" s="49">
        <v>171</v>
      </c>
      <c r="B158" s="50" t="s">
        <v>131</v>
      </c>
      <c r="C158" s="51" t="s">
        <v>16</v>
      </c>
      <c r="D158" s="51" t="s">
        <v>17</v>
      </c>
      <c r="E158" s="52">
        <v>2879000000</v>
      </c>
      <c r="F158" s="52">
        <v>1289000000</v>
      </c>
      <c r="G158" s="52">
        <v>234000000</v>
      </c>
      <c r="H158" s="52" t="s">
        <v>757</v>
      </c>
      <c r="I158" s="52">
        <v>407000000</v>
      </c>
      <c r="J158" s="51" t="s">
        <v>70</v>
      </c>
      <c r="K158" s="51" t="s">
        <v>132</v>
      </c>
      <c r="L158" s="41">
        <f t="shared" si="10"/>
        <v>1590000000</v>
      </c>
      <c r="M158" s="41">
        <f t="shared" si="11"/>
        <v>641000000</v>
      </c>
      <c r="N158" s="41">
        <f t="shared" si="12"/>
        <v>949000000</v>
      </c>
      <c r="O158" s="41">
        <f t="shared" si="13"/>
        <v>0.7773532476554359</v>
      </c>
      <c r="P158" s="41">
        <f t="shared" si="14"/>
        <v>0.32962834317471346</v>
      </c>
    </row>
    <row r="159" spans="1:16" ht="19.95" customHeight="1">
      <c r="A159" s="49">
        <v>172</v>
      </c>
      <c r="B159" s="50" t="s">
        <v>131</v>
      </c>
      <c r="C159" s="51" t="s">
        <v>18</v>
      </c>
      <c r="D159" s="51" t="s">
        <v>19</v>
      </c>
      <c r="E159" s="52">
        <v>3011000000</v>
      </c>
      <c r="F159" s="52">
        <v>1350000000</v>
      </c>
      <c r="G159" s="52">
        <v>236000000</v>
      </c>
      <c r="H159" s="52" t="s">
        <v>757</v>
      </c>
      <c r="I159" s="52">
        <v>424000000</v>
      </c>
      <c r="J159" s="51" t="s">
        <v>70</v>
      </c>
      <c r="K159" s="51" t="s">
        <v>132</v>
      </c>
      <c r="L159" s="41">
        <f t="shared" si="10"/>
        <v>1661000000</v>
      </c>
      <c r="M159" s="41">
        <f t="shared" si="11"/>
        <v>660000000</v>
      </c>
      <c r="N159" s="41">
        <f t="shared" si="12"/>
        <v>1001000000</v>
      </c>
      <c r="O159" s="41">
        <f t="shared" si="13"/>
        <v>0.78080371969445372</v>
      </c>
      <c r="P159" s="41">
        <f t="shared" si="14"/>
        <v>0.33244769179674527</v>
      </c>
    </row>
    <row r="160" spans="1:16" ht="19.95" customHeight="1">
      <c r="A160" s="49">
        <v>173</v>
      </c>
      <c r="B160" s="50" t="s">
        <v>131</v>
      </c>
      <c r="C160" s="51" t="s">
        <v>20</v>
      </c>
      <c r="D160" s="51" t="s">
        <v>21</v>
      </c>
      <c r="E160" s="52">
        <v>3159000000</v>
      </c>
      <c r="F160" s="52">
        <v>1404000000</v>
      </c>
      <c r="G160" s="52">
        <v>243000000</v>
      </c>
      <c r="H160" s="52" t="s">
        <v>757</v>
      </c>
      <c r="I160" s="52">
        <v>440000000</v>
      </c>
      <c r="J160" s="51" t="s">
        <v>70</v>
      </c>
      <c r="K160" s="51" t="s">
        <v>132</v>
      </c>
      <c r="L160" s="41">
        <f t="shared" si="10"/>
        <v>1755000000</v>
      </c>
      <c r="M160" s="41">
        <f t="shared" si="11"/>
        <v>683000000</v>
      </c>
      <c r="N160" s="41">
        <f t="shared" si="12"/>
        <v>1072000000</v>
      </c>
      <c r="O160" s="41">
        <f t="shared" si="13"/>
        <v>0.78379233934789494</v>
      </c>
      <c r="P160" s="41">
        <f t="shared" si="14"/>
        <v>0.33934789490345046</v>
      </c>
    </row>
    <row r="161" spans="1:16" ht="19.95" customHeight="1">
      <c r="A161" s="49">
        <v>174</v>
      </c>
      <c r="B161" s="50" t="s">
        <v>133</v>
      </c>
      <c r="C161" s="51" t="s">
        <v>11</v>
      </c>
      <c r="D161" s="51" t="s">
        <v>12</v>
      </c>
      <c r="E161" s="52">
        <v>33781000000</v>
      </c>
      <c r="F161" s="52">
        <v>480000000</v>
      </c>
      <c r="G161" s="52">
        <v>23392000000</v>
      </c>
      <c r="H161" s="52" t="s">
        <v>757</v>
      </c>
      <c r="I161" s="52">
        <v>1712000000</v>
      </c>
      <c r="J161" s="51" t="s">
        <v>75</v>
      </c>
      <c r="K161" s="51" t="s">
        <v>134</v>
      </c>
      <c r="L161" s="41">
        <f t="shared" si="10"/>
        <v>33301000000</v>
      </c>
      <c r="M161" s="41">
        <f t="shared" si="11"/>
        <v>25104000000</v>
      </c>
      <c r="N161" s="41">
        <f t="shared" si="12"/>
        <v>8197000000</v>
      </c>
      <c r="O161" s="41">
        <f t="shared" si="13"/>
        <v>0.25686036529410028</v>
      </c>
      <c r="P161" s="41">
        <f t="shared" si="14"/>
        <v>0.24265119445842337</v>
      </c>
    </row>
    <row r="162" spans="1:16" ht="19.95" customHeight="1">
      <c r="A162" s="53">
        <v>175</v>
      </c>
      <c r="B162" s="54" t="s">
        <v>133</v>
      </c>
      <c r="C162" s="55" t="s">
        <v>16</v>
      </c>
      <c r="D162" s="55" t="s">
        <v>17</v>
      </c>
      <c r="E162" s="56">
        <v>34828000000</v>
      </c>
      <c r="F162" s="56">
        <v>442000000</v>
      </c>
      <c r="G162" s="56">
        <v>23150000000</v>
      </c>
      <c r="H162" s="56" t="s">
        <v>757</v>
      </c>
      <c r="I162" s="56">
        <v>1832000000</v>
      </c>
      <c r="J162" s="55" t="s">
        <v>75</v>
      </c>
      <c r="K162" s="55" t="s">
        <v>134</v>
      </c>
      <c r="L162" s="57">
        <f t="shared" si="10"/>
        <v>34386000000</v>
      </c>
      <c r="M162" s="57">
        <f t="shared" si="11"/>
        <v>24982000000</v>
      </c>
      <c r="N162" s="57">
        <f t="shared" si="12"/>
        <v>9404000000</v>
      </c>
      <c r="O162" s="57">
        <f t="shared" si="13"/>
        <v>0.28270357183875039</v>
      </c>
      <c r="P162" s="57">
        <f t="shared" si="14"/>
        <v>0.27001263351326521</v>
      </c>
    </row>
    <row r="163" spans="1:16" ht="19.95" customHeight="1">
      <c r="A163" s="49">
        <v>176</v>
      </c>
      <c r="B163" s="50" t="s">
        <v>133</v>
      </c>
      <c r="C163" s="51" t="s">
        <v>18</v>
      </c>
      <c r="D163" s="51" t="s">
        <v>19</v>
      </c>
      <c r="E163" s="52">
        <v>35895000000</v>
      </c>
      <c r="F163" s="52">
        <v>373000000</v>
      </c>
      <c r="G163" s="52">
        <v>23153000000</v>
      </c>
      <c r="H163" s="52" t="s">
        <v>757</v>
      </c>
      <c r="I163" s="52">
        <v>2044000000</v>
      </c>
      <c r="J163" s="51" t="s">
        <v>75</v>
      </c>
      <c r="K163" s="51" t="s">
        <v>134</v>
      </c>
      <c r="L163" s="41">
        <f t="shared" si="10"/>
        <v>35522000000</v>
      </c>
      <c r="M163" s="41">
        <f t="shared" si="11"/>
        <v>25197000000</v>
      </c>
      <c r="N163" s="41">
        <f t="shared" si="12"/>
        <v>10325000000</v>
      </c>
      <c r="O163" s="41">
        <f t="shared" si="13"/>
        <v>0.29803593815294604</v>
      </c>
      <c r="P163" s="41">
        <f t="shared" si="14"/>
        <v>0.28764451873519986</v>
      </c>
    </row>
    <row r="164" spans="1:16" ht="19.95" customHeight="1">
      <c r="A164" s="49">
        <v>177</v>
      </c>
      <c r="B164" s="50" t="s">
        <v>133</v>
      </c>
      <c r="C164" s="51" t="s">
        <v>20</v>
      </c>
      <c r="D164" s="51" t="s">
        <v>21</v>
      </c>
      <c r="E164" s="52">
        <v>34441000000</v>
      </c>
      <c r="F164" s="52">
        <v>475000000</v>
      </c>
      <c r="G164" s="52">
        <v>22892000000</v>
      </c>
      <c r="H164" s="52" t="s">
        <v>757</v>
      </c>
      <c r="I164" s="52">
        <v>1988000000</v>
      </c>
      <c r="J164" s="51" t="s">
        <v>75</v>
      </c>
      <c r="K164" s="51" t="s">
        <v>134</v>
      </c>
      <c r="L164" s="41">
        <f t="shared" si="10"/>
        <v>33966000000</v>
      </c>
      <c r="M164" s="41">
        <f t="shared" si="11"/>
        <v>24880000000</v>
      </c>
      <c r="N164" s="41">
        <f t="shared" si="12"/>
        <v>9086000000</v>
      </c>
      <c r="O164" s="41">
        <f t="shared" si="13"/>
        <v>0.27760517987282596</v>
      </c>
      <c r="P164" s="41">
        <f t="shared" si="14"/>
        <v>0.26381347812200573</v>
      </c>
    </row>
    <row r="165" spans="1:16" ht="19.95" customHeight="1">
      <c r="A165" s="49">
        <v>178</v>
      </c>
      <c r="B165" s="50" t="s">
        <v>135</v>
      </c>
      <c r="C165" s="51" t="s">
        <v>11</v>
      </c>
      <c r="D165" s="51" t="s">
        <v>136</v>
      </c>
      <c r="E165" s="52">
        <v>2089100000</v>
      </c>
      <c r="F165" s="52">
        <v>1251500000</v>
      </c>
      <c r="G165" s="52">
        <v>607600000</v>
      </c>
      <c r="H165" s="52" t="s">
        <v>757</v>
      </c>
      <c r="I165" s="52" t="s">
        <v>757</v>
      </c>
      <c r="J165" s="51" t="s">
        <v>14</v>
      </c>
      <c r="K165" s="51" t="s">
        <v>103</v>
      </c>
      <c r="L165" s="41">
        <f t="shared" si="10"/>
        <v>837600000</v>
      </c>
      <c r="M165" s="41">
        <f t="shared" si="11"/>
        <v>607600000</v>
      </c>
      <c r="N165" s="41">
        <f t="shared" si="12"/>
        <v>230000000</v>
      </c>
      <c r="O165" s="41">
        <f t="shared" si="13"/>
        <v>0.70915705327653056</v>
      </c>
      <c r="P165" s="41">
        <f t="shared" si="14"/>
        <v>0.11009525633047725</v>
      </c>
    </row>
    <row r="166" spans="1:16" ht="19.95" customHeight="1">
      <c r="A166" s="49">
        <v>179</v>
      </c>
      <c r="B166" s="50" t="s">
        <v>135</v>
      </c>
      <c r="C166" s="51" t="s">
        <v>16</v>
      </c>
      <c r="D166" s="51" t="s">
        <v>137</v>
      </c>
      <c r="E166" s="52">
        <v>2393500000</v>
      </c>
      <c r="F166" s="52">
        <v>1414300000</v>
      </c>
      <c r="G166" s="52">
        <v>680300000</v>
      </c>
      <c r="H166" s="52" t="s">
        <v>757</v>
      </c>
      <c r="I166" s="52" t="s">
        <v>757</v>
      </c>
      <c r="J166" s="51" t="s">
        <v>14</v>
      </c>
      <c r="K166" s="51" t="s">
        <v>103</v>
      </c>
      <c r="L166" s="41">
        <f t="shared" si="10"/>
        <v>979200000</v>
      </c>
      <c r="M166" s="41">
        <f t="shared" si="11"/>
        <v>680300000</v>
      </c>
      <c r="N166" s="41">
        <f t="shared" si="12"/>
        <v>298900000</v>
      </c>
      <c r="O166" s="41">
        <f t="shared" si="13"/>
        <v>0.7157718821809067</v>
      </c>
      <c r="P166" s="41">
        <f t="shared" si="14"/>
        <v>0.12487988301650303</v>
      </c>
    </row>
    <row r="167" spans="1:16" ht="19.95" customHeight="1">
      <c r="A167" s="49">
        <v>180</v>
      </c>
      <c r="B167" s="50" t="s">
        <v>135</v>
      </c>
      <c r="C167" s="51" t="s">
        <v>18</v>
      </c>
      <c r="D167" s="51" t="s">
        <v>138</v>
      </c>
      <c r="E167" s="52">
        <v>2706700000</v>
      </c>
      <c r="F167" s="52">
        <v>1561100000</v>
      </c>
      <c r="G167" s="52">
        <v>756900000</v>
      </c>
      <c r="H167" s="52" t="s">
        <v>757</v>
      </c>
      <c r="I167" s="52" t="s">
        <v>757</v>
      </c>
      <c r="J167" s="51" t="s">
        <v>14</v>
      </c>
      <c r="K167" s="51" t="s">
        <v>103</v>
      </c>
      <c r="L167" s="41">
        <f t="shared" si="10"/>
        <v>1145600000</v>
      </c>
      <c r="M167" s="41">
        <f t="shared" si="11"/>
        <v>756900000</v>
      </c>
      <c r="N167" s="41">
        <f t="shared" si="12"/>
        <v>388700000</v>
      </c>
      <c r="O167" s="41">
        <f t="shared" si="13"/>
        <v>0.72036058669228209</v>
      </c>
      <c r="P167" s="41">
        <f t="shared" si="14"/>
        <v>0.14360660582997747</v>
      </c>
    </row>
    <row r="168" spans="1:16" ht="19.95" customHeight="1">
      <c r="A168" s="49">
        <v>181</v>
      </c>
      <c r="B168" s="50" t="s">
        <v>135</v>
      </c>
      <c r="C168" s="51" t="s">
        <v>20</v>
      </c>
      <c r="D168" s="51" t="s">
        <v>139</v>
      </c>
      <c r="E168" s="52">
        <v>3291300000</v>
      </c>
      <c r="F168" s="52">
        <v>1855100000</v>
      </c>
      <c r="G168" s="52">
        <v>946000000</v>
      </c>
      <c r="H168" s="52" t="s">
        <v>757</v>
      </c>
      <c r="I168" s="52" t="s">
        <v>757</v>
      </c>
      <c r="J168" s="51" t="s">
        <v>14</v>
      </c>
      <c r="K168" s="51" t="s">
        <v>103</v>
      </c>
      <c r="L168" s="41">
        <f t="shared" si="10"/>
        <v>1436200000</v>
      </c>
      <c r="M168" s="41">
        <f t="shared" si="11"/>
        <v>946000000</v>
      </c>
      <c r="N168" s="41">
        <f t="shared" si="12"/>
        <v>490200000</v>
      </c>
      <c r="O168" s="41">
        <f t="shared" si="13"/>
        <v>0.71257557803907279</v>
      </c>
      <c r="P168" s="41">
        <f t="shared" si="14"/>
        <v>0.14893810956157141</v>
      </c>
    </row>
    <row r="169" spans="1:16" ht="19.95" customHeight="1">
      <c r="A169" s="49">
        <v>182</v>
      </c>
      <c r="B169" s="50" t="s">
        <v>140</v>
      </c>
      <c r="C169" s="51" t="s">
        <v>11</v>
      </c>
      <c r="D169" s="51" t="s">
        <v>136</v>
      </c>
      <c r="E169" s="52">
        <v>9147530000</v>
      </c>
      <c r="F169" s="52">
        <v>4406595000</v>
      </c>
      <c r="G169" s="52">
        <v>2967837000</v>
      </c>
      <c r="H169" s="52" t="s">
        <v>757</v>
      </c>
      <c r="I169" s="52" t="s">
        <v>757</v>
      </c>
      <c r="J169" s="51" t="s">
        <v>24</v>
      </c>
      <c r="K169" s="51" t="s">
        <v>112</v>
      </c>
      <c r="L169" s="41">
        <f t="shared" si="10"/>
        <v>4740935000</v>
      </c>
      <c r="M169" s="41">
        <f t="shared" si="11"/>
        <v>2967837000</v>
      </c>
      <c r="N169" s="41">
        <f t="shared" si="12"/>
        <v>1773098000</v>
      </c>
      <c r="O169" s="41">
        <f t="shared" si="13"/>
        <v>0.67555864807221178</v>
      </c>
      <c r="P169" s="41">
        <f t="shared" si="14"/>
        <v>0.19383352664599077</v>
      </c>
    </row>
    <row r="170" spans="1:16" ht="19.95" customHeight="1">
      <c r="A170" s="49">
        <v>183</v>
      </c>
      <c r="B170" s="50" t="s">
        <v>140</v>
      </c>
      <c r="C170" s="51" t="s">
        <v>16</v>
      </c>
      <c r="D170" s="51" t="s">
        <v>141</v>
      </c>
      <c r="E170" s="52">
        <v>9475313000</v>
      </c>
      <c r="F170" s="52">
        <v>4540406000</v>
      </c>
      <c r="G170" s="52">
        <v>3104684000</v>
      </c>
      <c r="H170" s="52" t="s">
        <v>757</v>
      </c>
      <c r="I170" s="52" t="s">
        <v>757</v>
      </c>
      <c r="J170" s="51" t="s">
        <v>24</v>
      </c>
      <c r="K170" s="51" t="s">
        <v>112</v>
      </c>
      <c r="L170" s="41">
        <f t="shared" si="10"/>
        <v>4934907000</v>
      </c>
      <c r="M170" s="41">
        <f t="shared" si="11"/>
        <v>3104684000</v>
      </c>
      <c r="N170" s="41">
        <f t="shared" si="12"/>
        <v>1830223000</v>
      </c>
      <c r="O170" s="41">
        <f t="shared" si="13"/>
        <v>0.67233968946461187</v>
      </c>
      <c r="P170" s="41">
        <f t="shared" si="14"/>
        <v>0.19315699650238466</v>
      </c>
    </row>
    <row r="171" spans="1:16" ht="19.95" customHeight="1">
      <c r="A171" s="49">
        <v>184</v>
      </c>
      <c r="B171" s="50" t="s">
        <v>140</v>
      </c>
      <c r="C171" s="51" t="s">
        <v>18</v>
      </c>
      <c r="D171" s="51" t="s">
        <v>142</v>
      </c>
      <c r="E171" s="52">
        <v>10187340000</v>
      </c>
      <c r="F171" s="52">
        <v>4860309000</v>
      </c>
      <c r="G171" s="52">
        <v>3373980000</v>
      </c>
      <c r="H171" s="52" t="s">
        <v>757</v>
      </c>
      <c r="I171" s="52" t="s">
        <v>757</v>
      </c>
      <c r="J171" s="51" t="s">
        <v>24</v>
      </c>
      <c r="K171" s="51" t="s">
        <v>112</v>
      </c>
      <c r="L171" s="41">
        <f t="shared" si="10"/>
        <v>5327031000</v>
      </c>
      <c r="M171" s="41">
        <f t="shared" si="11"/>
        <v>3373980000</v>
      </c>
      <c r="N171" s="41">
        <f t="shared" si="12"/>
        <v>1953051000</v>
      </c>
      <c r="O171" s="41">
        <f t="shared" si="13"/>
        <v>0.66880657757569684</v>
      </c>
      <c r="P171" s="41">
        <f t="shared" si="14"/>
        <v>0.19171353856845849</v>
      </c>
    </row>
    <row r="172" spans="1:16" ht="19.95" customHeight="1">
      <c r="A172" s="49">
        <v>185</v>
      </c>
      <c r="B172" s="50" t="s">
        <v>140</v>
      </c>
      <c r="C172" s="51" t="s">
        <v>20</v>
      </c>
      <c r="D172" s="51" t="s">
        <v>143</v>
      </c>
      <c r="E172" s="52">
        <v>10635676000</v>
      </c>
      <c r="F172" s="52">
        <v>5026940000</v>
      </c>
      <c r="G172" s="52">
        <v>3548341000</v>
      </c>
      <c r="H172" s="52" t="s">
        <v>757</v>
      </c>
      <c r="I172" s="52" t="s">
        <v>757</v>
      </c>
      <c r="J172" s="51" t="s">
        <v>24</v>
      </c>
      <c r="K172" s="51" t="s">
        <v>112</v>
      </c>
      <c r="L172" s="41">
        <f t="shared" si="10"/>
        <v>5608736000</v>
      </c>
      <c r="M172" s="41">
        <f t="shared" si="11"/>
        <v>3548341000</v>
      </c>
      <c r="N172" s="41">
        <f t="shared" si="12"/>
        <v>2060395000</v>
      </c>
      <c r="O172" s="41">
        <f t="shared" si="13"/>
        <v>0.66637372180198051</v>
      </c>
      <c r="P172" s="41">
        <f t="shared" si="14"/>
        <v>0.19372487465770863</v>
      </c>
    </row>
    <row r="173" spans="1:16" ht="19.95" customHeight="1">
      <c r="A173" s="49">
        <v>186</v>
      </c>
      <c r="B173" s="50" t="s">
        <v>144</v>
      </c>
      <c r="C173" s="51" t="s">
        <v>11</v>
      </c>
      <c r="D173" s="51" t="s">
        <v>17</v>
      </c>
      <c r="E173" s="52">
        <v>86623000000</v>
      </c>
      <c r="F173" s="52">
        <v>73268000000</v>
      </c>
      <c r="G173" s="52">
        <v>3742000000</v>
      </c>
      <c r="H173" s="52">
        <v>3071000000</v>
      </c>
      <c r="I173" s="52" t="s">
        <v>757</v>
      </c>
      <c r="J173" s="51" t="s">
        <v>14</v>
      </c>
      <c r="K173" s="51" t="s">
        <v>124</v>
      </c>
      <c r="L173" s="41">
        <f t="shared" si="10"/>
        <v>13355000000</v>
      </c>
      <c r="M173" s="41">
        <f t="shared" si="11"/>
        <v>6813000000</v>
      </c>
      <c r="N173" s="41">
        <f t="shared" si="12"/>
        <v>6542000000</v>
      </c>
      <c r="O173" s="41">
        <f t="shared" si="13"/>
        <v>0.92134883345070018</v>
      </c>
      <c r="P173" s="41">
        <f t="shared" si="14"/>
        <v>7.5522667190007275E-2</v>
      </c>
    </row>
    <row r="174" spans="1:16" ht="19.95" customHeight="1">
      <c r="A174" s="49">
        <v>187</v>
      </c>
      <c r="B174" s="50" t="s">
        <v>144</v>
      </c>
      <c r="C174" s="51" t="s">
        <v>16</v>
      </c>
      <c r="D174" s="51" t="s">
        <v>19</v>
      </c>
      <c r="E174" s="52">
        <v>90762000000</v>
      </c>
      <c r="F174" s="52">
        <v>76752000000</v>
      </c>
      <c r="G174" s="52">
        <v>3480000000</v>
      </c>
      <c r="H174" s="52">
        <v>3047000000</v>
      </c>
      <c r="I174" s="52" t="s">
        <v>757</v>
      </c>
      <c r="J174" s="51" t="s">
        <v>14</v>
      </c>
      <c r="K174" s="51" t="s">
        <v>124</v>
      </c>
      <c r="L174" s="41">
        <f t="shared" si="10"/>
        <v>14010000000</v>
      </c>
      <c r="M174" s="41">
        <f t="shared" si="11"/>
        <v>6527000000</v>
      </c>
      <c r="N174" s="41">
        <f t="shared" si="12"/>
        <v>7483000000</v>
      </c>
      <c r="O174" s="41">
        <f t="shared" si="13"/>
        <v>0.92808664419029996</v>
      </c>
      <c r="P174" s="41">
        <f t="shared" si="14"/>
        <v>8.2446398272404756E-2</v>
      </c>
    </row>
    <row r="175" spans="1:16" ht="19.95" customHeight="1">
      <c r="A175" s="49">
        <v>188</v>
      </c>
      <c r="B175" s="50" t="s">
        <v>144</v>
      </c>
      <c r="C175" s="51" t="s">
        <v>18</v>
      </c>
      <c r="D175" s="51" t="s">
        <v>21</v>
      </c>
      <c r="E175" s="52">
        <v>96114000000</v>
      </c>
      <c r="F175" s="52">
        <v>82088000000</v>
      </c>
      <c r="G175" s="52">
        <v>3251000000</v>
      </c>
      <c r="H175" s="52">
        <v>3331000000</v>
      </c>
      <c r="I175" s="52" t="s">
        <v>757</v>
      </c>
      <c r="J175" s="51" t="s">
        <v>14</v>
      </c>
      <c r="K175" s="51" t="s">
        <v>124</v>
      </c>
      <c r="L175" s="41">
        <f t="shared" si="10"/>
        <v>14026000000</v>
      </c>
      <c r="M175" s="41">
        <f t="shared" si="11"/>
        <v>6582000000</v>
      </c>
      <c r="N175" s="41">
        <f t="shared" si="12"/>
        <v>7444000000</v>
      </c>
      <c r="O175" s="41">
        <f t="shared" si="13"/>
        <v>0.93151882139958797</v>
      </c>
      <c r="P175" s="41">
        <f t="shared" si="14"/>
        <v>7.7449695153671685E-2</v>
      </c>
    </row>
    <row r="176" spans="1:16" ht="19.95" customHeight="1">
      <c r="A176" s="49">
        <v>189</v>
      </c>
      <c r="B176" s="50" t="s">
        <v>144</v>
      </c>
      <c r="C176" s="51" t="s">
        <v>20</v>
      </c>
      <c r="D176" s="51" t="s">
        <v>84</v>
      </c>
      <c r="E176" s="52">
        <v>94571000000</v>
      </c>
      <c r="F176" s="52">
        <v>80790000000</v>
      </c>
      <c r="G176" s="52">
        <v>3313000000</v>
      </c>
      <c r="H176" s="52">
        <v>4627000000</v>
      </c>
      <c r="I176" s="52" t="s">
        <v>757</v>
      </c>
      <c r="J176" s="51" t="s">
        <v>14</v>
      </c>
      <c r="K176" s="51" t="s">
        <v>124</v>
      </c>
      <c r="L176" s="41">
        <f t="shared" si="10"/>
        <v>13781000000</v>
      </c>
      <c r="M176" s="41">
        <f t="shared" si="11"/>
        <v>7940000000</v>
      </c>
      <c r="N176" s="41">
        <f t="shared" si="12"/>
        <v>5841000000</v>
      </c>
      <c r="O176" s="41">
        <f t="shared" si="13"/>
        <v>0.91604191559780479</v>
      </c>
      <c r="P176" s="41">
        <f t="shared" si="14"/>
        <v>6.1763119772446098E-2</v>
      </c>
    </row>
    <row r="177" spans="1:16" ht="19.95" customHeight="1">
      <c r="A177" s="49">
        <v>190</v>
      </c>
      <c r="B177" s="50" t="s">
        <v>145</v>
      </c>
      <c r="C177" s="51" t="s">
        <v>11</v>
      </c>
      <c r="D177" s="51" t="s">
        <v>12</v>
      </c>
      <c r="E177" s="52">
        <v>1000780000</v>
      </c>
      <c r="F177" s="52">
        <v>3753000000</v>
      </c>
      <c r="G177" s="52">
        <v>70829000000</v>
      </c>
      <c r="H177" s="52" t="s">
        <v>757</v>
      </c>
      <c r="I177" s="52">
        <v>9433000000</v>
      </c>
      <c r="J177" s="51" t="s">
        <v>75</v>
      </c>
      <c r="K177" s="51" t="s">
        <v>146</v>
      </c>
      <c r="L177" s="41">
        <f t="shared" si="10"/>
        <v>-2752220000</v>
      </c>
      <c r="M177" s="41">
        <f t="shared" si="11"/>
        <v>80262000000</v>
      </c>
      <c r="N177" s="41">
        <f t="shared" si="12"/>
        <v>-83014220000</v>
      </c>
      <c r="O177" s="41">
        <f t="shared" si="13"/>
        <v>-79.199444433341995</v>
      </c>
      <c r="P177" s="41">
        <f t="shared" si="14"/>
        <v>-82.949519374887586</v>
      </c>
    </row>
    <row r="178" spans="1:16" ht="19.95" customHeight="1">
      <c r="A178" s="53">
        <v>191</v>
      </c>
      <c r="B178" s="54" t="s">
        <v>145</v>
      </c>
      <c r="C178" s="55" t="s">
        <v>16</v>
      </c>
      <c r="D178" s="55" t="s">
        <v>17</v>
      </c>
      <c r="E178" s="56">
        <v>1016970000</v>
      </c>
      <c r="F178" s="56">
        <v>3034000000</v>
      </c>
      <c r="G178" s="56">
        <v>68128000000</v>
      </c>
      <c r="H178" s="56" t="s">
        <v>757</v>
      </c>
      <c r="I178" s="56">
        <v>4642000000</v>
      </c>
      <c r="J178" s="55" t="s">
        <v>75</v>
      </c>
      <c r="K178" s="55" t="s">
        <v>146</v>
      </c>
      <c r="L178" s="57">
        <f t="shared" si="10"/>
        <v>-2017030000</v>
      </c>
      <c r="M178" s="57">
        <f t="shared" si="11"/>
        <v>72770000000</v>
      </c>
      <c r="N178" s="57">
        <f t="shared" si="12"/>
        <v>-74787030000</v>
      </c>
      <c r="O178" s="57">
        <f t="shared" si="13"/>
        <v>-70.555699774821278</v>
      </c>
      <c r="P178" s="57">
        <f t="shared" si="14"/>
        <v>-73.539071949025043</v>
      </c>
    </row>
    <row r="179" spans="1:16" ht="19.95" customHeight="1">
      <c r="A179" s="49">
        <v>192</v>
      </c>
      <c r="B179" s="50" t="s">
        <v>145</v>
      </c>
      <c r="C179" s="51" t="s">
        <v>18</v>
      </c>
      <c r="D179" s="51" t="s">
        <v>19</v>
      </c>
      <c r="E179" s="52">
        <v>95181000000</v>
      </c>
      <c r="F179" s="52">
        <v>2656000000</v>
      </c>
      <c r="G179" s="52">
        <v>74181000000</v>
      </c>
      <c r="H179" s="52" t="s">
        <v>757</v>
      </c>
      <c r="I179" s="52">
        <v>3211000000</v>
      </c>
      <c r="J179" s="51" t="s">
        <v>75</v>
      </c>
      <c r="K179" s="51" t="s">
        <v>146</v>
      </c>
      <c r="L179" s="41">
        <f t="shared" si="10"/>
        <v>92525000000</v>
      </c>
      <c r="M179" s="41">
        <f t="shared" si="11"/>
        <v>77392000000</v>
      </c>
      <c r="N179" s="41">
        <f t="shared" si="12"/>
        <v>15133000000</v>
      </c>
      <c r="O179" s="41">
        <f t="shared" si="13"/>
        <v>0.18689654447841486</v>
      </c>
      <c r="P179" s="41">
        <f t="shared" si="14"/>
        <v>0.15899181559344827</v>
      </c>
    </row>
    <row r="180" spans="1:16" ht="19.95" customHeight="1">
      <c r="A180" s="49">
        <v>193</v>
      </c>
      <c r="B180" s="50" t="s">
        <v>145</v>
      </c>
      <c r="C180" s="51" t="s">
        <v>20</v>
      </c>
      <c r="D180" s="51" t="s">
        <v>21</v>
      </c>
      <c r="E180" s="52">
        <v>93056000000</v>
      </c>
      <c r="F180" s="52">
        <v>2204000000</v>
      </c>
      <c r="G180" s="52">
        <v>56358000000</v>
      </c>
      <c r="H180" s="52" t="s">
        <v>757</v>
      </c>
      <c r="I180" s="52">
        <v>3995000000</v>
      </c>
      <c r="J180" s="51" t="s">
        <v>75</v>
      </c>
      <c r="K180" s="51" t="s">
        <v>146</v>
      </c>
      <c r="L180" s="41">
        <f t="shared" si="10"/>
        <v>90852000000</v>
      </c>
      <c r="M180" s="41">
        <f t="shared" si="11"/>
        <v>60353000000</v>
      </c>
      <c r="N180" s="41">
        <f t="shared" si="12"/>
        <v>30499000000</v>
      </c>
      <c r="O180" s="41">
        <f t="shared" si="13"/>
        <v>0.35143354539202198</v>
      </c>
      <c r="P180" s="41">
        <f t="shared" si="14"/>
        <v>0.3277488823933975</v>
      </c>
    </row>
    <row r="181" spans="1:16" ht="19.95" customHeight="1">
      <c r="A181" s="49">
        <v>194</v>
      </c>
      <c r="B181" s="50" t="s">
        <v>147</v>
      </c>
      <c r="C181" s="51" t="s">
        <v>11</v>
      </c>
      <c r="D181" s="51" t="s">
        <v>12</v>
      </c>
      <c r="E181" s="52">
        <v>13936000000</v>
      </c>
      <c r="F181" s="52">
        <v>6802000000</v>
      </c>
      <c r="G181" s="52">
        <v>3283000000</v>
      </c>
      <c r="H181" s="52">
        <v>1081000000</v>
      </c>
      <c r="I181" s="52" t="s">
        <v>757</v>
      </c>
      <c r="J181" s="51" t="s">
        <v>37</v>
      </c>
      <c r="K181" s="51" t="s">
        <v>46</v>
      </c>
      <c r="L181" s="41">
        <f t="shared" si="10"/>
        <v>7134000000</v>
      </c>
      <c r="M181" s="41">
        <f t="shared" si="11"/>
        <v>4364000000</v>
      </c>
      <c r="N181" s="41">
        <f t="shared" si="12"/>
        <v>2770000000</v>
      </c>
      <c r="O181" s="41">
        <f t="shared" si="13"/>
        <v>0.68685419058553387</v>
      </c>
      <c r="P181" s="41">
        <f t="shared" si="14"/>
        <v>0.19876578645235363</v>
      </c>
    </row>
    <row r="182" spans="1:16" ht="19.95" customHeight="1">
      <c r="A182" s="49">
        <v>195</v>
      </c>
      <c r="B182" s="50" t="s">
        <v>147</v>
      </c>
      <c r="C182" s="51" t="s">
        <v>16</v>
      </c>
      <c r="D182" s="51" t="s">
        <v>17</v>
      </c>
      <c r="E182" s="52">
        <v>9413000000</v>
      </c>
      <c r="F182" s="52">
        <v>5251000000</v>
      </c>
      <c r="G182" s="52">
        <v>3084000000</v>
      </c>
      <c r="H182" s="52">
        <v>582000000</v>
      </c>
      <c r="I182" s="52" t="s">
        <v>757</v>
      </c>
      <c r="J182" s="51" t="s">
        <v>37</v>
      </c>
      <c r="K182" s="51" t="s">
        <v>46</v>
      </c>
      <c r="L182" s="41">
        <f t="shared" si="10"/>
        <v>4162000000</v>
      </c>
      <c r="M182" s="41">
        <f t="shared" si="11"/>
        <v>3666000000</v>
      </c>
      <c r="N182" s="41">
        <f t="shared" si="12"/>
        <v>496000000</v>
      </c>
      <c r="O182" s="41">
        <f t="shared" si="13"/>
        <v>0.61053861680654409</v>
      </c>
      <c r="P182" s="41">
        <f t="shared" si="14"/>
        <v>5.2693084032720702E-2</v>
      </c>
    </row>
    <row r="183" spans="1:16" ht="19.95" customHeight="1">
      <c r="A183" s="49">
        <v>196</v>
      </c>
      <c r="B183" s="50" t="s">
        <v>147</v>
      </c>
      <c r="C183" s="51" t="s">
        <v>18</v>
      </c>
      <c r="D183" s="51" t="s">
        <v>19</v>
      </c>
      <c r="E183" s="52">
        <v>10719000000</v>
      </c>
      <c r="F183" s="52">
        <v>6138000000</v>
      </c>
      <c r="G183" s="52">
        <v>3315000000</v>
      </c>
      <c r="H183" s="52">
        <v>610000000</v>
      </c>
      <c r="I183" s="52" t="s">
        <v>757</v>
      </c>
      <c r="J183" s="51" t="s">
        <v>37</v>
      </c>
      <c r="K183" s="51" t="s">
        <v>46</v>
      </c>
      <c r="L183" s="41">
        <f t="shared" si="10"/>
        <v>4581000000</v>
      </c>
      <c r="M183" s="41">
        <f t="shared" si="11"/>
        <v>3925000000</v>
      </c>
      <c r="N183" s="41">
        <f t="shared" si="12"/>
        <v>656000000</v>
      </c>
      <c r="O183" s="41">
        <f t="shared" si="13"/>
        <v>0.63382778244239202</v>
      </c>
      <c r="P183" s="41">
        <f t="shared" si="14"/>
        <v>6.1199738781602758E-2</v>
      </c>
    </row>
    <row r="184" spans="1:16" ht="19.95" customHeight="1">
      <c r="A184" s="49">
        <v>197</v>
      </c>
      <c r="B184" s="50" t="s">
        <v>147</v>
      </c>
      <c r="C184" s="51" t="s">
        <v>20</v>
      </c>
      <c r="D184" s="51" t="s">
        <v>21</v>
      </c>
      <c r="E184" s="52">
        <v>9968000000</v>
      </c>
      <c r="F184" s="52">
        <v>5822000000</v>
      </c>
      <c r="G184" s="52">
        <v>3094000000</v>
      </c>
      <c r="H184" s="52">
        <v>603000000</v>
      </c>
      <c r="I184" s="52" t="s">
        <v>757</v>
      </c>
      <c r="J184" s="51" t="s">
        <v>37</v>
      </c>
      <c r="K184" s="51" t="s">
        <v>46</v>
      </c>
      <c r="L184" s="41">
        <f t="shared" si="10"/>
        <v>4146000000</v>
      </c>
      <c r="M184" s="41">
        <f t="shared" si="11"/>
        <v>3697000000</v>
      </c>
      <c r="N184" s="41">
        <f t="shared" si="12"/>
        <v>449000000</v>
      </c>
      <c r="O184" s="41">
        <f t="shared" si="13"/>
        <v>0.6291131621187801</v>
      </c>
      <c r="P184" s="41">
        <f t="shared" si="14"/>
        <v>4.5044141252006419E-2</v>
      </c>
    </row>
    <row r="185" spans="1:16" ht="19.95" customHeight="1">
      <c r="A185" s="49">
        <v>198</v>
      </c>
      <c r="B185" s="50" t="s">
        <v>148</v>
      </c>
      <c r="C185" s="51" t="s">
        <v>11</v>
      </c>
      <c r="D185" s="51" t="s">
        <v>149</v>
      </c>
      <c r="E185" s="52">
        <v>10914585000</v>
      </c>
      <c r="F185" s="52">
        <v>6525830000</v>
      </c>
      <c r="G185" s="52">
        <v>2750537000</v>
      </c>
      <c r="H185" s="52" t="s">
        <v>757</v>
      </c>
      <c r="I185" s="52" t="s">
        <v>757</v>
      </c>
      <c r="J185" s="51" t="s">
        <v>24</v>
      </c>
      <c r="K185" s="51" t="s">
        <v>112</v>
      </c>
      <c r="L185" s="41">
        <f t="shared" si="10"/>
        <v>4388755000</v>
      </c>
      <c r="M185" s="41">
        <f t="shared" si="11"/>
        <v>2750537000</v>
      </c>
      <c r="N185" s="41">
        <f t="shared" si="12"/>
        <v>1638218000</v>
      </c>
      <c r="O185" s="41">
        <f t="shared" si="13"/>
        <v>0.74799435800811476</v>
      </c>
      <c r="P185" s="41">
        <f t="shared" si="14"/>
        <v>0.15009439204513961</v>
      </c>
    </row>
    <row r="186" spans="1:16" ht="19.95" customHeight="1">
      <c r="A186" s="49">
        <v>199</v>
      </c>
      <c r="B186" s="50" t="s">
        <v>148</v>
      </c>
      <c r="C186" s="51" t="s">
        <v>16</v>
      </c>
      <c r="D186" s="51" t="s">
        <v>150</v>
      </c>
      <c r="E186" s="52">
        <v>11503963000</v>
      </c>
      <c r="F186" s="52">
        <v>6938381000</v>
      </c>
      <c r="G186" s="52">
        <v>2950995000</v>
      </c>
      <c r="H186" s="52" t="s">
        <v>757</v>
      </c>
      <c r="I186" s="52" t="s">
        <v>757</v>
      </c>
      <c r="J186" s="51" t="s">
        <v>24</v>
      </c>
      <c r="K186" s="51" t="s">
        <v>112</v>
      </c>
      <c r="L186" s="41">
        <f t="shared" si="10"/>
        <v>4565582000</v>
      </c>
      <c r="M186" s="41">
        <f t="shared" si="11"/>
        <v>2950995000</v>
      </c>
      <c r="N186" s="41">
        <f t="shared" si="12"/>
        <v>1614587000</v>
      </c>
      <c r="O186" s="41">
        <f t="shared" si="13"/>
        <v>0.74348013810545122</v>
      </c>
      <c r="P186" s="41">
        <f t="shared" si="14"/>
        <v>0.14035050356125103</v>
      </c>
    </row>
    <row r="187" spans="1:16" ht="19.95" customHeight="1">
      <c r="A187" s="49">
        <v>200</v>
      </c>
      <c r="B187" s="50" t="s">
        <v>148</v>
      </c>
      <c r="C187" s="51" t="s">
        <v>18</v>
      </c>
      <c r="D187" s="51" t="s">
        <v>151</v>
      </c>
      <c r="E187" s="52">
        <v>11881176000</v>
      </c>
      <c r="F187" s="52">
        <v>7261397000</v>
      </c>
      <c r="G187" s="52">
        <v>3065486000</v>
      </c>
      <c r="H187" s="52" t="s">
        <v>757</v>
      </c>
      <c r="I187" s="52" t="s">
        <v>757</v>
      </c>
      <c r="J187" s="51" t="s">
        <v>24</v>
      </c>
      <c r="K187" s="51" t="s">
        <v>112</v>
      </c>
      <c r="L187" s="41">
        <f t="shared" si="10"/>
        <v>4619779000</v>
      </c>
      <c r="M187" s="41">
        <f t="shared" si="11"/>
        <v>3065486000</v>
      </c>
      <c r="N187" s="41">
        <f t="shared" si="12"/>
        <v>1554293000</v>
      </c>
      <c r="O187" s="41">
        <f t="shared" si="13"/>
        <v>0.74198799849442509</v>
      </c>
      <c r="P187" s="41">
        <f t="shared" si="14"/>
        <v>0.13081979426952348</v>
      </c>
    </row>
    <row r="188" spans="1:16" ht="19.95" customHeight="1">
      <c r="A188" s="49">
        <v>201</v>
      </c>
      <c r="B188" s="50" t="s">
        <v>148</v>
      </c>
      <c r="C188" s="51" t="s">
        <v>20</v>
      </c>
      <c r="D188" s="51" t="s">
        <v>152</v>
      </c>
      <c r="E188" s="52">
        <v>12103887000</v>
      </c>
      <c r="F188" s="52">
        <v>7483577000</v>
      </c>
      <c r="G188" s="52">
        <v>3205407000</v>
      </c>
      <c r="H188" s="52" t="s">
        <v>757</v>
      </c>
      <c r="I188" s="52" t="s">
        <v>757</v>
      </c>
      <c r="J188" s="51" t="s">
        <v>24</v>
      </c>
      <c r="K188" s="51" t="s">
        <v>112</v>
      </c>
      <c r="L188" s="41">
        <f t="shared" si="10"/>
        <v>4620310000</v>
      </c>
      <c r="M188" s="41">
        <f t="shared" si="11"/>
        <v>3205407000</v>
      </c>
      <c r="N188" s="41">
        <f t="shared" si="12"/>
        <v>1414903000</v>
      </c>
      <c r="O188" s="41">
        <f t="shared" si="13"/>
        <v>0.73517540274458937</v>
      </c>
      <c r="P188" s="41">
        <f t="shared" si="14"/>
        <v>0.11689658041255672</v>
      </c>
    </row>
    <row r="189" spans="1:16" ht="19.95" customHeight="1">
      <c r="A189" s="49">
        <v>202</v>
      </c>
      <c r="B189" s="50" t="s">
        <v>153</v>
      </c>
      <c r="C189" s="51" t="s">
        <v>11</v>
      </c>
      <c r="D189" s="51" t="s">
        <v>12</v>
      </c>
      <c r="E189" s="52">
        <v>10737000000</v>
      </c>
      <c r="F189" s="52">
        <v>429000000</v>
      </c>
      <c r="G189" s="52">
        <v>5650000000</v>
      </c>
      <c r="H189" s="52" t="s">
        <v>757</v>
      </c>
      <c r="I189" s="52">
        <v>1167000000</v>
      </c>
      <c r="J189" s="51" t="s">
        <v>75</v>
      </c>
      <c r="K189" s="51" t="s">
        <v>146</v>
      </c>
      <c r="L189" s="41">
        <f t="shared" si="10"/>
        <v>10308000000</v>
      </c>
      <c r="M189" s="41">
        <f t="shared" si="11"/>
        <v>6817000000</v>
      </c>
      <c r="N189" s="41">
        <f t="shared" si="12"/>
        <v>3491000000</v>
      </c>
      <c r="O189" s="41">
        <f t="shared" si="13"/>
        <v>0.36509267020583036</v>
      </c>
      <c r="P189" s="41">
        <f t="shared" si="14"/>
        <v>0.32513737543075349</v>
      </c>
    </row>
    <row r="190" spans="1:16" ht="19.95" customHeight="1">
      <c r="A190" s="53">
        <v>203</v>
      </c>
      <c r="B190" s="54" t="s">
        <v>153</v>
      </c>
      <c r="C190" s="55" t="s">
        <v>16</v>
      </c>
      <c r="D190" s="55" t="s">
        <v>17</v>
      </c>
      <c r="E190" s="56">
        <v>10543000000</v>
      </c>
      <c r="F190" s="56">
        <v>301000000</v>
      </c>
      <c r="G190" s="56">
        <v>5625000000</v>
      </c>
      <c r="H190" s="56" t="s">
        <v>757</v>
      </c>
      <c r="I190" s="56">
        <v>698000000</v>
      </c>
      <c r="J190" s="55" t="s">
        <v>75</v>
      </c>
      <c r="K190" s="55" t="s">
        <v>146</v>
      </c>
      <c r="L190" s="57">
        <f t="shared" si="10"/>
        <v>10242000000</v>
      </c>
      <c r="M190" s="57">
        <f t="shared" si="11"/>
        <v>6323000000</v>
      </c>
      <c r="N190" s="57">
        <f t="shared" si="12"/>
        <v>3919000000</v>
      </c>
      <c r="O190" s="57">
        <f t="shared" si="13"/>
        <v>0.4002655790571944</v>
      </c>
      <c r="P190" s="57">
        <f t="shared" si="14"/>
        <v>0.37171583040880207</v>
      </c>
    </row>
    <row r="191" spans="1:16" ht="19.95" customHeight="1">
      <c r="A191" s="49">
        <v>204</v>
      </c>
      <c r="B191" s="50" t="s">
        <v>153</v>
      </c>
      <c r="C191" s="51" t="s">
        <v>18</v>
      </c>
      <c r="D191" s="51" t="s">
        <v>19</v>
      </c>
      <c r="E191" s="52">
        <v>9998000000</v>
      </c>
      <c r="F191" s="52">
        <v>239000000</v>
      </c>
      <c r="G191" s="52">
        <v>5715000000</v>
      </c>
      <c r="H191" s="52" t="s">
        <v>757</v>
      </c>
      <c r="I191" s="52">
        <v>342000000</v>
      </c>
      <c r="J191" s="51" t="s">
        <v>75</v>
      </c>
      <c r="K191" s="51" t="s">
        <v>146</v>
      </c>
      <c r="L191" s="41">
        <f t="shared" si="10"/>
        <v>9759000000</v>
      </c>
      <c r="M191" s="41">
        <f t="shared" si="11"/>
        <v>6057000000</v>
      </c>
      <c r="N191" s="41">
        <f t="shared" si="12"/>
        <v>3702000000</v>
      </c>
      <c r="O191" s="41">
        <f t="shared" si="13"/>
        <v>0.3941788357671534</v>
      </c>
      <c r="P191" s="41">
        <f t="shared" si="14"/>
        <v>0.37027405481096221</v>
      </c>
    </row>
    <row r="192" spans="1:16" ht="19.95" customHeight="1">
      <c r="A192" s="49">
        <v>205</v>
      </c>
      <c r="B192" s="50" t="s">
        <v>153</v>
      </c>
      <c r="C192" s="51" t="s">
        <v>20</v>
      </c>
      <c r="D192" s="51" t="s">
        <v>21</v>
      </c>
      <c r="E192" s="52">
        <v>10346000000</v>
      </c>
      <c r="F192" s="52">
        <v>233000000</v>
      </c>
      <c r="G192" s="52">
        <v>5996000000</v>
      </c>
      <c r="H192" s="52" t="s">
        <v>757</v>
      </c>
      <c r="I192" s="52">
        <v>533000000</v>
      </c>
      <c r="J192" s="51" t="s">
        <v>75</v>
      </c>
      <c r="K192" s="51" t="s">
        <v>146</v>
      </c>
      <c r="L192" s="41">
        <f t="shared" si="10"/>
        <v>10113000000</v>
      </c>
      <c r="M192" s="41">
        <f t="shared" si="11"/>
        <v>6529000000</v>
      </c>
      <c r="N192" s="41">
        <f t="shared" si="12"/>
        <v>3584000000</v>
      </c>
      <c r="O192" s="41">
        <f t="shared" si="13"/>
        <v>0.36893485404987436</v>
      </c>
      <c r="P192" s="41">
        <f t="shared" si="14"/>
        <v>0.34641407307171856</v>
      </c>
    </row>
    <row r="193" spans="1:16" ht="19.95" customHeight="1">
      <c r="A193" s="49">
        <v>206</v>
      </c>
      <c r="B193" s="50" t="s">
        <v>154</v>
      </c>
      <c r="C193" s="51" t="s">
        <v>11</v>
      </c>
      <c r="D193" s="51" t="s">
        <v>155</v>
      </c>
      <c r="E193" s="52">
        <v>45457000000</v>
      </c>
      <c r="F193" s="52">
        <v>34473000000</v>
      </c>
      <c r="G193" s="52">
        <v>8755000000</v>
      </c>
      <c r="H193" s="52" t="s">
        <v>757</v>
      </c>
      <c r="I193" s="52" t="s">
        <v>757</v>
      </c>
      <c r="J193" s="51" t="s">
        <v>24</v>
      </c>
      <c r="K193" s="51" t="s">
        <v>156</v>
      </c>
      <c r="L193" s="41">
        <f t="shared" si="10"/>
        <v>10984000000</v>
      </c>
      <c r="M193" s="41">
        <f t="shared" si="11"/>
        <v>8755000000</v>
      </c>
      <c r="N193" s="41">
        <f t="shared" si="12"/>
        <v>2229000000</v>
      </c>
      <c r="O193" s="41">
        <f t="shared" si="13"/>
        <v>0.80740040037837957</v>
      </c>
      <c r="P193" s="41">
        <f t="shared" si="14"/>
        <v>4.9035352090987083E-2</v>
      </c>
    </row>
    <row r="194" spans="1:16" ht="19.95" customHeight="1">
      <c r="A194" s="49">
        <v>207</v>
      </c>
      <c r="B194" s="50" t="s">
        <v>154</v>
      </c>
      <c r="C194" s="51" t="s">
        <v>16</v>
      </c>
      <c r="D194" s="51" t="s">
        <v>157</v>
      </c>
      <c r="E194" s="52">
        <v>40611000000</v>
      </c>
      <c r="F194" s="52">
        <v>31212000000</v>
      </c>
      <c r="G194" s="52">
        <v>8106000000</v>
      </c>
      <c r="H194" s="52" t="s">
        <v>757</v>
      </c>
      <c r="I194" s="52" t="s">
        <v>757</v>
      </c>
      <c r="J194" s="51" t="s">
        <v>24</v>
      </c>
      <c r="K194" s="51" t="s">
        <v>156</v>
      </c>
      <c r="L194" s="41">
        <f t="shared" si="10"/>
        <v>9399000000</v>
      </c>
      <c r="M194" s="41">
        <f t="shared" si="11"/>
        <v>8106000000</v>
      </c>
      <c r="N194" s="41">
        <f t="shared" si="12"/>
        <v>1293000000</v>
      </c>
      <c r="O194" s="41">
        <f t="shared" si="13"/>
        <v>0.80039890670015512</v>
      </c>
      <c r="P194" s="41">
        <f t="shared" si="14"/>
        <v>3.1838664401270589E-2</v>
      </c>
    </row>
    <row r="195" spans="1:16" ht="19.95" customHeight="1">
      <c r="A195" s="49">
        <v>208</v>
      </c>
      <c r="B195" s="50" t="s">
        <v>154</v>
      </c>
      <c r="C195" s="51" t="s">
        <v>18</v>
      </c>
      <c r="D195" s="51" t="s">
        <v>67</v>
      </c>
      <c r="E195" s="52">
        <v>40339000000</v>
      </c>
      <c r="F195" s="52">
        <v>31292000000</v>
      </c>
      <c r="G195" s="52">
        <v>7592000000</v>
      </c>
      <c r="H195" s="52" t="s">
        <v>757</v>
      </c>
      <c r="I195" s="52" t="s">
        <v>757</v>
      </c>
      <c r="J195" s="51" t="s">
        <v>24</v>
      </c>
      <c r="K195" s="51" t="s">
        <v>156</v>
      </c>
      <c r="L195" s="41">
        <f t="shared" ref="L195:L258" si="15">Total_Revenue-COGS</f>
        <v>9047000000</v>
      </c>
      <c r="M195" s="41">
        <f t="shared" ref="M195:M258" si="16">SGAA+RandD+OOI</f>
        <v>7592000000</v>
      </c>
      <c r="N195" s="41">
        <f t="shared" ref="N195:N258" si="17">Gross_Profit-Total_Operating_Expenses</f>
        <v>1455000000</v>
      </c>
      <c r="O195" s="41">
        <f t="shared" ref="O195:O258" si="18">1-(Total_Operating_Expenses/Total_Revenue)</f>
        <v>0.81179503706090883</v>
      </c>
      <c r="P195" s="41">
        <f t="shared" ref="P195:P258" si="19">Operating_Profit/Total_Revenue</f>
        <v>3.6069312575919082E-2</v>
      </c>
    </row>
    <row r="196" spans="1:16" ht="19.95" customHeight="1">
      <c r="A196" s="49">
        <v>209</v>
      </c>
      <c r="B196" s="50" t="s">
        <v>154</v>
      </c>
      <c r="C196" s="51" t="s">
        <v>20</v>
      </c>
      <c r="D196" s="51" t="s">
        <v>158</v>
      </c>
      <c r="E196" s="52">
        <v>39528000000</v>
      </c>
      <c r="F196" s="52">
        <v>30337000000</v>
      </c>
      <c r="G196" s="52">
        <v>7618000000</v>
      </c>
      <c r="H196" s="52" t="s">
        <v>757</v>
      </c>
      <c r="I196" s="52" t="s">
        <v>757</v>
      </c>
      <c r="J196" s="51" t="s">
        <v>24</v>
      </c>
      <c r="K196" s="51" t="s">
        <v>156</v>
      </c>
      <c r="L196" s="41">
        <f t="shared" si="15"/>
        <v>9191000000</v>
      </c>
      <c r="M196" s="41">
        <f t="shared" si="16"/>
        <v>7618000000</v>
      </c>
      <c r="N196" s="41">
        <f t="shared" si="17"/>
        <v>1573000000</v>
      </c>
      <c r="O196" s="41">
        <f t="shared" si="18"/>
        <v>0.80727585509006272</v>
      </c>
      <c r="P196" s="41">
        <f t="shared" si="19"/>
        <v>3.979457599676179E-2</v>
      </c>
    </row>
    <row r="197" spans="1:16" ht="19.95" customHeight="1">
      <c r="A197" s="49">
        <v>210</v>
      </c>
      <c r="B197" s="50" t="s">
        <v>159</v>
      </c>
      <c r="C197" s="51" t="s">
        <v>11</v>
      </c>
      <c r="D197" s="51" t="s">
        <v>17</v>
      </c>
      <c r="E197" s="52">
        <v>3049500000</v>
      </c>
      <c r="F197" s="52">
        <v>1194400000</v>
      </c>
      <c r="G197" s="52">
        <v>920300000</v>
      </c>
      <c r="H197" s="52">
        <v>295700000</v>
      </c>
      <c r="I197" s="52" t="s">
        <v>757</v>
      </c>
      <c r="J197" s="51" t="s">
        <v>37</v>
      </c>
      <c r="K197" s="51" t="s">
        <v>46</v>
      </c>
      <c r="L197" s="41">
        <f t="shared" si="15"/>
        <v>1855100000</v>
      </c>
      <c r="M197" s="41">
        <f t="shared" si="16"/>
        <v>1216000000</v>
      </c>
      <c r="N197" s="41">
        <f t="shared" si="17"/>
        <v>639100000</v>
      </c>
      <c r="O197" s="41">
        <f t="shared" si="18"/>
        <v>0.60124610591900307</v>
      </c>
      <c r="P197" s="41">
        <f t="shared" si="19"/>
        <v>0.20957534021970814</v>
      </c>
    </row>
    <row r="198" spans="1:16" ht="19.95" customHeight="1">
      <c r="A198" s="49">
        <v>211</v>
      </c>
      <c r="B198" s="50" t="s">
        <v>159</v>
      </c>
      <c r="C198" s="51" t="s">
        <v>16</v>
      </c>
      <c r="D198" s="51" t="s">
        <v>19</v>
      </c>
      <c r="E198" s="52">
        <v>3323600000</v>
      </c>
      <c r="F198" s="52">
        <v>1258600000</v>
      </c>
      <c r="G198" s="52">
        <v>981500000</v>
      </c>
      <c r="H198" s="52">
        <v>302000000</v>
      </c>
      <c r="I198" s="52" t="s">
        <v>757</v>
      </c>
      <c r="J198" s="51" t="s">
        <v>37</v>
      </c>
      <c r="K198" s="51" t="s">
        <v>46</v>
      </c>
      <c r="L198" s="41">
        <f t="shared" si="15"/>
        <v>2065000000</v>
      </c>
      <c r="M198" s="41">
        <f t="shared" si="16"/>
        <v>1283500000</v>
      </c>
      <c r="N198" s="41">
        <f t="shared" si="17"/>
        <v>781500000</v>
      </c>
      <c r="O198" s="41">
        <f t="shared" si="18"/>
        <v>0.61382236129498136</v>
      </c>
      <c r="P198" s="41">
        <f t="shared" si="19"/>
        <v>0.23513659886869659</v>
      </c>
    </row>
    <row r="199" spans="1:16" ht="19.95" customHeight="1">
      <c r="A199" s="49">
        <v>212</v>
      </c>
      <c r="B199" s="50" t="s">
        <v>159</v>
      </c>
      <c r="C199" s="51" t="s">
        <v>18</v>
      </c>
      <c r="D199" s="51" t="s">
        <v>21</v>
      </c>
      <c r="E199" s="52">
        <v>3416000000</v>
      </c>
      <c r="F199" s="52">
        <v>1301200000</v>
      </c>
      <c r="G199" s="52">
        <v>1012100000</v>
      </c>
      <c r="H199" s="52">
        <v>259200000</v>
      </c>
      <c r="I199" s="52" t="s">
        <v>757</v>
      </c>
      <c r="J199" s="51" t="s">
        <v>37</v>
      </c>
      <c r="K199" s="51" t="s">
        <v>46</v>
      </c>
      <c r="L199" s="41">
        <f t="shared" si="15"/>
        <v>2114800000</v>
      </c>
      <c r="M199" s="41">
        <f t="shared" si="16"/>
        <v>1271300000</v>
      </c>
      <c r="N199" s="41">
        <f t="shared" si="17"/>
        <v>843500000</v>
      </c>
      <c r="O199" s="41">
        <f t="shared" si="18"/>
        <v>0.62783957845433247</v>
      </c>
      <c r="P199" s="41">
        <f t="shared" si="19"/>
        <v>0.24692622950819673</v>
      </c>
    </row>
    <row r="200" spans="1:16" ht="19.95" customHeight="1">
      <c r="A200" s="49">
        <v>213</v>
      </c>
      <c r="B200" s="50" t="s">
        <v>159</v>
      </c>
      <c r="C200" s="51" t="s">
        <v>20</v>
      </c>
      <c r="D200" s="51" t="s">
        <v>84</v>
      </c>
      <c r="E200" s="52">
        <v>3714000000</v>
      </c>
      <c r="F200" s="52">
        <v>1371700000</v>
      </c>
      <c r="G200" s="52">
        <v>1101900000</v>
      </c>
      <c r="H200" s="52">
        <v>292800000</v>
      </c>
      <c r="I200" s="52" t="s">
        <v>757</v>
      </c>
      <c r="J200" s="51" t="s">
        <v>37</v>
      </c>
      <c r="K200" s="51" t="s">
        <v>46</v>
      </c>
      <c r="L200" s="41">
        <f t="shared" si="15"/>
        <v>2342300000</v>
      </c>
      <c r="M200" s="41">
        <f t="shared" si="16"/>
        <v>1394700000</v>
      </c>
      <c r="N200" s="41">
        <f t="shared" si="17"/>
        <v>947600000</v>
      </c>
      <c r="O200" s="41">
        <f t="shared" si="18"/>
        <v>0.62447495961227784</v>
      </c>
      <c r="P200" s="41">
        <f t="shared" si="19"/>
        <v>0.25514270328486804</v>
      </c>
    </row>
    <row r="201" spans="1:16" ht="19.95" customHeight="1">
      <c r="A201" s="49">
        <v>214</v>
      </c>
      <c r="B201" s="50" t="s">
        <v>160</v>
      </c>
      <c r="C201" s="51" t="s">
        <v>11</v>
      </c>
      <c r="D201" s="51" t="s">
        <v>40</v>
      </c>
      <c r="E201" s="52">
        <v>8054000000</v>
      </c>
      <c r="F201" s="52">
        <v>3883000000</v>
      </c>
      <c r="G201" s="52">
        <v>2422000000</v>
      </c>
      <c r="H201" s="52">
        <v>494000000</v>
      </c>
      <c r="I201" s="52" t="s">
        <v>757</v>
      </c>
      <c r="J201" s="51" t="s">
        <v>37</v>
      </c>
      <c r="K201" s="51" t="s">
        <v>46</v>
      </c>
      <c r="L201" s="41">
        <f t="shared" si="15"/>
        <v>4171000000</v>
      </c>
      <c r="M201" s="41">
        <f t="shared" si="16"/>
        <v>2916000000</v>
      </c>
      <c r="N201" s="41">
        <f t="shared" si="17"/>
        <v>1255000000</v>
      </c>
      <c r="O201" s="41">
        <f t="shared" si="18"/>
        <v>0.63794387881797865</v>
      </c>
      <c r="P201" s="41">
        <f t="shared" si="19"/>
        <v>0.1558231934442513</v>
      </c>
    </row>
    <row r="202" spans="1:16" ht="19.95" customHeight="1">
      <c r="A202" s="49">
        <v>215</v>
      </c>
      <c r="B202" s="50" t="s">
        <v>160</v>
      </c>
      <c r="C202" s="51" t="s">
        <v>16</v>
      </c>
      <c r="D202" s="51" t="s">
        <v>42</v>
      </c>
      <c r="E202" s="52">
        <v>8446000000</v>
      </c>
      <c r="F202" s="52">
        <v>4145000000</v>
      </c>
      <c r="G202" s="52">
        <v>2145000000</v>
      </c>
      <c r="H202" s="52">
        <v>550000000</v>
      </c>
      <c r="I202" s="52" t="s">
        <v>757</v>
      </c>
      <c r="J202" s="51" t="s">
        <v>37</v>
      </c>
      <c r="K202" s="51" t="s">
        <v>46</v>
      </c>
      <c r="L202" s="41">
        <f t="shared" si="15"/>
        <v>4301000000</v>
      </c>
      <c r="M202" s="41">
        <f t="shared" si="16"/>
        <v>2695000000</v>
      </c>
      <c r="N202" s="41">
        <f t="shared" si="17"/>
        <v>1606000000</v>
      </c>
      <c r="O202" s="41">
        <f t="shared" si="18"/>
        <v>0.68091404215013029</v>
      </c>
      <c r="P202" s="41">
        <f t="shared" si="19"/>
        <v>0.19014918304522851</v>
      </c>
    </row>
    <row r="203" spans="1:16" ht="19.95" customHeight="1">
      <c r="A203" s="49">
        <v>216</v>
      </c>
      <c r="B203" s="50" t="s">
        <v>160</v>
      </c>
      <c r="C203" s="51" t="s">
        <v>18</v>
      </c>
      <c r="D203" s="51" t="s">
        <v>43</v>
      </c>
      <c r="E203" s="52">
        <v>10282000000</v>
      </c>
      <c r="F203" s="52">
        <v>5587000000</v>
      </c>
      <c r="G203" s="52">
        <v>2563000000</v>
      </c>
      <c r="H203" s="52">
        <v>632000000</v>
      </c>
      <c r="I203" s="52" t="s">
        <v>757</v>
      </c>
      <c r="J203" s="51" t="s">
        <v>37</v>
      </c>
      <c r="K203" s="51" t="s">
        <v>46</v>
      </c>
      <c r="L203" s="41">
        <f t="shared" si="15"/>
        <v>4695000000</v>
      </c>
      <c r="M203" s="41">
        <f t="shared" si="16"/>
        <v>3195000000</v>
      </c>
      <c r="N203" s="41">
        <f t="shared" si="17"/>
        <v>1500000000</v>
      </c>
      <c r="O203" s="41">
        <f t="shared" si="18"/>
        <v>0.68926278934059515</v>
      </c>
      <c r="P203" s="41">
        <f t="shared" si="19"/>
        <v>0.14588601439408674</v>
      </c>
    </row>
    <row r="204" spans="1:16" ht="19.95" customHeight="1">
      <c r="A204" s="49">
        <v>217</v>
      </c>
      <c r="B204" s="50" t="s">
        <v>160</v>
      </c>
      <c r="C204" s="51" t="s">
        <v>20</v>
      </c>
      <c r="D204" s="51" t="s">
        <v>44</v>
      </c>
      <c r="E204" s="52">
        <v>12483000000</v>
      </c>
      <c r="F204" s="52">
        <v>6492000000</v>
      </c>
      <c r="G204" s="52">
        <v>3005000000</v>
      </c>
      <c r="H204" s="52">
        <v>828000000</v>
      </c>
      <c r="I204" s="52" t="s">
        <v>757</v>
      </c>
      <c r="J204" s="51" t="s">
        <v>37</v>
      </c>
      <c r="K204" s="51" t="s">
        <v>46</v>
      </c>
      <c r="L204" s="41">
        <f t="shared" si="15"/>
        <v>5991000000</v>
      </c>
      <c r="M204" s="41">
        <f t="shared" si="16"/>
        <v>3833000000</v>
      </c>
      <c r="N204" s="41">
        <f t="shared" si="17"/>
        <v>2158000000</v>
      </c>
      <c r="O204" s="41">
        <f t="shared" si="18"/>
        <v>0.69294240166626619</v>
      </c>
      <c r="P204" s="41">
        <f t="shared" si="19"/>
        <v>0.17287511014980372</v>
      </c>
    </row>
    <row r="205" spans="1:16" ht="19.95" customHeight="1">
      <c r="A205" s="49">
        <v>218</v>
      </c>
      <c r="B205" s="50" t="s">
        <v>161</v>
      </c>
      <c r="C205" s="51" t="s">
        <v>11</v>
      </c>
      <c r="D205" s="51" t="s">
        <v>17</v>
      </c>
      <c r="E205" s="52">
        <v>22364000000</v>
      </c>
      <c r="F205" s="52">
        <v>18553000000</v>
      </c>
      <c r="G205" s="52">
        <v>1306000000</v>
      </c>
      <c r="H205" s="52">
        <v>556000000</v>
      </c>
      <c r="I205" s="52" t="s">
        <v>757</v>
      </c>
      <c r="J205" s="51" t="s">
        <v>116</v>
      </c>
      <c r="K205" s="51" t="s">
        <v>162</v>
      </c>
      <c r="L205" s="41">
        <f t="shared" si="15"/>
        <v>3811000000</v>
      </c>
      <c r="M205" s="41">
        <f t="shared" si="16"/>
        <v>1862000000</v>
      </c>
      <c r="N205" s="41">
        <f t="shared" si="17"/>
        <v>1949000000</v>
      </c>
      <c r="O205" s="41">
        <f t="shared" si="18"/>
        <v>0.91674119120014308</v>
      </c>
      <c r="P205" s="41">
        <f t="shared" si="19"/>
        <v>8.7148989447326061E-2</v>
      </c>
    </row>
    <row r="206" spans="1:16" ht="19.95" customHeight="1">
      <c r="A206" s="53">
        <v>219</v>
      </c>
      <c r="B206" s="54" t="s">
        <v>161</v>
      </c>
      <c r="C206" s="55" t="s">
        <v>16</v>
      </c>
      <c r="D206" s="55" t="s">
        <v>19</v>
      </c>
      <c r="E206" s="56">
        <v>24551000000</v>
      </c>
      <c r="F206" s="56">
        <v>19746000000</v>
      </c>
      <c r="G206" s="56">
        <v>1333000000</v>
      </c>
      <c r="H206" s="56">
        <v>613000000</v>
      </c>
      <c r="I206" s="56" t="s">
        <v>757</v>
      </c>
      <c r="J206" s="55" t="s">
        <v>116</v>
      </c>
      <c r="K206" s="55" t="s">
        <v>162</v>
      </c>
      <c r="L206" s="57">
        <f t="shared" si="15"/>
        <v>4805000000</v>
      </c>
      <c r="M206" s="57">
        <f t="shared" si="16"/>
        <v>1946000000</v>
      </c>
      <c r="N206" s="57">
        <f t="shared" si="17"/>
        <v>2859000000</v>
      </c>
      <c r="O206" s="57">
        <f t="shared" si="18"/>
        <v>0.9207364262148181</v>
      </c>
      <c r="P206" s="57">
        <f t="shared" si="19"/>
        <v>0.11645146837196041</v>
      </c>
    </row>
    <row r="207" spans="1:16" ht="19.95" customHeight="1">
      <c r="A207" s="49">
        <v>220</v>
      </c>
      <c r="B207" s="50" t="s">
        <v>161</v>
      </c>
      <c r="C207" s="51" t="s">
        <v>18</v>
      </c>
      <c r="D207" s="51" t="s">
        <v>21</v>
      </c>
      <c r="E207" s="52">
        <v>15742000000</v>
      </c>
      <c r="F207" s="52">
        <v>14415000000</v>
      </c>
      <c r="G207" s="52">
        <v>969000000</v>
      </c>
      <c r="H207" s="52">
        <v>466000000</v>
      </c>
      <c r="I207" s="52" t="s">
        <v>757</v>
      </c>
      <c r="J207" s="51" t="s">
        <v>116</v>
      </c>
      <c r="K207" s="51" t="s">
        <v>162</v>
      </c>
      <c r="L207" s="41">
        <f t="shared" si="15"/>
        <v>1327000000</v>
      </c>
      <c r="M207" s="41">
        <f t="shared" si="16"/>
        <v>1435000000</v>
      </c>
      <c r="N207" s="41">
        <f t="shared" si="17"/>
        <v>-108000000</v>
      </c>
      <c r="O207" s="41">
        <f t="shared" si="18"/>
        <v>0.90884258671071017</v>
      </c>
      <c r="P207" s="41">
        <f t="shared" si="19"/>
        <v>-6.8606276203786046E-3</v>
      </c>
    </row>
    <row r="208" spans="1:16" ht="19.95" customHeight="1">
      <c r="A208" s="49">
        <v>221</v>
      </c>
      <c r="B208" s="50" t="s">
        <v>161</v>
      </c>
      <c r="C208" s="51" t="s">
        <v>20</v>
      </c>
      <c r="D208" s="51" t="s">
        <v>84</v>
      </c>
      <c r="E208" s="52">
        <v>9841000000</v>
      </c>
      <c r="F208" s="52">
        <v>9973000000</v>
      </c>
      <c r="G208" s="52">
        <v>815000000</v>
      </c>
      <c r="H208" s="52">
        <v>384000000</v>
      </c>
      <c r="I208" s="52" t="s">
        <v>757</v>
      </c>
      <c r="J208" s="51" t="s">
        <v>116</v>
      </c>
      <c r="K208" s="51" t="s">
        <v>162</v>
      </c>
      <c r="L208" s="41">
        <f t="shared" si="15"/>
        <v>-132000000</v>
      </c>
      <c r="M208" s="41">
        <f t="shared" si="16"/>
        <v>1199000000</v>
      </c>
      <c r="N208" s="41">
        <f t="shared" si="17"/>
        <v>-1331000000</v>
      </c>
      <c r="O208" s="41">
        <f t="shared" si="18"/>
        <v>0.87816278833451888</v>
      </c>
      <c r="P208" s="41">
        <f t="shared" si="19"/>
        <v>-0.13525048267452494</v>
      </c>
    </row>
    <row r="209" spans="1:16" ht="19.95" customHeight="1">
      <c r="A209" s="49">
        <v>222</v>
      </c>
      <c r="B209" s="50" t="s">
        <v>163</v>
      </c>
      <c r="C209" s="51" t="s">
        <v>11</v>
      </c>
      <c r="D209" s="51" t="s">
        <v>17</v>
      </c>
      <c r="E209" s="52">
        <v>6932200000</v>
      </c>
      <c r="F209" s="52">
        <v>857700000</v>
      </c>
      <c r="G209" s="52">
        <v>1797000000</v>
      </c>
      <c r="H209" s="52">
        <v>1444100000</v>
      </c>
      <c r="I209" s="52">
        <v>342900000</v>
      </c>
      <c r="J209" s="51" t="s">
        <v>37</v>
      </c>
      <c r="K209" s="51" t="s">
        <v>95</v>
      </c>
      <c r="L209" s="41">
        <f t="shared" si="15"/>
        <v>6074500000</v>
      </c>
      <c r="M209" s="41">
        <f t="shared" si="16"/>
        <v>3584000000</v>
      </c>
      <c r="N209" s="41">
        <f t="shared" si="17"/>
        <v>2490500000</v>
      </c>
      <c r="O209" s="41">
        <f t="shared" si="18"/>
        <v>0.48299241222122846</v>
      </c>
      <c r="P209" s="41">
        <f t="shared" si="19"/>
        <v>0.35926545685352412</v>
      </c>
    </row>
    <row r="210" spans="1:16" ht="19.95" customHeight="1">
      <c r="A210" s="49">
        <v>223</v>
      </c>
      <c r="B210" s="50" t="s">
        <v>163</v>
      </c>
      <c r="C210" s="51" t="s">
        <v>16</v>
      </c>
      <c r="D210" s="51" t="s">
        <v>19</v>
      </c>
      <c r="E210" s="52">
        <v>9703300000</v>
      </c>
      <c r="F210" s="52">
        <v>1171000000</v>
      </c>
      <c r="G210" s="52">
        <v>2193400000</v>
      </c>
      <c r="H210" s="52">
        <v>1893400000</v>
      </c>
      <c r="I210" s="52">
        <v>489800000</v>
      </c>
      <c r="J210" s="51" t="s">
        <v>37</v>
      </c>
      <c r="K210" s="51" t="s">
        <v>95</v>
      </c>
      <c r="L210" s="41">
        <f t="shared" si="15"/>
        <v>8532300000</v>
      </c>
      <c r="M210" s="41">
        <f t="shared" si="16"/>
        <v>4576600000</v>
      </c>
      <c r="N210" s="41">
        <f t="shared" si="17"/>
        <v>3955700000</v>
      </c>
      <c r="O210" s="41">
        <f t="shared" si="18"/>
        <v>0.52834602660950392</v>
      </c>
      <c r="P210" s="41">
        <f t="shared" si="19"/>
        <v>0.40766543340925254</v>
      </c>
    </row>
    <row r="211" spans="1:16" ht="19.95" customHeight="1">
      <c r="A211" s="49">
        <v>224</v>
      </c>
      <c r="B211" s="50" t="s">
        <v>163</v>
      </c>
      <c r="C211" s="51" t="s">
        <v>18</v>
      </c>
      <c r="D211" s="51" t="s">
        <v>21</v>
      </c>
      <c r="E211" s="52">
        <v>10763800000</v>
      </c>
      <c r="F211" s="52">
        <v>1240400000</v>
      </c>
      <c r="G211" s="52">
        <v>2143600000</v>
      </c>
      <c r="H211" s="52">
        <v>2012800000</v>
      </c>
      <c r="I211" s="52">
        <v>382600000</v>
      </c>
      <c r="J211" s="51" t="s">
        <v>37</v>
      </c>
      <c r="K211" s="51" t="s">
        <v>95</v>
      </c>
      <c r="L211" s="41">
        <f t="shared" si="15"/>
        <v>9523400000</v>
      </c>
      <c r="M211" s="41">
        <f t="shared" si="16"/>
        <v>4539000000</v>
      </c>
      <c r="N211" s="41">
        <f t="shared" si="17"/>
        <v>4984400000</v>
      </c>
      <c r="O211" s="41">
        <f t="shared" si="18"/>
        <v>0.57830877571118</v>
      </c>
      <c r="P211" s="41">
        <f t="shared" si="19"/>
        <v>0.46307066277708614</v>
      </c>
    </row>
    <row r="212" spans="1:16" ht="19.95" customHeight="1">
      <c r="A212" s="49">
        <v>225</v>
      </c>
      <c r="B212" s="50" t="s">
        <v>163</v>
      </c>
      <c r="C212" s="51" t="s">
        <v>20</v>
      </c>
      <c r="D212" s="51" t="s">
        <v>84</v>
      </c>
      <c r="E212" s="52">
        <v>11448800000</v>
      </c>
      <c r="F212" s="52">
        <v>1478700000</v>
      </c>
      <c r="G212" s="52">
        <v>1972900000</v>
      </c>
      <c r="H212" s="52">
        <v>1973300000</v>
      </c>
      <c r="I212" s="52">
        <v>385600000</v>
      </c>
      <c r="J212" s="51" t="s">
        <v>37</v>
      </c>
      <c r="K212" s="51" t="s">
        <v>95</v>
      </c>
      <c r="L212" s="41">
        <f t="shared" si="15"/>
        <v>9970100000</v>
      </c>
      <c r="M212" s="41">
        <f t="shared" si="16"/>
        <v>4331800000</v>
      </c>
      <c r="N212" s="41">
        <f t="shared" si="17"/>
        <v>5638300000</v>
      </c>
      <c r="O212" s="41">
        <f t="shared" si="18"/>
        <v>0.62163720215219065</v>
      </c>
      <c r="P212" s="41">
        <f t="shared" si="19"/>
        <v>0.49247956117671721</v>
      </c>
    </row>
    <row r="213" spans="1:16" ht="19.95" customHeight="1">
      <c r="A213" s="49">
        <v>230</v>
      </c>
      <c r="B213" s="50" t="s">
        <v>164</v>
      </c>
      <c r="C213" s="51" t="s">
        <v>11</v>
      </c>
      <c r="D213" s="51" t="s">
        <v>12</v>
      </c>
      <c r="E213" s="52">
        <v>8735700000</v>
      </c>
      <c r="F213" s="52">
        <v>7174000000</v>
      </c>
      <c r="G213" s="52">
        <v>488300000</v>
      </c>
      <c r="H213" s="52" t="s">
        <v>757</v>
      </c>
      <c r="I213" s="52">
        <v>282900000</v>
      </c>
      <c r="J213" s="51" t="s">
        <v>88</v>
      </c>
      <c r="K213" s="51" t="s">
        <v>165</v>
      </c>
      <c r="L213" s="41">
        <f t="shared" si="15"/>
        <v>1561700000</v>
      </c>
      <c r="M213" s="41">
        <f t="shared" si="16"/>
        <v>771200000</v>
      </c>
      <c r="N213" s="41">
        <f t="shared" si="17"/>
        <v>790500000</v>
      </c>
      <c r="O213" s="41">
        <f t="shared" si="18"/>
        <v>0.91171858007944406</v>
      </c>
      <c r="P213" s="41">
        <f t="shared" si="19"/>
        <v>9.0490744874480583E-2</v>
      </c>
    </row>
    <row r="214" spans="1:16" ht="19.95" customHeight="1">
      <c r="A214" s="49">
        <v>231</v>
      </c>
      <c r="B214" s="50" t="s">
        <v>164</v>
      </c>
      <c r="C214" s="51" t="s">
        <v>16</v>
      </c>
      <c r="D214" s="51" t="s">
        <v>17</v>
      </c>
      <c r="E214" s="52">
        <v>8468100000</v>
      </c>
      <c r="F214" s="52">
        <v>6875400000</v>
      </c>
      <c r="G214" s="52">
        <v>497400000</v>
      </c>
      <c r="H214" s="52" t="s">
        <v>757</v>
      </c>
      <c r="I214" s="52">
        <v>299900000</v>
      </c>
      <c r="J214" s="51" t="s">
        <v>88</v>
      </c>
      <c r="K214" s="51" t="s">
        <v>165</v>
      </c>
      <c r="L214" s="41">
        <f t="shared" si="15"/>
        <v>1592700000</v>
      </c>
      <c r="M214" s="41">
        <f t="shared" si="16"/>
        <v>797300000</v>
      </c>
      <c r="N214" s="41">
        <f t="shared" si="17"/>
        <v>795400000</v>
      </c>
      <c r="O214" s="41">
        <f t="shared" si="18"/>
        <v>0.90584664800840797</v>
      </c>
      <c r="P214" s="41">
        <f t="shared" si="19"/>
        <v>9.3928980526918671E-2</v>
      </c>
    </row>
    <row r="215" spans="1:16" ht="19.95" customHeight="1">
      <c r="A215" s="49">
        <v>232</v>
      </c>
      <c r="B215" s="50" t="s">
        <v>164</v>
      </c>
      <c r="C215" s="51" t="s">
        <v>18</v>
      </c>
      <c r="D215" s="51" t="s">
        <v>19</v>
      </c>
      <c r="E215" s="52">
        <v>8570000000</v>
      </c>
      <c r="F215" s="52">
        <v>6903500000</v>
      </c>
      <c r="G215" s="52">
        <v>547000000</v>
      </c>
      <c r="H215" s="52" t="s">
        <v>757</v>
      </c>
      <c r="I215" s="52">
        <v>280900000</v>
      </c>
      <c r="J215" s="51" t="s">
        <v>88</v>
      </c>
      <c r="K215" s="51" t="s">
        <v>165</v>
      </c>
      <c r="L215" s="41">
        <f t="shared" si="15"/>
        <v>1666500000</v>
      </c>
      <c r="M215" s="41">
        <f t="shared" si="16"/>
        <v>827900000</v>
      </c>
      <c r="N215" s="41">
        <f t="shared" si="17"/>
        <v>838600000</v>
      </c>
      <c r="O215" s="41">
        <f t="shared" si="18"/>
        <v>0.90339556592765458</v>
      </c>
      <c r="P215" s="41">
        <f t="shared" si="19"/>
        <v>9.7852975495915984E-2</v>
      </c>
    </row>
    <row r="216" spans="1:16" ht="19.95" customHeight="1">
      <c r="A216" s="49">
        <v>233</v>
      </c>
      <c r="B216" s="50" t="s">
        <v>164</v>
      </c>
      <c r="C216" s="51" t="s">
        <v>20</v>
      </c>
      <c r="D216" s="51" t="s">
        <v>21</v>
      </c>
      <c r="E216" s="52">
        <v>7997000000</v>
      </c>
      <c r="F216" s="52">
        <v>6460300000</v>
      </c>
      <c r="G216" s="52">
        <v>646000000</v>
      </c>
      <c r="H216" s="52" t="s">
        <v>757</v>
      </c>
      <c r="I216" s="52">
        <v>285500000</v>
      </c>
      <c r="J216" s="51" t="s">
        <v>88</v>
      </c>
      <c r="K216" s="51" t="s">
        <v>165</v>
      </c>
      <c r="L216" s="41">
        <f t="shared" si="15"/>
        <v>1536700000</v>
      </c>
      <c r="M216" s="41">
        <f t="shared" si="16"/>
        <v>931500000</v>
      </c>
      <c r="N216" s="41">
        <f t="shared" si="17"/>
        <v>605200000</v>
      </c>
      <c r="O216" s="41">
        <f t="shared" si="18"/>
        <v>0.88351881955733402</v>
      </c>
      <c r="P216" s="41">
        <f t="shared" si="19"/>
        <v>7.5678379392272108E-2</v>
      </c>
    </row>
    <row r="217" spans="1:16" ht="19.95" customHeight="1">
      <c r="A217" s="49">
        <v>234</v>
      </c>
      <c r="B217" s="50" t="s">
        <v>166</v>
      </c>
      <c r="C217" s="51" t="s">
        <v>11</v>
      </c>
      <c r="D217" s="51" t="s">
        <v>12</v>
      </c>
      <c r="E217" s="52">
        <v>17621000000</v>
      </c>
      <c r="F217" s="52">
        <v>4610000000</v>
      </c>
      <c r="G217" s="52">
        <v>5017000000</v>
      </c>
      <c r="H217" s="52">
        <v>3904000000</v>
      </c>
      <c r="I217" s="52" t="s">
        <v>757</v>
      </c>
      <c r="J217" s="51" t="s">
        <v>37</v>
      </c>
      <c r="K217" s="51" t="s">
        <v>41</v>
      </c>
      <c r="L217" s="41">
        <f t="shared" si="15"/>
        <v>13011000000</v>
      </c>
      <c r="M217" s="41">
        <f t="shared" si="16"/>
        <v>8921000000</v>
      </c>
      <c r="N217" s="41">
        <f t="shared" si="17"/>
        <v>4090000000</v>
      </c>
      <c r="O217" s="41">
        <f t="shared" si="18"/>
        <v>0.49372907326485449</v>
      </c>
      <c r="P217" s="41">
        <f t="shared" si="19"/>
        <v>0.23210941490267295</v>
      </c>
    </row>
    <row r="218" spans="1:16" ht="19.95" customHeight="1">
      <c r="A218" s="49">
        <v>235</v>
      </c>
      <c r="B218" s="50" t="s">
        <v>166</v>
      </c>
      <c r="C218" s="51" t="s">
        <v>16</v>
      </c>
      <c r="D218" s="51" t="s">
        <v>17</v>
      </c>
      <c r="E218" s="52">
        <v>16385000000</v>
      </c>
      <c r="F218" s="52">
        <v>4619000000</v>
      </c>
      <c r="G218" s="52">
        <v>4939000000</v>
      </c>
      <c r="H218" s="52">
        <v>3731000000</v>
      </c>
      <c r="I218" s="52" t="s">
        <v>757</v>
      </c>
      <c r="J218" s="51" t="s">
        <v>37</v>
      </c>
      <c r="K218" s="51" t="s">
        <v>41</v>
      </c>
      <c r="L218" s="41">
        <f t="shared" si="15"/>
        <v>11766000000</v>
      </c>
      <c r="M218" s="41">
        <f t="shared" si="16"/>
        <v>8670000000</v>
      </c>
      <c r="N218" s="41">
        <f t="shared" si="17"/>
        <v>3096000000</v>
      </c>
      <c r="O218" s="41">
        <f t="shared" si="18"/>
        <v>0.47085749160817825</v>
      </c>
      <c r="P218" s="41">
        <f t="shared" si="19"/>
        <v>0.1889533109551419</v>
      </c>
    </row>
    <row r="219" spans="1:16" ht="19.95" customHeight="1">
      <c r="A219" s="49">
        <v>236</v>
      </c>
      <c r="B219" s="50" t="s">
        <v>166</v>
      </c>
      <c r="C219" s="51" t="s">
        <v>18</v>
      </c>
      <c r="D219" s="51" t="s">
        <v>19</v>
      </c>
      <c r="E219" s="52">
        <v>15879000000</v>
      </c>
      <c r="F219" s="52">
        <v>3932000000</v>
      </c>
      <c r="G219" s="52">
        <v>4822000000</v>
      </c>
      <c r="H219" s="52">
        <v>4534000000</v>
      </c>
      <c r="I219" s="52" t="s">
        <v>757</v>
      </c>
      <c r="J219" s="51" t="s">
        <v>37</v>
      </c>
      <c r="K219" s="51" t="s">
        <v>41</v>
      </c>
      <c r="L219" s="41">
        <f t="shared" si="15"/>
        <v>11947000000</v>
      </c>
      <c r="M219" s="41">
        <f t="shared" si="16"/>
        <v>9356000000</v>
      </c>
      <c r="N219" s="41">
        <f t="shared" si="17"/>
        <v>2591000000</v>
      </c>
      <c r="O219" s="41">
        <f t="shared" si="18"/>
        <v>0.41079413061275905</v>
      </c>
      <c r="P219" s="41">
        <f t="shared" si="19"/>
        <v>0.16317148435039991</v>
      </c>
    </row>
    <row r="220" spans="1:16" ht="19.95" customHeight="1">
      <c r="A220" s="49">
        <v>237</v>
      </c>
      <c r="B220" s="50" t="s">
        <v>166</v>
      </c>
      <c r="C220" s="51" t="s">
        <v>20</v>
      </c>
      <c r="D220" s="51" t="s">
        <v>21</v>
      </c>
      <c r="E220" s="52">
        <v>16560000000</v>
      </c>
      <c r="F220" s="52">
        <v>3909000000</v>
      </c>
      <c r="G220" s="52">
        <v>4841000000</v>
      </c>
      <c r="H220" s="52">
        <v>5920000000</v>
      </c>
      <c r="I220" s="52" t="s">
        <v>757</v>
      </c>
      <c r="J220" s="51" t="s">
        <v>37</v>
      </c>
      <c r="K220" s="51" t="s">
        <v>41</v>
      </c>
      <c r="L220" s="41">
        <f t="shared" si="15"/>
        <v>12651000000</v>
      </c>
      <c r="M220" s="41">
        <f t="shared" si="16"/>
        <v>10761000000</v>
      </c>
      <c r="N220" s="41">
        <f t="shared" si="17"/>
        <v>1890000000</v>
      </c>
      <c r="O220" s="41">
        <f t="shared" si="18"/>
        <v>0.35018115942028982</v>
      </c>
      <c r="P220" s="41">
        <f t="shared" si="19"/>
        <v>0.11413043478260869</v>
      </c>
    </row>
    <row r="221" spans="1:16" ht="19.95" customHeight="1">
      <c r="A221" s="49">
        <v>238</v>
      </c>
      <c r="B221" s="50" t="s">
        <v>167</v>
      </c>
      <c r="C221" s="51" t="s">
        <v>11</v>
      </c>
      <c r="D221" s="51" t="s">
        <v>12</v>
      </c>
      <c r="E221" s="52">
        <v>7249000000</v>
      </c>
      <c r="F221" s="52">
        <v>2349000000</v>
      </c>
      <c r="G221" s="52">
        <v>2529000000</v>
      </c>
      <c r="H221" s="52">
        <v>886000000</v>
      </c>
      <c r="I221" s="52">
        <v>395000000</v>
      </c>
      <c r="J221" s="51" t="s">
        <v>37</v>
      </c>
      <c r="K221" s="51" t="s">
        <v>46</v>
      </c>
      <c r="L221" s="41">
        <f t="shared" si="15"/>
        <v>4900000000</v>
      </c>
      <c r="M221" s="41">
        <f t="shared" si="16"/>
        <v>3810000000</v>
      </c>
      <c r="N221" s="41">
        <f t="shared" si="17"/>
        <v>1090000000</v>
      </c>
      <c r="O221" s="41">
        <f t="shared" si="18"/>
        <v>0.47441026348461857</v>
      </c>
      <c r="P221" s="41">
        <f t="shared" si="19"/>
        <v>0.15036556766450546</v>
      </c>
    </row>
    <row r="222" spans="1:16" ht="19.95" customHeight="1">
      <c r="A222" s="49">
        <v>239</v>
      </c>
      <c r="B222" s="50" t="s">
        <v>167</v>
      </c>
      <c r="C222" s="51" t="s">
        <v>16</v>
      </c>
      <c r="D222" s="51" t="s">
        <v>17</v>
      </c>
      <c r="E222" s="52">
        <v>7143000000</v>
      </c>
      <c r="F222" s="52">
        <v>2174000000</v>
      </c>
      <c r="G222" s="52">
        <v>2678000000</v>
      </c>
      <c r="H222" s="52">
        <v>861000000</v>
      </c>
      <c r="I222" s="52">
        <v>410000000</v>
      </c>
      <c r="J222" s="51" t="s">
        <v>37</v>
      </c>
      <c r="K222" s="51" t="s">
        <v>46</v>
      </c>
      <c r="L222" s="41">
        <f t="shared" si="15"/>
        <v>4969000000</v>
      </c>
      <c r="M222" s="41">
        <f t="shared" si="16"/>
        <v>3949000000</v>
      </c>
      <c r="N222" s="41">
        <f t="shared" si="17"/>
        <v>1020000000</v>
      </c>
      <c r="O222" s="41">
        <f t="shared" si="18"/>
        <v>0.44715105697886037</v>
      </c>
      <c r="P222" s="41">
        <f t="shared" si="19"/>
        <v>0.14279714405711885</v>
      </c>
    </row>
    <row r="223" spans="1:16" ht="19.95" customHeight="1">
      <c r="A223" s="49">
        <v>240</v>
      </c>
      <c r="B223" s="50" t="s">
        <v>167</v>
      </c>
      <c r="C223" s="51" t="s">
        <v>18</v>
      </c>
      <c r="D223" s="51" t="s">
        <v>19</v>
      </c>
      <c r="E223" s="52">
        <v>7380000000</v>
      </c>
      <c r="F223" s="52">
        <v>2210000000</v>
      </c>
      <c r="G223" s="52">
        <v>2817000000</v>
      </c>
      <c r="H223" s="52">
        <v>817000000</v>
      </c>
      <c r="I223" s="52">
        <v>438000000</v>
      </c>
      <c r="J223" s="51" t="s">
        <v>37</v>
      </c>
      <c r="K223" s="51" t="s">
        <v>46</v>
      </c>
      <c r="L223" s="41">
        <f t="shared" si="15"/>
        <v>5170000000</v>
      </c>
      <c r="M223" s="41">
        <f t="shared" si="16"/>
        <v>4072000000</v>
      </c>
      <c r="N223" s="41">
        <f t="shared" si="17"/>
        <v>1098000000</v>
      </c>
      <c r="O223" s="41">
        <f t="shared" si="18"/>
        <v>0.44823848238482389</v>
      </c>
      <c r="P223" s="41">
        <f t="shared" si="19"/>
        <v>0.14878048780487804</v>
      </c>
    </row>
    <row r="224" spans="1:16" ht="19.95" customHeight="1">
      <c r="A224" s="49">
        <v>241</v>
      </c>
      <c r="B224" s="50" t="s">
        <v>167</v>
      </c>
      <c r="C224" s="51" t="s">
        <v>20</v>
      </c>
      <c r="D224" s="51" t="s">
        <v>21</v>
      </c>
      <c r="E224" s="52">
        <v>7477000000</v>
      </c>
      <c r="F224" s="52">
        <v>2173000000</v>
      </c>
      <c r="G224" s="52">
        <v>2996000000</v>
      </c>
      <c r="H224" s="52">
        <v>876000000</v>
      </c>
      <c r="I224" s="52">
        <v>495000000</v>
      </c>
      <c r="J224" s="51" t="s">
        <v>37</v>
      </c>
      <c r="K224" s="51" t="s">
        <v>46</v>
      </c>
      <c r="L224" s="41">
        <f t="shared" si="15"/>
        <v>5304000000</v>
      </c>
      <c r="M224" s="41">
        <f t="shared" si="16"/>
        <v>4367000000</v>
      </c>
      <c r="N224" s="41">
        <f t="shared" si="17"/>
        <v>937000000</v>
      </c>
      <c r="O224" s="41">
        <f t="shared" si="18"/>
        <v>0.41594222281663773</v>
      </c>
      <c r="P224" s="41">
        <f t="shared" si="19"/>
        <v>0.1253176407650127</v>
      </c>
    </row>
    <row r="225" spans="1:16" ht="19.95" customHeight="1">
      <c r="A225" s="49">
        <v>242</v>
      </c>
      <c r="B225" s="50" t="s">
        <v>168</v>
      </c>
      <c r="C225" s="51" t="s">
        <v>11</v>
      </c>
      <c r="D225" s="51" t="s">
        <v>17</v>
      </c>
      <c r="E225" s="52">
        <v>7436600000</v>
      </c>
      <c r="F225" s="52">
        <v>5879100000</v>
      </c>
      <c r="G225" s="52">
        <v>702300000</v>
      </c>
      <c r="H225" s="52" t="s">
        <v>757</v>
      </c>
      <c r="I225" s="52" t="s">
        <v>757</v>
      </c>
      <c r="J225" s="51" t="s">
        <v>24</v>
      </c>
      <c r="K225" s="51" t="s">
        <v>169</v>
      </c>
      <c r="L225" s="41">
        <f t="shared" si="15"/>
        <v>1557500000</v>
      </c>
      <c r="M225" s="41">
        <f t="shared" si="16"/>
        <v>702300000</v>
      </c>
      <c r="N225" s="41">
        <f t="shared" si="17"/>
        <v>855200000</v>
      </c>
      <c r="O225" s="41">
        <f t="shared" si="18"/>
        <v>0.9055616814135492</v>
      </c>
      <c r="P225" s="41">
        <f t="shared" si="19"/>
        <v>0.11499878976951833</v>
      </c>
    </row>
    <row r="226" spans="1:16" ht="19.95" customHeight="1">
      <c r="A226" s="49">
        <v>243</v>
      </c>
      <c r="B226" s="50" t="s">
        <v>168</v>
      </c>
      <c r="C226" s="51" t="s">
        <v>16</v>
      </c>
      <c r="D226" s="51" t="s">
        <v>19</v>
      </c>
      <c r="E226" s="52">
        <v>8305100000</v>
      </c>
      <c r="F226" s="52">
        <v>6548700000</v>
      </c>
      <c r="G226" s="52">
        <v>792700000</v>
      </c>
      <c r="H226" s="52" t="s">
        <v>757</v>
      </c>
      <c r="I226" s="52" t="s">
        <v>757</v>
      </c>
      <c r="J226" s="51" t="s">
        <v>24</v>
      </c>
      <c r="K226" s="51" t="s">
        <v>169</v>
      </c>
      <c r="L226" s="41">
        <f t="shared" si="15"/>
        <v>1756400000</v>
      </c>
      <c r="M226" s="41">
        <f t="shared" si="16"/>
        <v>792700000</v>
      </c>
      <c r="N226" s="41">
        <f t="shared" si="17"/>
        <v>963700000</v>
      </c>
      <c r="O226" s="41">
        <f t="shared" si="18"/>
        <v>0.90455262429109828</v>
      </c>
      <c r="P226" s="41">
        <f t="shared" si="19"/>
        <v>0.11603713380934606</v>
      </c>
    </row>
    <row r="227" spans="1:16" ht="19.95" customHeight="1">
      <c r="A227" s="49">
        <v>244</v>
      </c>
      <c r="B227" s="50" t="s">
        <v>168</v>
      </c>
      <c r="C227" s="51" t="s">
        <v>18</v>
      </c>
      <c r="D227" s="51" t="s">
        <v>21</v>
      </c>
      <c r="E227" s="52">
        <v>8023200000</v>
      </c>
      <c r="F227" s="52">
        <v>6320100000</v>
      </c>
      <c r="G227" s="52">
        <v>763400000</v>
      </c>
      <c r="H227" s="52" t="s">
        <v>757</v>
      </c>
      <c r="I227" s="52" t="s">
        <v>757</v>
      </c>
      <c r="J227" s="51" t="s">
        <v>24</v>
      </c>
      <c r="K227" s="51" t="s">
        <v>169</v>
      </c>
      <c r="L227" s="41">
        <f t="shared" si="15"/>
        <v>1703100000</v>
      </c>
      <c r="M227" s="41">
        <f t="shared" si="16"/>
        <v>763400000</v>
      </c>
      <c r="N227" s="41">
        <f t="shared" si="17"/>
        <v>939700000</v>
      </c>
      <c r="O227" s="41">
        <f t="shared" si="18"/>
        <v>0.90485093229634062</v>
      </c>
      <c r="P227" s="41">
        <f t="shared" si="19"/>
        <v>0.11712284375311596</v>
      </c>
    </row>
    <row r="228" spans="1:16" ht="19.95" customHeight="1">
      <c r="A228" s="49">
        <v>245</v>
      </c>
      <c r="B228" s="50" t="s">
        <v>168</v>
      </c>
      <c r="C228" s="51" t="s">
        <v>20</v>
      </c>
      <c r="D228" s="51" t="s">
        <v>84</v>
      </c>
      <c r="E228" s="52">
        <v>9071000000</v>
      </c>
      <c r="F228" s="52">
        <v>7137900000</v>
      </c>
      <c r="G228" s="52">
        <v>1707200000</v>
      </c>
      <c r="H228" s="52" t="s">
        <v>757</v>
      </c>
      <c r="I228" s="52" t="s">
        <v>757</v>
      </c>
      <c r="J228" s="51" t="s">
        <v>24</v>
      </c>
      <c r="K228" s="51" t="s">
        <v>169</v>
      </c>
      <c r="L228" s="41">
        <f t="shared" si="15"/>
        <v>1933100000</v>
      </c>
      <c r="M228" s="41">
        <f t="shared" si="16"/>
        <v>1707200000</v>
      </c>
      <c r="N228" s="41">
        <f t="shared" si="17"/>
        <v>225900000</v>
      </c>
      <c r="O228" s="41">
        <f t="shared" si="18"/>
        <v>0.81179583287399404</v>
      </c>
      <c r="P228" s="41">
        <f t="shared" si="19"/>
        <v>2.4903538749862199E-2</v>
      </c>
    </row>
    <row r="229" spans="1:16" ht="19.95" customHeight="1">
      <c r="A229" s="49">
        <v>246</v>
      </c>
      <c r="B229" s="50" t="s">
        <v>170</v>
      </c>
      <c r="C229" s="51" t="s">
        <v>11</v>
      </c>
      <c r="D229" s="51" t="s">
        <v>12</v>
      </c>
      <c r="E229" s="52">
        <v>1847186000</v>
      </c>
      <c r="F229" s="52">
        <v>667208000</v>
      </c>
      <c r="G229" s="52">
        <v>93782000</v>
      </c>
      <c r="H229" s="52" t="s">
        <v>757</v>
      </c>
      <c r="I229" s="52">
        <v>445875000</v>
      </c>
      <c r="J229" s="51" t="s">
        <v>80</v>
      </c>
      <c r="K229" s="51" t="s">
        <v>81</v>
      </c>
      <c r="L229" s="41">
        <f t="shared" si="15"/>
        <v>1179978000</v>
      </c>
      <c r="M229" s="41">
        <f t="shared" si="16"/>
        <v>539657000</v>
      </c>
      <c r="N229" s="41">
        <f t="shared" si="17"/>
        <v>640321000</v>
      </c>
      <c r="O229" s="41">
        <f t="shared" si="18"/>
        <v>0.70784912834982516</v>
      </c>
      <c r="P229" s="41">
        <f t="shared" si="19"/>
        <v>0.34664673725331396</v>
      </c>
    </row>
    <row r="230" spans="1:16" ht="19.95" customHeight="1">
      <c r="A230" s="49">
        <v>247</v>
      </c>
      <c r="B230" s="50" t="s">
        <v>170</v>
      </c>
      <c r="C230" s="51" t="s">
        <v>16</v>
      </c>
      <c r="D230" s="51" t="s">
        <v>17</v>
      </c>
      <c r="E230" s="52">
        <v>2135539000</v>
      </c>
      <c r="F230" s="52">
        <v>771403000</v>
      </c>
      <c r="G230" s="52">
        <v>117073000</v>
      </c>
      <c r="H230" s="52" t="s">
        <v>757</v>
      </c>
      <c r="I230" s="52">
        <v>560637000</v>
      </c>
      <c r="J230" s="51" t="s">
        <v>80</v>
      </c>
      <c r="K230" s="51" t="s">
        <v>81</v>
      </c>
      <c r="L230" s="41">
        <f t="shared" si="15"/>
        <v>1364136000</v>
      </c>
      <c r="M230" s="41">
        <f t="shared" si="16"/>
        <v>677710000</v>
      </c>
      <c r="N230" s="41">
        <f t="shared" si="17"/>
        <v>686426000</v>
      </c>
      <c r="O230" s="41">
        <f t="shared" si="18"/>
        <v>0.6826515460499667</v>
      </c>
      <c r="P230" s="41">
        <f t="shared" si="19"/>
        <v>0.3214298591596782</v>
      </c>
    </row>
    <row r="231" spans="1:16" ht="19.95" customHeight="1">
      <c r="A231" s="49">
        <v>248</v>
      </c>
      <c r="B231" s="50" t="s">
        <v>170</v>
      </c>
      <c r="C231" s="51" t="s">
        <v>18</v>
      </c>
      <c r="D231" s="51" t="s">
        <v>19</v>
      </c>
      <c r="E231" s="52">
        <v>2396998000</v>
      </c>
      <c r="F231" s="52">
        <v>864526000</v>
      </c>
      <c r="G231" s="52">
        <v>102077000</v>
      </c>
      <c r="H231" s="52" t="s">
        <v>757</v>
      </c>
      <c r="I231" s="52">
        <v>628573000</v>
      </c>
      <c r="J231" s="51" t="s">
        <v>80</v>
      </c>
      <c r="K231" s="51" t="s">
        <v>81</v>
      </c>
      <c r="L231" s="41">
        <f t="shared" si="15"/>
        <v>1532472000</v>
      </c>
      <c r="M231" s="41">
        <f t="shared" si="16"/>
        <v>730650000</v>
      </c>
      <c r="N231" s="41">
        <f t="shared" si="17"/>
        <v>801822000</v>
      </c>
      <c r="O231" s="41">
        <f t="shared" si="18"/>
        <v>0.6951812225124927</v>
      </c>
      <c r="P231" s="41">
        <f t="shared" si="19"/>
        <v>0.33451091740585515</v>
      </c>
    </row>
    <row r="232" spans="1:16" ht="19.95" customHeight="1">
      <c r="A232" s="49">
        <v>249</v>
      </c>
      <c r="B232" s="50" t="s">
        <v>170</v>
      </c>
      <c r="C232" s="51" t="s">
        <v>20</v>
      </c>
      <c r="D232" s="51" t="s">
        <v>21</v>
      </c>
      <c r="E232" s="52">
        <v>2490821000</v>
      </c>
      <c r="F232" s="52">
        <v>904336000</v>
      </c>
      <c r="G232" s="52">
        <v>97578000</v>
      </c>
      <c r="H232" s="52" t="s">
        <v>757</v>
      </c>
      <c r="I232" s="52">
        <v>639542000</v>
      </c>
      <c r="J232" s="51" t="s">
        <v>80</v>
      </c>
      <c r="K232" s="51" t="s">
        <v>81</v>
      </c>
      <c r="L232" s="41">
        <f t="shared" si="15"/>
        <v>1586485000</v>
      </c>
      <c r="M232" s="41">
        <f t="shared" si="16"/>
        <v>737120000</v>
      </c>
      <c r="N232" s="41">
        <f t="shared" si="17"/>
        <v>849365000</v>
      </c>
      <c r="O232" s="41">
        <f t="shared" si="18"/>
        <v>0.704065446694082</v>
      </c>
      <c r="P232" s="41">
        <f t="shared" si="19"/>
        <v>0.34099800828722737</v>
      </c>
    </row>
    <row r="233" spans="1:16" ht="19.95" customHeight="1">
      <c r="A233" s="49">
        <v>254</v>
      </c>
      <c r="B233" s="50" t="s">
        <v>171</v>
      </c>
      <c r="C233" s="51" t="s">
        <v>11</v>
      </c>
      <c r="D233" s="51" t="s">
        <v>172</v>
      </c>
      <c r="E233" s="52">
        <v>13469300000</v>
      </c>
      <c r="F233" s="52">
        <v>10104400000</v>
      </c>
      <c r="G233" s="52">
        <v>2065900000</v>
      </c>
      <c r="H233" s="52" t="s">
        <v>757</v>
      </c>
      <c r="I233" s="52" t="s">
        <v>757</v>
      </c>
      <c r="J233" s="51" t="s">
        <v>60</v>
      </c>
      <c r="K233" s="51" t="s">
        <v>173</v>
      </c>
      <c r="L233" s="41">
        <f t="shared" si="15"/>
        <v>3364900000</v>
      </c>
      <c r="M233" s="41">
        <f t="shared" si="16"/>
        <v>2065900000</v>
      </c>
      <c r="N233" s="41">
        <f t="shared" si="17"/>
        <v>1299000000</v>
      </c>
      <c r="O233" s="41">
        <f t="shared" si="18"/>
        <v>0.84662157647390734</v>
      </c>
      <c r="P233" s="41">
        <f t="shared" si="19"/>
        <v>9.6441537422137749E-2</v>
      </c>
    </row>
    <row r="234" spans="1:16" ht="19.95" customHeight="1">
      <c r="A234" s="49">
        <v>255</v>
      </c>
      <c r="B234" s="50" t="s">
        <v>171</v>
      </c>
      <c r="C234" s="51" t="s">
        <v>16</v>
      </c>
      <c r="D234" s="51" t="s">
        <v>174</v>
      </c>
      <c r="E234" s="52">
        <v>11838200000</v>
      </c>
      <c r="F234" s="52">
        <v>8910800000</v>
      </c>
      <c r="G234" s="52">
        <v>1778900000</v>
      </c>
      <c r="H234" s="52" t="s">
        <v>757</v>
      </c>
      <c r="I234" s="52" t="s">
        <v>757</v>
      </c>
      <c r="J234" s="51" t="s">
        <v>60</v>
      </c>
      <c r="K234" s="51" t="s">
        <v>173</v>
      </c>
      <c r="L234" s="41">
        <f t="shared" si="15"/>
        <v>2927400000</v>
      </c>
      <c r="M234" s="41">
        <f t="shared" si="16"/>
        <v>1778900000</v>
      </c>
      <c r="N234" s="41">
        <f t="shared" si="17"/>
        <v>1148500000</v>
      </c>
      <c r="O234" s="41">
        <f t="shared" si="18"/>
        <v>0.84973222280414251</v>
      </c>
      <c r="P234" s="41">
        <f t="shared" si="19"/>
        <v>9.7016438309878189E-2</v>
      </c>
    </row>
    <row r="235" spans="1:16" ht="19.95" customHeight="1">
      <c r="A235" s="49">
        <v>256</v>
      </c>
      <c r="B235" s="50" t="s">
        <v>171</v>
      </c>
      <c r="C235" s="51" t="s">
        <v>18</v>
      </c>
      <c r="D235" s="51" t="s">
        <v>175</v>
      </c>
      <c r="E235" s="52">
        <v>11937000000</v>
      </c>
      <c r="F235" s="52">
        <v>9061400000</v>
      </c>
      <c r="G235" s="52">
        <v>1545300000</v>
      </c>
      <c r="H235" s="52" t="s">
        <v>757</v>
      </c>
      <c r="I235" s="52" t="s">
        <v>757</v>
      </c>
      <c r="J235" s="51" t="s">
        <v>60</v>
      </c>
      <c r="K235" s="51" t="s">
        <v>173</v>
      </c>
      <c r="L235" s="41">
        <f t="shared" si="15"/>
        <v>2875600000</v>
      </c>
      <c r="M235" s="41">
        <f t="shared" si="16"/>
        <v>1545300000</v>
      </c>
      <c r="N235" s="41">
        <f t="shared" si="17"/>
        <v>1330300000</v>
      </c>
      <c r="O235" s="41">
        <f t="shared" si="18"/>
        <v>0.87054536315657205</v>
      </c>
      <c r="P235" s="41">
        <f t="shared" si="19"/>
        <v>0.1114434112423557</v>
      </c>
    </row>
    <row r="236" spans="1:16" ht="19.95" customHeight="1">
      <c r="A236" s="49">
        <v>257</v>
      </c>
      <c r="B236" s="50" t="s">
        <v>171</v>
      </c>
      <c r="C236" s="51" t="s">
        <v>20</v>
      </c>
      <c r="D236" s="51" t="s">
        <v>176</v>
      </c>
      <c r="E236" s="52">
        <v>11642900000</v>
      </c>
      <c r="F236" s="52">
        <v>8552100000</v>
      </c>
      <c r="G236" s="52">
        <v>2209400000</v>
      </c>
      <c r="H236" s="52" t="s">
        <v>757</v>
      </c>
      <c r="I236" s="52" t="s">
        <v>757</v>
      </c>
      <c r="J236" s="51" t="s">
        <v>60</v>
      </c>
      <c r="K236" s="51" t="s">
        <v>173</v>
      </c>
      <c r="L236" s="41">
        <f t="shared" si="15"/>
        <v>3090800000</v>
      </c>
      <c r="M236" s="41">
        <f t="shared" si="16"/>
        <v>2209400000</v>
      </c>
      <c r="N236" s="41">
        <f t="shared" si="17"/>
        <v>881400000</v>
      </c>
      <c r="O236" s="41">
        <f t="shared" si="18"/>
        <v>0.81023628133884174</v>
      </c>
      <c r="P236" s="41">
        <f t="shared" si="19"/>
        <v>7.570278882409022E-2</v>
      </c>
    </row>
    <row r="237" spans="1:16" ht="19.95" customHeight="1">
      <c r="A237" s="49">
        <v>258</v>
      </c>
      <c r="B237" s="50" t="s">
        <v>177</v>
      </c>
      <c r="C237" s="51" t="s">
        <v>11</v>
      </c>
      <c r="D237" s="51" t="s">
        <v>178</v>
      </c>
      <c r="E237" s="52">
        <v>1010930000</v>
      </c>
      <c r="F237" s="52">
        <v>96172000000</v>
      </c>
      <c r="G237" s="52">
        <v>2875000000</v>
      </c>
      <c r="H237" s="52" t="s">
        <v>757</v>
      </c>
      <c r="I237" s="52">
        <v>158000000</v>
      </c>
      <c r="J237" s="51" t="s">
        <v>37</v>
      </c>
      <c r="K237" s="51" t="s">
        <v>41</v>
      </c>
      <c r="L237" s="41">
        <f t="shared" si="15"/>
        <v>-95161070000</v>
      </c>
      <c r="M237" s="41">
        <f t="shared" si="16"/>
        <v>3033000000</v>
      </c>
      <c r="N237" s="41">
        <f t="shared" si="17"/>
        <v>-98194070000</v>
      </c>
      <c r="O237" s="41">
        <f t="shared" si="18"/>
        <v>-2.000207729516386</v>
      </c>
      <c r="P237" s="41">
        <f t="shared" si="19"/>
        <v>-97.132412728873419</v>
      </c>
    </row>
    <row r="238" spans="1:16" ht="19.95" customHeight="1">
      <c r="A238" s="49">
        <v>259</v>
      </c>
      <c r="B238" s="50" t="s">
        <v>177</v>
      </c>
      <c r="C238" s="51" t="s">
        <v>16</v>
      </c>
      <c r="D238" s="51" t="s">
        <v>179</v>
      </c>
      <c r="E238" s="52">
        <v>91084000000</v>
      </c>
      <c r="F238" s="52">
        <v>85923000000</v>
      </c>
      <c r="G238" s="52">
        <v>3028000000</v>
      </c>
      <c r="H238" s="52" t="s">
        <v>757</v>
      </c>
      <c r="I238" s="52">
        <v>223000000</v>
      </c>
      <c r="J238" s="51" t="s">
        <v>37</v>
      </c>
      <c r="K238" s="51" t="s">
        <v>41</v>
      </c>
      <c r="L238" s="41">
        <f t="shared" si="15"/>
        <v>5161000000</v>
      </c>
      <c r="M238" s="41">
        <f t="shared" si="16"/>
        <v>3251000000</v>
      </c>
      <c r="N238" s="41">
        <f t="shared" si="17"/>
        <v>1910000000</v>
      </c>
      <c r="O238" s="41">
        <f t="shared" si="18"/>
        <v>0.96430767203899692</v>
      </c>
      <c r="P238" s="41">
        <f t="shared" si="19"/>
        <v>2.0969654384963329E-2</v>
      </c>
    </row>
    <row r="239" spans="1:16" ht="19.95" customHeight="1">
      <c r="A239" s="49">
        <v>260</v>
      </c>
      <c r="B239" s="50" t="s">
        <v>177</v>
      </c>
      <c r="C239" s="51" t="s">
        <v>18</v>
      </c>
      <c r="D239" s="51" t="s">
        <v>180</v>
      </c>
      <c r="E239" s="52">
        <v>102531000000</v>
      </c>
      <c r="F239" s="52">
        <v>96819000000</v>
      </c>
      <c r="G239" s="52">
        <v>3240000000</v>
      </c>
      <c r="H239" s="52" t="s">
        <v>757</v>
      </c>
      <c r="I239" s="52">
        <v>281000000</v>
      </c>
      <c r="J239" s="51" t="s">
        <v>37</v>
      </c>
      <c r="K239" s="51" t="s">
        <v>41</v>
      </c>
      <c r="L239" s="41">
        <f t="shared" si="15"/>
        <v>5712000000</v>
      </c>
      <c r="M239" s="41">
        <f t="shared" si="16"/>
        <v>3521000000</v>
      </c>
      <c r="N239" s="41">
        <f t="shared" si="17"/>
        <v>2191000000</v>
      </c>
      <c r="O239" s="41">
        <f t="shared" si="18"/>
        <v>0.9656591664959866</v>
      </c>
      <c r="P239" s="41">
        <f t="shared" si="19"/>
        <v>2.1369146892159446E-2</v>
      </c>
    </row>
    <row r="240" spans="1:16" ht="19.95" customHeight="1">
      <c r="A240" s="49">
        <v>261</v>
      </c>
      <c r="B240" s="50" t="s">
        <v>177</v>
      </c>
      <c r="C240" s="51" t="s">
        <v>20</v>
      </c>
      <c r="D240" s="51" t="s">
        <v>181</v>
      </c>
      <c r="E240" s="52">
        <v>121546000000</v>
      </c>
      <c r="F240" s="52">
        <v>115003000000</v>
      </c>
      <c r="G240" s="52">
        <v>3648000000</v>
      </c>
      <c r="H240" s="52" t="s">
        <v>757</v>
      </c>
      <c r="I240" s="52">
        <v>459000000</v>
      </c>
      <c r="J240" s="51" t="s">
        <v>37</v>
      </c>
      <c r="K240" s="51" t="s">
        <v>41</v>
      </c>
      <c r="L240" s="41">
        <f t="shared" si="15"/>
        <v>6543000000</v>
      </c>
      <c r="M240" s="41">
        <f t="shared" si="16"/>
        <v>4107000000</v>
      </c>
      <c r="N240" s="41">
        <f t="shared" si="17"/>
        <v>2436000000</v>
      </c>
      <c r="O240" s="41">
        <f t="shared" si="18"/>
        <v>0.96621032366346893</v>
      </c>
      <c r="P240" s="41">
        <f t="shared" si="19"/>
        <v>2.004179487601402E-2</v>
      </c>
    </row>
    <row r="241" spans="1:16" ht="19.95" customHeight="1">
      <c r="A241" s="49">
        <v>262</v>
      </c>
      <c r="B241" s="50" t="s">
        <v>182</v>
      </c>
      <c r="C241" s="51" t="s">
        <v>11</v>
      </c>
      <c r="D241" s="51" t="s">
        <v>17</v>
      </c>
      <c r="E241" s="52">
        <v>55656000000</v>
      </c>
      <c r="F241" s="52">
        <v>41454000000</v>
      </c>
      <c r="G241" s="52">
        <v>6528000000</v>
      </c>
      <c r="H241" s="52">
        <v>2046000000</v>
      </c>
      <c r="I241" s="52" t="s">
        <v>757</v>
      </c>
      <c r="J241" s="51" t="s">
        <v>14</v>
      </c>
      <c r="K241" s="51" t="s">
        <v>183</v>
      </c>
      <c r="L241" s="41">
        <f t="shared" si="15"/>
        <v>14202000000</v>
      </c>
      <c r="M241" s="41">
        <f t="shared" si="16"/>
        <v>8574000000</v>
      </c>
      <c r="N241" s="41">
        <f t="shared" si="17"/>
        <v>5628000000</v>
      </c>
      <c r="O241" s="41">
        <f t="shared" si="18"/>
        <v>0.8459465286761535</v>
      </c>
      <c r="P241" s="41">
        <f t="shared" si="19"/>
        <v>0.10112117291936179</v>
      </c>
    </row>
    <row r="242" spans="1:16" ht="19.95" customHeight="1">
      <c r="A242" s="49">
        <v>263</v>
      </c>
      <c r="B242" s="50" t="s">
        <v>182</v>
      </c>
      <c r="C242" s="51" t="s">
        <v>16</v>
      </c>
      <c r="D242" s="51" t="s">
        <v>19</v>
      </c>
      <c r="E242" s="52">
        <v>55184000000</v>
      </c>
      <c r="F242" s="52">
        <v>41342000000</v>
      </c>
      <c r="G242" s="52">
        <v>8148000000</v>
      </c>
      <c r="H242" s="52">
        <v>2380000000</v>
      </c>
      <c r="I242" s="52" t="s">
        <v>757</v>
      </c>
      <c r="J242" s="51" t="s">
        <v>14</v>
      </c>
      <c r="K242" s="51" t="s">
        <v>183</v>
      </c>
      <c r="L242" s="41">
        <f t="shared" si="15"/>
        <v>13842000000</v>
      </c>
      <c r="M242" s="41">
        <f t="shared" si="16"/>
        <v>10528000000</v>
      </c>
      <c r="N242" s="41">
        <f t="shared" si="17"/>
        <v>3314000000</v>
      </c>
      <c r="O242" s="41">
        <f t="shared" si="18"/>
        <v>0.80922006378660483</v>
      </c>
      <c r="P242" s="41">
        <f t="shared" si="19"/>
        <v>6.0053638735865465E-2</v>
      </c>
    </row>
    <row r="243" spans="1:16" ht="19.95" customHeight="1">
      <c r="A243" s="49">
        <v>264</v>
      </c>
      <c r="B243" s="50" t="s">
        <v>182</v>
      </c>
      <c r="C243" s="51" t="s">
        <v>18</v>
      </c>
      <c r="D243" s="51" t="s">
        <v>21</v>
      </c>
      <c r="E243" s="52">
        <v>47011000000</v>
      </c>
      <c r="F243" s="52">
        <v>34133000000</v>
      </c>
      <c r="G243" s="52">
        <v>6974000000</v>
      </c>
      <c r="H243" s="52">
        <v>2119000000</v>
      </c>
      <c r="I243" s="52" t="s">
        <v>757</v>
      </c>
      <c r="J243" s="51" t="s">
        <v>14</v>
      </c>
      <c r="K243" s="51" t="s">
        <v>183</v>
      </c>
      <c r="L243" s="41">
        <f t="shared" si="15"/>
        <v>12878000000</v>
      </c>
      <c r="M243" s="41">
        <f t="shared" si="16"/>
        <v>9093000000</v>
      </c>
      <c r="N243" s="41">
        <f t="shared" si="17"/>
        <v>3785000000</v>
      </c>
      <c r="O243" s="41">
        <f t="shared" si="18"/>
        <v>0.80657718406330436</v>
      </c>
      <c r="P243" s="41">
        <f t="shared" si="19"/>
        <v>8.0513071408819206E-2</v>
      </c>
    </row>
    <row r="244" spans="1:16" ht="19.95" customHeight="1">
      <c r="A244" s="49">
        <v>265</v>
      </c>
      <c r="B244" s="50" t="s">
        <v>182</v>
      </c>
      <c r="C244" s="51" t="s">
        <v>20</v>
      </c>
      <c r="D244" s="51" t="s">
        <v>84</v>
      </c>
      <c r="E244" s="52">
        <v>38537000000</v>
      </c>
      <c r="F244" s="52">
        <v>28905000000</v>
      </c>
      <c r="G244" s="52">
        <v>6588000000</v>
      </c>
      <c r="H244" s="52">
        <v>1951000000</v>
      </c>
      <c r="I244" s="52" t="s">
        <v>757</v>
      </c>
      <c r="J244" s="51" t="s">
        <v>14</v>
      </c>
      <c r="K244" s="51" t="s">
        <v>183</v>
      </c>
      <c r="L244" s="41">
        <f t="shared" si="15"/>
        <v>9632000000</v>
      </c>
      <c r="M244" s="41">
        <f t="shared" si="16"/>
        <v>8539000000</v>
      </c>
      <c r="N244" s="41">
        <f t="shared" si="17"/>
        <v>1093000000</v>
      </c>
      <c r="O244" s="41">
        <f t="shared" si="18"/>
        <v>0.77842073851104132</v>
      </c>
      <c r="P244" s="41">
        <f t="shared" si="19"/>
        <v>2.8362353063289825E-2</v>
      </c>
    </row>
    <row r="245" spans="1:16" ht="19.95" customHeight="1">
      <c r="A245" s="49">
        <v>266</v>
      </c>
      <c r="B245" s="50" t="s">
        <v>184</v>
      </c>
      <c r="C245" s="51" t="s">
        <v>11</v>
      </c>
      <c r="D245" s="51" t="s">
        <v>12</v>
      </c>
      <c r="E245" s="52">
        <v>17936000000</v>
      </c>
      <c r="F245" s="52">
        <v>12620000000</v>
      </c>
      <c r="G245" s="52">
        <v>2096000000</v>
      </c>
      <c r="H245" s="52" t="s">
        <v>757</v>
      </c>
      <c r="I245" s="52">
        <v>-6000000</v>
      </c>
      <c r="J245" s="51" t="s">
        <v>75</v>
      </c>
      <c r="K245" s="51" t="s">
        <v>78</v>
      </c>
      <c r="L245" s="41">
        <f t="shared" si="15"/>
        <v>5316000000</v>
      </c>
      <c r="M245" s="41">
        <f t="shared" si="16"/>
        <v>2090000000</v>
      </c>
      <c r="N245" s="41">
        <f t="shared" si="17"/>
        <v>3226000000</v>
      </c>
      <c r="O245" s="41">
        <f t="shared" si="18"/>
        <v>0.88347457627118642</v>
      </c>
      <c r="P245" s="41">
        <f t="shared" si="19"/>
        <v>0.17986173059768065</v>
      </c>
    </row>
    <row r="246" spans="1:16" ht="19.95" customHeight="1">
      <c r="A246" s="53">
        <v>267</v>
      </c>
      <c r="B246" s="54" t="s">
        <v>184</v>
      </c>
      <c r="C246" s="55" t="s">
        <v>16</v>
      </c>
      <c r="D246" s="55" t="s">
        <v>17</v>
      </c>
      <c r="E246" s="56">
        <v>19261000000</v>
      </c>
      <c r="F246" s="56">
        <v>12522000000</v>
      </c>
      <c r="G246" s="56">
        <v>2211000000</v>
      </c>
      <c r="H246" s="56" t="s">
        <v>757</v>
      </c>
      <c r="I246" s="56">
        <v>15000000</v>
      </c>
      <c r="J246" s="55" t="s">
        <v>75</v>
      </c>
      <c r="K246" s="55" t="s">
        <v>78</v>
      </c>
      <c r="L246" s="57">
        <f t="shared" si="15"/>
        <v>6739000000</v>
      </c>
      <c r="M246" s="57">
        <f t="shared" si="16"/>
        <v>2226000000</v>
      </c>
      <c r="N246" s="57">
        <f t="shared" si="17"/>
        <v>4513000000</v>
      </c>
      <c r="O246" s="57">
        <f t="shared" si="18"/>
        <v>0.88442967654846583</v>
      </c>
      <c r="P246" s="57">
        <f t="shared" si="19"/>
        <v>0.2343076683453611</v>
      </c>
    </row>
    <row r="247" spans="1:16" ht="19.95" customHeight="1">
      <c r="A247" s="49">
        <v>268</v>
      </c>
      <c r="B247" s="50" t="s">
        <v>184</v>
      </c>
      <c r="C247" s="51" t="s">
        <v>18</v>
      </c>
      <c r="D247" s="51" t="s">
        <v>19</v>
      </c>
      <c r="E247" s="52">
        <v>19171000000</v>
      </c>
      <c r="F247" s="52">
        <v>13241000000</v>
      </c>
      <c r="G247" s="52">
        <v>2245000000</v>
      </c>
      <c r="H247" s="52" t="s">
        <v>757</v>
      </c>
      <c r="I247" s="52">
        <v>-82000000</v>
      </c>
      <c r="J247" s="51" t="s">
        <v>75</v>
      </c>
      <c r="K247" s="51" t="s">
        <v>78</v>
      </c>
      <c r="L247" s="41">
        <f t="shared" si="15"/>
        <v>5930000000</v>
      </c>
      <c r="M247" s="41">
        <f t="shared" si="16"/>
        <v>2163000000</v>
      </c>
      <c r="N247" s="41">
        <f t="shared" si="17"/>
        <v>3767000000</v>
      </c>
      <c r="O247" s="41">
        <f t="shared" si="18"/>
        <v>0.88717333472432314</v>
      </c>
      <c r="P247" s="41">
        <f t="shared" si="19"/>
        <v>0.19649470554483334</v>
      </c>
    </row>
    <row r="248" spans="1:16" ht="19.95" customHeight="1">
      <c r="A248" s="49">
        <v>269</v>
      </c>
      <c r="B248" s="50" t="s">
        <v>184</v>
      </c>
      <c r="C248" s="51" t="s">
        <v>20</v>
      </c>
      <c r="D248" s="51" t="s">
        <v>21</v>
      </c>
      <c r="E248" s="52">
        <v>18987000000</v>
      </c>
      <c r="F248" s="52">
        <v>12968000000</v>
      </c>
      <c r="G248" s="52">
        <v>2270000000</v>
      </c>
      <c r="H248" s="52" t="s">
        <v>757</v>
      </c>
      <c r="I248" s="52">
        <v>120000000</v>
      </c>
      <c r="J248" s="51" t="s">
        <v>75</v>
      </c>
      <c r="K248" s="51" t="s">
        <v>78</v>
      </c>
      <c r="L248" s="41">
        <f t="shared" si="15"/>
        <v>6019000000</v>
      </c>
      <c r="M248" s="41">
        <f t="shared" si="16"/>
        <v>2390000000</v>
      </c>
      <c r="N248" s="41">
        <f t="shared" si="17"/>
        <v>3629000000</v>
      </c>
      <c r="O248" s="41">
        <f t="shared" si="18"/>
        <v>0.87412440090588295</v>
      </c>
      <c r="P248" s="41">
        <f t="shared" si="19"/>
        <v>0.1911307736872597</v>
      </c>
    </row>
    <row r="249" spans="1:16" ht="19.95" customHeight="1">
      <c r="A249" s="49">
        <v>270</v>
      </c>
      <c r="B249" s="50" t="s">
        <v>185</v>
      </c>
      <c r="C249" s="51" t="s">
        <v>11</v>
      </c>
      <c r="D249" s="51" t="s">
        <v>12</v>
      </c>
      <c r="E249" s="52">
        <v>6514099000</v>
      </c>
      <c r="F249" s="52">
        <v>5745428000</v>
      </c>
      <c r="G249" s="52" t="s">
        <v>757</v>
      </c>
      <c r="H249" s="52" t="s">
        <v>757</v>
      </c>
      <c r="I249" s="52">
        <v>169645000</v>
      </c>
      <c r="J249" s="51" t="s">
        <v>80</v>
      </c>
      <c r="K249" s="51" t="s">
        <v>186</v>
      </c>
      <c r="L249" s="41">
        <f t="shared" si="15"/>
        <v>768671000</v>
      </c>
      <c r="M249" s="41">
        <f t="shared" si="16"/>
        <v>169645000</v>
      </c>
      <c r="N249" s="41">
        <f t="shared" si="17"/>
        <v>599026000</v>
      </c>
      <c r="O249" s="41">
        <f t="shared" si="18"/>
        <v>0.97395725794158183</v>
      </c>
      <c r="P249" s="41">
        <f t="shared" si="19"/>
        <v>9.1958381350974241E-2</v>
      </c>
    </row>
    <row r="250" spans="1:16" ht="19.95" customHeight="1">
      <c r="A250" s="49">
        <v>271</v>
      </c>
      <c r="B250" s="50" t="s">
        <v>185</v>
      </c>
      <c r="C250" s="51" t="s">
        <v>16</v>
      </c>
      <c r="D250" s="51" t="s">
        <v>17</v>
      </c>
      <c r="E250" s="52">
        <v>7184794000</v>
      </c>
      <c r="F250" s="52">
        <v>6293699000</v>
      </c>
      <c r="G250" s="52" t="s">
        <v>757</v>
      </c>
      <c r="H250" s="52" t="s">
        <v>757</v>
      </c>
      <c r="I250" s="52">
        <v>190390000</v>
      </c>
      <c r="J250" s="51" t="s">
        <v>80</v>
      </c>
      <c r="K250" s="51" t="s">
        <v>186</v>
      </c>
      <c r="L250" s="41">
        <f t="shared" si="15"/>
        <v>891095000</v>
      </c>
      <c r="M250" s="41">
        <f t="shared" si="16"/>
        <v>190390000</v>
      </c>
      <c r="N250" s="41">
        <f t="shared" si="17"/>
        <v>700705000</v>
      </c>
      <c r="O250" s="41">
        <f t="shared" si="18"/>
        <v>0.97350097998634333</v>
      </c>
      <c r="P250" s="41">
        <f t="shared" si="19"/>
        <v>9.7526108612160628E-2</v>
      </c>
    </row>
    <row r="251" spans="1:16" ht="19.95" customHeight="1">
      <c r="A251" s="49">
        <v>272</v>
      </c>
      <c r="B251" s="50" t="s">
        <v>185</v>
      </c>
      <c r="C251" s="51" t="s">
        <v>18</v>
      </c>
      <c r="D251" s="51" t="s">
        <v>19</v>
      </c>
      <c r="E251" s="52">
        <v>9049918000</v>
      </c>
      <c r="F251" s="52">
        <v>8050222000</v>
      </c>
      <c r="G251" s="52" t="s">
        <v>757</v>
      </c>
      <c r="H251" s="52" t="s">
        <v>757</v>
      </c>
      <c r="I251" s="52">
        <v>265101000</v>
      </c>
      <c r="J251" s="51" t="s">
        <v>80</v>
      </c>
      <c r="K251" s="51" t="s">
        <v>186</v>
      </c>
      <c r="L251" s="41">
        <f t="shared" si="15"/>
        <v>999696000</v>
      </c>
      <c r="M251" s="41">
        <f t="shared" si="16"/>
        <v>265101000</v>
      </c>
      <c r="N251" s="41">
        <f t="shared" si="17"/>
        <v>734595000</v>
      </c>
      <c r="O251" s="41">
        <f t="shared" si="18"/>
        <v>0.9707068064042127</v>
      </c>
      <c r="P251" s="41">
        <f t="shared" si="19"/>
        <v>8.1171453708199351E-2</v>
      </c>
    </row>
    <row r="252" spans="1:16" ht="19.95" customHeight="1">
      <c r="A252" s="49">
        <v>273</v>
      </c>
      <c r="B252" s="50" t="s">
        <v>185</v>
      </c>
      <c r="C252" s="51" t="s">
        <v>20</v>
      </c>
      <c r="D252" s="51" t="s">
        <v>21</v>
      </c>
      <c r="E252" s="52">
        <v>10855810000</v>
      </c>
      <c r="F252" s="52">
        <v>9716541000</v>
      </c>
      <c r="G252" s="52" t="s">
        <v>757</v>
      </c>
      <c r="H252" s="52" t="s">
        <v>757</v>
      </c>
      <c r="I252" s="52">
        <v>314096000</v>
      </c>
      <c r="J252" s="51" t="s">
        <v>80</v>
      </c>
      <c r="K252" s="51" t="s">
        <v>186</v>
      </c>
      <c r="L252" s="41">
        <f t="shared" si="15"/>
        <v>1139269000</v>
      </c>
      <c r="M252" s="41">
        <f t="shared" si="16"/>
        <v>314096000</v>
      </c>
      <c r="N252" s="41">
        <f t="shared" si="17"/>
        <v>825173000</v>
      </c>
      <c r="O252" s="41">
        <f t="shared" si="18"/>
        <v>0.97106655330187241</v>
      </c>
      <c r="P252" s="41">
        <f t="shared" si="19"/>
        <v>7.6012107802181511E-2</v>
      </c>
    </row>
    <row r="253" spans="1:16" ht="19.95" customHeight="1">
      <c r="A253" s="49">
        <v>274</v>
      </c>
      <c r="B253" s="50" t="s">
        <v>187</v>
      </c>
      <c r="C253" s="51" t="s">
        <v>11</v>
      </c>
      <c r="D253" s="51" t="s">
        <v>12</v>
      </c>
      <c r="E253" s="52">
        <v>2432680000</v>
      </c>
      <c r="F253" s="52">
        <v>728989000</v>
      </c>
      <c r="G253" s="52">
        <v>212572000</v>
      </c>
      <c r="H253" s="52" t="s">
        <v>757</v>
      </c>
      <c r="I253" s="52">
        <v>622592000</v>
      </c>
      <c r="J253" s="51" t="s">
        <v>80</v>
      </c>
      <c r="K253" s="51" t="s">
        <v>81</v>
      </c>
      <c r="L253" s="41">
        <f t="shared" si="15"/>
        <v>1703691000</v>
      </c>
      <c r="M253" s="41">
        <f t="shared" si="16"/>
        <v>835164000</v>
      </c>
      <c r="N253" s="41">
        <f t="shared" si="17"/>
        <v>868527000</v>
      </c>
      <c r="O253" s="41">
        <f t="shared" si="18"/>
        <v>0.65668974135521319</v>
      </c>
      <c r="P253" s="41">
        <f t="shared" si="19"/>
        <v>0.35702476281302925</v>
      </c>
    </row>
    <row r="254" spans="1:16" ht="19.95" customHeight="1">
      <c r="A254" s="49">
        <v>275</v>
      </c>
      <c r="B254" s="50" t="s">
        <v>187</v>
      </c>
      <c r="C254" s="51" t="s">
        <v>16</v>
      </c>
      <c r="D254" s="51" t="s">
        <v>17</v>
      </c>
      <c r="E254" s="52">
        <v>2865751000</v>
      </c>
      <c r="F254" s="52">
        <v>991017000</v>
      </c>
      <c r="G254" s="52">
        <v>213519000</v>
      </c>
      <c r="H254" s="52" t="s">
        <v>757</v>
      </c>
      <c r="I254" s="52">
        <v>741342000</v>
      </c>
      <c r="J254" s="51" t="s">
        <v>80</v>
      </c>
      <c r="K254" s="51" t="s">
        <v>81</v>
      </c>
      <c r="L254" s="41">
        <f t="shared" si="15"/>
        <v>1874734000</v>
      </c>
      <c r="M254" s="41">
        <f t="shared" si="16"/>
        <v>954861000</v>
      </c>
      <c r="N254" s="41">
        <f t="shared" si="17"/>
        <v>919873000</v>
      </c>
      <c r="O254" s="41">
        <f t="shared" si="18"/>
        <v>0.66680252401551976</v>
      </c>
      <c r="P254" s="41">
        <f t="shared" si="19"/>
        <v>0.32098845991853442</v>
      </c>
    </row>
    <row r="255" spans="1:16" ht="19.95" customHeight="1">
      <c r="A255" s="49">
        <v>276</v>
      </c>
      <c r="B255" s="50" t="s">
        <v>187</v>
      </c>
      <c r="C255" s="51" t="s">
        <v>18</v>
      </c>
      <c r="D255" s="51" t="s">
        <v>19</v>
      </c>
      <c r="E255" s="52">
        <v>3538756000</v>
      </c>
      <c r="F255" s="52">
        <v>1306606000</v>
      </c>
      <c r="G255" s="52">
        <v>257296000</v>
      </c>
      <c r="H255" s="52" t="s">
        <v>757</v>
      </c>
      <c r="I255" s="52">
        <v>985781000</v>
      </c>
      <c r="J255" s="51" t="s">
        <v>80</v>
      </c>
      <c r="K255" s="51" t="s">
        <v>81</v>
      </c>
      <c r="L255" s="41">
        <f t="shared" si="15"/>
        <v>2232150000</v>
      </c>
      <c r="M255" s="41">
        <f t="shared" si="16"/>
        <v>1243077000</v>
      </c>
      <c r="N255" s="41">
        <f t="shared" si="17"/>
        <v>989073000</v>
      </c>
      <c r="O255" s="41">
        <f t="shared" si="18"/>
        <v>0.64872486263534412</v>
      </c>
      <c r="P255" s="41">
        <f t="shared" si="19"/>
        <v>0.2794973713926589</v>
      </c>
    </row>
    <row r="256" spans="1:16" ht="19.95" customHeight="1">
      <c r="A256" s="49">
        <v>277</v>
      </c>
      <c r="B256" s="50" t="s">
        <v>187</v>
      </c>
      <c r="C256" s="51" t="s">
        <v>20</v>
      </c>
      <c r="D256" s="51" t="s">
        <v>21</v>
      </c>
      <c r="E256" s="52">
        <v>3663851000</v>
      </c>
      <c r="F256" s="52">
        <v>1321426000</v>
      </c>
      <c r="G256" s="52">
        <v>310921000</v>
      </c>
      <c r="H256" s="52" t="s">
        <v>757</v>
      </c>
      <c r="I256" s="52">
        <v>1036178000</v>
      </c>
      <c r="J256" s="51" t="s">
        <v>80</v>
      </c>
      <c r="K256" s="51" t="s">
        <v>81</v>
      </c>
      <c r="L256" s="41">
        <f t="shared" si="15"/>
        <v>2342425000</v>
      </c>
      <c r="M256" s="41">
        <f t="shared" si="16"/>
        <v>1347099000</v>
      </c>
      <c r="N256" s="41">
        <f t="shared" si="17"/>
        <v>995326000</v>
      </c>
      <c r="O256" s="41">
        <f t="shared" si="18"/>
        <v>0.63232702421577736</v>
      </c>
      <c r="P256" s="41">
        <f t="shared" si="19"/>
        <v>0.27166115652628886</v>
      </c>
    </row>
    <row r="257" spans="1:16" ht="19.95" customHeight="1">
      <c r="A257" s="49">
        <v>278</v>
      </c>
      <c r="B257" s="50" t="s">
        <v>188</v>
      </c>
      <c r="C257" s="51" t="s">
        <v>11</v>
      </c>
      <c r="D257" s="51" t="s">
        <v>189</v>
      </c>
      <c r="E257" s="52">
        <v>15456000000</v>
      </c>
      <c r="F257" s="52">
        <v>10645000000</v>
      </c>
      <c r="G257" s="52">
        <v>1879000000</v>
      </c>
      <c r="H257" s="52" t="s">
        <v>757</v>
      </c>
      <c r="I257" s="52">
        <v>1590000000</v>
      </c>
      <c r="J257" s="51" t="s">
        <v>24</v>
      </c>
      <c r="K257" s="51" t="s">
        <v>190</v>
      </c>
      <c r="L257" s="41">
        <f t="shared" si="15"/>
        <v>4811000000</v>
      </c>
      <c r="M257" s="41">
        <f t="shared" si="16"/>
        <v>3469000000</v>
      </c>
      <c r="N257" s="41">
        <f t="shared" si="17"/>
        <v>1342000000</v>
      </c>
      <c r="O257" s="41">
        <f t="shared" si="18"/>
        <v>0.77555641821946164</v>
      </c>
      <c r="P257" s="41">
        <f t="shared" si="19"/>
        <v>8.6827122153209105E-2</v>
      </c>
    </row>
    <row r="258" spans="1:16" ht="19.95" customHeight="1">
      <c r="A258" s="49">
        <v>279</v>
      </c>
      <c r="B258" s="50" t="s">
        <v>188</v>
      </c>
      <c r="C258" s="51" t="s">
        <v>16</v>
      </c>
      <c r="D258" s="51" t="s">
        <v>191</v>
      </c>
      <c r="E258" s="52">
        <v>15884000000</v>
      </c>
      <c r="F258" s="52">
        <v>10421000000</v>
      </c>
      <c r="G258" s="52">
        <v>2054000000</v>
      </c>
      <c r="H258" s="52" t="s">
        <v>757</v>
      </c>
      <c r="I258" s="52">
        <v>1637000000</v>
      </c>
      <c r="J258" s="51" t="s">
        <v>24</v>
      </c>
      <c r="K258" s="51" t="s">
        <v>190</v>
      </c>
      <c r="L258" s="41">
        <f t="shared" si="15"/>
        <v>5463000000</v>
      </c>
      <c r="M258" s="41">
        <f t="shared" si="16"/>
        <v>3691000000</v>
      </c>
      <c r="N258" s="41">
        <f t="shared" si="17"/>
        <v>1772000000</v>
      </c>
      <c r="O258" s="41">
        <f t="shared" si="18"/>
        <v>0.7676278015613196</v>
      </c>
      <c r="P258" s="41">
        <f t="shared" si="19"/>
        <v>0.11155880130949383</v>
      </c>
    </row>
    <row r="259" spans="1:16" ht="19.95" customHeight="1">
      <c r="A259" s="49">
        <v>280</v>
      </c>
      <c r="B259" s="50" t="s">
        <v>188</v>
      </c>
      <c r="C259" s="51" t="s">
        <v>18</v>
      </c>
      <c r="D259" s="51" t="s">
        <v>192</v>
      </c>
      <c r="E259" s="52">
        <v>15714000000</v>
      </c>
      <c r="F259" s="52">
        <v>9447000000</v>
      </c>
      <c r="G259" s="52">
        <v>2067000000</v>
      </c>
      <c r="H259" s="52" t="s">
        <v>757</v>
      </c>
      <c r="I259" s="52">
        <v>1626000000</v>
      </c>
      <c r="J259" s="51" t="s">
        <v>24</v>
      </c>
      <c r="K259" s="51" t="s">
        <v>190</v>
      </c>
      <c r="L259" s="41">
        <f t="shared" ref="L259:L322" si="20">Total_Revenue-COGS</f>
        <v>6267000000</v>
      </c>
      <c r="M259" s="41">
        <f t="shared" ref="M259:M322" si="21">SGAA+RandD+OOI</f>
        <v>3693000000</v>
      </c>
      <c r="N259" s="41">
        <f t="shared" ref="N259:N322" si="22">Gross_Profit-Total_Operating_Expenses</f>
        <v>2574000000</v>
      </c>
      <c r="O259" s="41">
        <f t="shared" ref="O259:O322" si="23">1-(Total_Operating_Expenses/Total_Revenue)</f>
        <v>0.76498663612065676</v>
      </c>
      <c r="P259" s="41">
        <f t="shared" ref="P259:P322" si="24">Operating_Profit/Total_Revenue</f>
        <v>0.16380297823596793</v>
      </c>
    </row>
    <row r="260" spans="1:16" ht="19.95" customHeight="1">
      <c r="A260" s="49">
        <v>281</v>
      </c>
      <c r="B260" s="50" t="s">
        <v>188</v>
      </c>
      <c r="C260" s="51" t="s">
        <v>20</v>
      </c>
      <c r="D260" s="51" t="s">
        <v>193</v>
      </c>
      <c r="E260" s="52">
        <v>16389000000</v>
      </c>
      <c r="F260" s="52">
        <v>9383000000</v>
      </c>
      <c r="G260" s="52">
        <v>2197000000</v>
      </c>
      <c r="H260" s="52" t="s">
        <v>757</v>
      </c>
      <c r="I260" s="52">
        <v>1738000000</v>
      </c>
      <c r="J260" s="51" t="s">
        <v>24</v>
      </c>
      <c r="K260" s="51" t="s">
        <v>190</v>
      </c>
      <c r="L260" s="41">
        <f t="shared" si="20"/>
        <v>7006000000</v>
      </c>
      <c r="M260" s="41">
        <f t="shared" si="21"/>
        <v>3935000000</v>
      </c>
      <c r="N260" s="41">
        <f t="shared" si="22"/>
        <v>3071000000</v>
      </c>
      <c r="O260" s="41">
        <f t="shared" si="23"/>
        <v>0.75989993288181101</v>
      </c>
      <c r="P260" s="41">
        <f t="shared" si="24"/>
        <v>0.18738178046250534</v>
      </c>
    </row>
    <row r="261" spans="1:16" ht="19.95" customHeight="1">
      <c r="A261" s="49">
        <v>282</v>
      </c>
      <c r="B261" s="50" t="s">
        <v>194</v>
      </c>
      <c r="C261" s="51" t="s">
        <v>11</v>
      </c>
      <c r="D261" s="51" t="s">
        <v>17</v>
      </c>
      <c r="E261" s="52">
        <v>6493900000</v>
      </c>
      <c r="F261" s="52">
        <v>340400000</v>
      </c>
      <c r="G261" s="52">
        <v>1684500000</v>
      </c>
      <c r="H261" s="52">
        <v>2226200000</v>
      </c>
      <c r="I261" s="52">
        <v>262800000</v>
      </c>
      <c r="J261" s="51" t="s">
        <v>37</v>
      </c>
      <c r="K261" s="51" t="s">
        <v>95</v>
      </c>
      <c r="L261" s="41">
        <f t="shared" si="20"/>
        <v>6153500000</v>
      </c>
      <c r="M261" s="41">
        <f t="shared" si="21"/>
        <v>4173500000</v>
      </c>
      <c r="N261" s="41">
        <f t="shared" si="22"/>
        <v>1980000000</v>
      </c>
      <c r="O261" s="41">
        <f t="shared" si="23"/>
        <v>0.35731994641124742</v>
      </c>
      <c r="P261" s="41">
        <f t="shared" si="24"/>
        <v>0.30490152296770817</v>
      </c>
    </row>
    <row r="262" spans="1:16" ht="19.95" customHeight="1">
      <c r="A262" s="49">
        <v>283</v>
      </c>
      <c r="B262" s="50" t="s">
        <v>194</v>
      </c>
      <c r="C262" s="51" t="s">
        <v>16</v>
      </c>
      <c r="D262" s="51" t="s">
        <v>19</v>
      </c>
      <c r="E262" s="52">
        <v>7670400000</v>
      </c>
      <c r="F262" s="52">
        <v>385900000</v>
      </c>
      <c r="G262" s="52">
        <v>2027900000</v>
      </c>
      <c r="H262" s="52">
        <v>2430600000</v>
      </c>
      <c r="I262" s="52">
        <v>258300000</v>
      </c>
      <c r="J262" s="51" t="s">
        <v>37</v>
      </c>
      <c r="K262" s="51" t="s">
        <v>95</v>
      </c>
      <c r="L262" s="41">
        <f t="shared" si="20"/>
        <v>7284500000</v>
      </c>
      <c r="M262" s="41">
        <f t="shared" si="21"/>
        <v>4716800000</v>
      </c>
      <c r="N262" s="41">
        <f t="shared" si="22"/>
        <v>2567700000</v>
      </c>
      <c r="O262" s="41">
        <f t="shared" si="23"/>
        <v>0.3850646641635378</v>
      </c>
      <c r="P262" s="41">
        <f t="shared" si="24"/>
        <v>0.33475438047559447</v>
      </c>
    </row>
    <row r="263" spans="1:16" ht="19.95" customHeight="1">
      <c r="A263" s="49">
        <v>284</v>
      </c>
      <c r="B263" s="50" t="s">
        <v>194</v>
      </c>
      <c r="C263" s="51" t="s">
        <v>18</v>
      </c>
      <c r="D263" s="51" t="s">
        <v>21</v>
      </c>
      <c r="E263" s="52">
        <v>9256000000</v>
      </c>
      <c r="F263" s="52">
        <v>420100000</v>
      </c>
      <c r="G263" s="52">
        <v>2305400000</v>
      </c>
      <c r="H263" s="52">
        <v>3697300000</v>
      </c>
      <c r="I263" s="52">
        <v>279000000</v>
      </c>
      <c r="J263" s="51" t="s">
        <v>37</v>
      </c>
      <c r="K263" s="51" t="s">
        <v>95</v>
      </c>
      <c r="L263" s="41">
        <f t="shared" si="20"/>
        <v>8835900000</v>
      </c>
      <c r="M263" s="41">
        <f t="shared" si="21"/>
        <v>6281700000</v>
      </c>
      <c r="N263" s="41">
        <f t="shared" si="22"/>
        <v>2554200000</v>
      </c>
      <c r="O263" s="41">
        <f t="shared" si="23"/>
        <v>0.32133751080380291</v>
      </c>
      <c r="P263" s="41">
        <f t="shared" si="24"/>
        <v>0.27595073465859982</v>
      </c>
    </row>
    <row r="264" spans="1:16" ht="19.95" customHeight="1">
      <c r="A264" s="49">
        <v>285</v>
      </c>
      <c r="B264" s="50" t="s">
        <v>194</v>
      </c>
      <c r="C264" s="51" t="s">
        <v>20</v>
      </c>
      <c r="D264" s="51" t="s">
        <v>84</v>
      </c>
      <c r="E264" s="52">
        <v>11229200000</v>
      </c>
      <c r="F264" s="52">
        <v>438000000</v>
      </c>
      <c r="G264" s="52">
        <v>2657700000</v>
      </c>
      <c r="H264" s="52">
        <v>4470100000</v>
      </c>
      <c r="I264" s="52">
        <v>459000000</v>
      </c>
      <c r="J264" s="51" t="s">
        <v>37</v>
      </c>
      <c r="K264" s="51" t="s">
        <v>95</v>
      </c>
      <c r="L264" s="41">
        <f t="shared" si="20"/>
        <v>10791200000</v>
      </c>
      <c r="M264" s="41">
        <f t="shared" si="21"/>
        <v>7586800000</v>
      </c>
      <c r="N264" s="41">
        <f t="shared" si="22"/>
        <v>3204400000</v>
      </c>
      <c r="O264" s="41">
        <f t="shared" si="23"/>
        <v>0.32436861040857767</v>
      </c>
      <c r="P264" s="41">
        <f t="shared" si="24"/>
        <v>0.28536316033199161</v>
      </c>
    </row>
    <row r="265" spans="1:16" ht="19.95" customHeight="1">
      <c r="A265" s="49">
        <v>286</v>
      </c>
      <c r="B265" s="50" t="s">
        <v>195</v>
      </c>
      <c r="C265" s="51" t="s">
        <v>11</v>
      </c>
      <c r="D265" s="51" t="s">
        <v>26</v>
      </c>
      <c r="E265" s="52">
        <v>2910748000</v>
      </c>
      <c r="F265" s="52">
        <v>514722000</v>
      </c>
      <c r="G265" s="52">
        <v>1468434000</v>
      </c>
      <c r="H265" s="52">
        <v>338786000</v>
      </c>
      <c r="I265" s="52">
        <v>12794000</v>
      </c>
      <c r="J265" s="51" t="s">
        <v>37</v>
      </c>
      <c r="K265" s="51" t="s">
        <v>196</v>
      </c>
      <c r="L265" s="41">
        <f t="shared" si="20"/>
        <v>2396026000</v>
      </c>
      <c r="M265" s="41">
        <f t="shared" si="21"/>
        <v>1820014000</v>
      </c>
      <c r="N265" s="41">
        <f t="shared" si="22"/>
        <v>576012000</v>
      </c>
      <c r="O265" s="41">
        <f t="shared" si="23"/>
        <v>0.37472635899775586</v>
      </c>
      <c r="P265" s="41">
        <f t="shared" si="24"/>
        <v>0.19789140111064235</v>
      </c>
    </row>
    <row r="266" spans="1:16" ht="19.95" customHeight="1">
      <c r="A266" s="49">
        <v>287</v>
      </c>
      <c r="B266" s="50" t="s">
        <v>195</v>
      </c>
      <c r="C266" s="51" t="s">
        <v>16</v>
      </c>
      <c r="D266" s="51" t="s">
        <v>27</v>
      </c>
      <c r="E266" s="52">
        <v>3402703000</v>
      </c>
      <c r="F266" s="52">
        <v>604377000</v>
      </c>
      <c r="G266" s="52">
        <v>1628961000</v>
      </c>
      <c r="H266" s="52">
        <v>392805000</v>
      </c>
      <c r="I266" s="52">
        <v>13476000</v>
      </c>
      <c r="J266" s="51" t="s">
        <v>37</v>
      </c>
      <c r="K266" s="51" t="s">
        <v>196</v>
      </c>
      <c r="L266" s="41">
        <f t="shared" si="20"/>
        <v>2798326000</v>
      </c>
      <c r="M266" s="41">
        <f t="shared" si="21"/>
        <v>2035242000</v>
      </c>
      <c r="N266" s="41">
        <f t="shared" si="22"/>
        <v>763084000</v>
      </c>
      <c r="O266" s="41">
        <f t="shared" si="23"/>
        <v>0.40187492120235002</v>
      </c>
      <c r="P266" s="41">
        <f t="shared" si="24"/>
        <v>0.22425818533089723</v>
      </c>
    </row>
    <row r="267" spans="1:16" ht="19.95" customHeight="1">
      <c r="A267" s="49">
        <v>288</v>
      </c>
      <c r="B267" s="50" t="s">
        <v>195</v>
      </c>
      <c r="C267" s="51" t="s">
        <v>18</v>
      </c>
      <c r="D267" s="51" t="s">
        <v>28</v>
      </c>
      <c r="E267" s="52">
        <v>4425267000</v>
      </c>
      <c r="F267" s="52">
        <v>750781000</v>
      </c>
      <c r="G267" s="52">
        <v>2262024000</v>
      </c>
      <c r="H267" s="52">
        <v>539799000</v>
      </c>
      <c r="I267" s="52">
        <v>91527000</v>
      </c>
      <c r="J267" s="51" t="s">
        <v>37</v>
      </c>
      <c r="K267" s="51" t="s">
        <v>196</v>
      </c>
      <c r="L267" s="41">
        <f t="shared" si="20"/>
        <v>3674486000</v>
      </c>
      <c r="M267" s="41">
        <f t="shared" si="21"/>
        <v>2893350000</v>
      </c>
      <c r="N267" s="41">
        <f t="shared" si="22"/>
        <v>781136000</v>
      </c>
      <c r="O267" s="41">
        <f t="shared" si="23"/>
        <v>0.34617504435325597</v>
      </c>
      <c r="P267" s="41">
        <f t="shared" si="24"/>
        <v>0.17651725873263693</v>
      </c>
    </row>
    <row r="268" spans="1:16" ht="19.95" customHeight="1">
      <c r="A268" s="49">
        <v>289</v>
      </c>
      <c r="B268" s="50" t="s">
        <v>195</v>
      </c>
      <c r="C268" s="51" t="s">
        <v>20</v>
      </c>
      <c r="D268" s="51" t="s">
        <v>84</v>
      </c>
      <c r="E268" s="52">
        <v>4796473000</v>
      </c>
      <c r="F268" s="52">
        <v>779116000</v>
      </c>
      <c r="G268" s="52">
        <v>2464380000</v>
      </c>
      <c r="H268" s="52">
        <v>551418000</v>
      </c>
      <c r="I268" s="52">
        <v>90546000</v>
      </c>
      <c r="J268" s="51" t="s">
        <v>37</v>
      </c>
      <c r="K268" s="51" t="s">
        <v>196</v>
      </c>
      <c r="L268" s="41">
        <f t="shared" si="20"/>
        <v>4017357000</v>
      </c>
      <c r="M268" s="41">
        <f t="shared" si="21"/>
        <v>3106344000</v>
      </c>
      <c r="N268" s="41">
        <f t="shared" si="22"/>
        <v>911013000</v>
      </c>
      <c r="O268" s="41">
        <f t="shared" si="23"/>
        <v>0.35236912623087835</v>
      </c>
      <c r="P268" s="41">
        <f t="shared" si="24"/>
        <v>0.18993393687403223</v>
      </c>
    </row>
    <row r="269" spans="1:16" ht="19.95" customHeight="1">
      <c r="A269" s="49">
        <v>290</v>
      </c>
      <c r="B269" s="50" t="s">
        <v>197</v>
      </c>
      <c r="C269" s="51" t="s">
        <v>11</v>
      </c>
      <c r="D269" s="51" t="s">
        <v>12</v>
      </c>
      <c r="E269" s="52">
        <v>6104000000</v>
      </c>
      <c r="F269" s="52">
        <v>2990700000</v>
      </c>
      <c r="G269" s="52">
        <v>200900000</v>
      </c>
      <c r="H269" s="52" t="s">
        <v>757</v>
      </c>
      <c r="I269" s="52" t="s">
        <v>757</v>
      </c>
      <c r="J269" s="51" t="s">
        <v>88</v>
      </c>
      <c r="K269" s="51" t="s">
        <v>198</v>
      </c>
      <c r="L269" s="41">
        <f t="shared" si="20"/>
        <v>3113300000</v>
      </c>
      <c r="M269" s="41">
        <f t="shared" si="21"/>
        <v>200900000</v>
      </c>
      <c r="N269" s="41">
        <f t="shared" si="22"/>
        <v>2912400000</v>
      </c>
      <c r="O269" s="41">
        <f t="shared" si="23"/>
        <v>0.96708715596330275</v>
      </c>
      <c r="P269" s="41">
        <f t="shared" si="24"/>
        <v>0.47712975098296201</v>
      </c>
    </row>
    <row r="270" spans="1:16" ht="19.95" customHeight="1">
      <c r="A270" s="49">
        <v>291</v>
      </c>
      <c r="B270" s="50" t="s">
        <v>197</v>
      </c>
      <c r="C270" s="51" t="s">
        <v>16</v>
      </c>
      <c r="D270" s="51" t="s">
        <v>17</v>
      </c>
      <c r="E270" s="52">
        <v>5474700000</v>
      </c>
      <c r="F270" s="52">
        <v>2954500000</v>
      </c>
      <c r="G270" s="52">
        <v>150200000</v>
      </c>
      <c r="H270" s="52" t="s">
        <v>757</v>
      </c>
      <c r="I270" s="52" t="s">
        <v>757</v>
      </c>
      <c r="J270" s="51" t="s">
        <v>88</v>
      </c>
      <c r="K270" s="51" t="s">
        <v>198</v>
      </c>
      <c r="L270" s="41">
        <f t="shared" si="20"/>
        <v>2520200000</v>
      </c>
      <c r="M270" s="41">
        <f t="shared" si="21"/>
        <v>150200000</v>
      </c>
      <c r="N270" s="41">
        <f t="shared" si="22"/>
        <v>2370000000</v>
      </c>
      <c r="O270" s="41">
        <f t="shared" si="23"/>
        <v>0.97256470674192197</v>
      </c>
      <c r="P270" s="41">
        <f t="shared" si="24"/>
        <v>0.4329004329004329</v>
      </c>
    </row>
    <row r="271" spans="1:16" ht="19.95" customHeight="1">
      <c r="A271" s="49">
        <v>292</v>
      </c>
      <c r="B271" s="50" t="s">
        <v>197</v>
      </c>
      <c r="C271" s="51" t="s">
        <v>18</v>
      </c>
      <c r="D271" s="51" t="s">
        <v>19</v>
      </c>
      <c r="E271" s="52">
        <v>4743200000</v>
      </c>
      <c r="F271" s="52">
        <v>2964700000</v>
      </c>
      <c r="G271" s="52">
        <v>205200000</v>
      </c>
      <c r="H271" s="52" t="s">
        <v>757</v>
      </c>
      <c r="I271" s="52" t="s">
        <v>757</v>
      </c>
      <c r="J271" s="51" t="s">
        <v>88</v>
      </c>
      <c r="K271" s="51" t="s">
        <v>198</v>
      </c>
      <c r="L271" s="41">
        <f t="shared" si="20"/>
        <v>1778500000</v>
      </c>
      <c r="M271" s="41">
        <f t="shared" si="21"/>
        <v>205200000</v>
      </c>
      <c r="N271" s="41">
        <f t="shared" si="22"/>
        <v>1573300000</v>
      </c>
      <c r="O271" s="41">
        <f t="shared" si="23"/>
        <v>0.95673806712767751</v>
      </c>
      <c r="P271" s="41">
        <f t="shared" si="24"/>
        <v>0.33169590150109629</v>
      </c>
    </row>
    <row r="272" spans="1:16" ht="19.95" customHeight="1">
      <c r="A272" s="49">
        <v>293</v>
      </c>
      <c r="B272" s="50" t="s">
        <v>197</v>
      </c>
      <c r="C272" s="51" t="s">
        <v>20</v>
      </c>
      <c r="D272" s="51" t="s">
        <v>21</v>
      </c>
      <c r="E272" s="52">
        <v>4308300000</v>
      </c>
      <c r="F272" s="52">
        <v>2761200000</v>
      </c>
      <c r="G272" s="52">
        <v>319000000</v>
      </c>
      <c r="H272" s="52" t="s">
        <v>757</v>
      </c>
      <c r="I272" s="52" t="s">
        <v>757</v>
      </c>
      <c r="J272" s="51" t="s">
        <v>88</v>
      </c>
      <c r="K272" s="51" t="s">
        <v>198</v>
      </c>
      <c r="L272" s="41">
        <f t="shared" si="20"/>
        <v>1547100000</v>
      </c>
      <c r="M272" s="41">
        <f t="shared" si="21"/>
        <v>319000000</v>
      </c>
      <c r="N272" s="41">
        <f t="shared" si="22"/>
        <v>1228100000</v>
      </c>
      <c r="O272" s="41">
        <f t="shared" si="23"/>
        <v>0.92595687394099757</v>
      </c>
      <c r="P272" s="41">
        <f t="shared" si="24"/>
        <v>0.2850544298215073</v>
      </c>
    </row>
    <row r="273" spans="1:16" ht="19.95" customHeight="1">
      <c r="A273" s="49">
        <v>294</v>
      </c>
      <c r="B273" s="50" t="s">
        <v>199</v>
      </c>
      <c r="C273" s="51" t="s">
        <v>11</v>
      </c>
      <c r="D273" s="51" t="s">
        <v>12</v>
      </c>
      <c r="E273" s="52">
        <v>5513000000</v>
      </c>
      <c r="F273" s="52">
        <v>375000000</v>
      </c>
      <c r="G273" s="52">
        <v>3380000000</v>
      </c>
      <c r="H273" s="52" t="s">
        <v>757</v>
      </c>
      <c r="I273" s="52">
        <v>490000000</v>
      </c>
      <c r="J273" s="51" t="s">
        <v>75</v>
      </c>
      <c r="K273" s="51" t="s">
        <v>200</v>
      </c>
      <c r="L273" s="41">
        <f t="shared" si="20"/>
        <v>5138000000</v>
      </c>
      <c r="M273" s="41">
        <f t="shared" si="21"/>
        <v>3870000000</v>
      </c>
      <c r="N273" s="41">
        <f t="shared" si="22"/>
        <v>1268000000</v>
      </c>
      <c r="O273" s="41">
        <f t="shared" si="23"/>
        <v>0.29802285506983495</v>
      </c>
      <c r="P273" s="41">
        <f t="shared" si="24"/>
        <v>0.23000181389443133</v>
      </c>
    </row>
    <row r="274" spans="1:16" ht="19.95" customHeight="1">
      <c r="A274" s="53">
        <v>295</v>
      </c>
      <c r="B274" s="54" t="s">
        <v>199</v>
      </c>
      <c r="C274" s="55" t="s">
        <v>16</v>
      </c>
      <c r="D274" s="55" t="s">
        <v>17</v>
      </c>
      <c r="E274" s="56">
        <v>5133000000</v>
      </c>
      <c r="F274" s="56">
        <v>216000000</v>
      </c>
      <c r="G274" s="56">
        <v>3142000000</v>
      </c>
      <c r="H274" s="56" t="s">
        <v>757</v>
      </c>
      <c r="I274" s="56">
        <v>581000000</v>
      </c>
      <c r="J274" s="55" t="s">
        <v>75</v>
      </c>
      <c r="K274" s="55" t="s">
        <v>200</v>
      </c>
      <c r="L274" s="57">
        <f t="shared" si="20"/>
        <v>4917000000</v>
      </c>
      <c r="M274" s="57">
        <f t="shared" si="21"/>
        <v>3723000000</v>
      </c>
      <c r="N274" s="57">
        <f t="shared" si="22"/>
        <v>1194000000</v>
      </c>
      <c r="O274" s="57">
        <f t="shared" si="23"/>
        <v>0.27469316189362947</v>
      </c>
      <c r="P274" s="57">
        <f t="shared" si="24"/>
        <v>0.23261250730566921</v>
      </c>
    </row>
    <row r="275" spans="1:16" ht="19.95" customHeight="1">
      <c r="A275" s="49">
        <v>296</v>
      </c>
      <c r="B275" s="50" t="s">
        <v>199</v>
      </c>
      <c r="C275" s="51" t="s">
        <v>18</v>
      </c>
      <c r="D275" s="51" t="s">
        <v>19</v>
      </c>
      <c r="E275" s="52">
        <v>5342000000</v>
      </c>
      <c r="F275" s="52">
        <v>160000000</v>
      </c>
      <c r="G275" s="52">
        <v>3247000000</v>
      </c>
      <c r="H275" s="52" t="s">
        <v>757</v>
      </c>
      <c r="I275" s="52">
        <v>464000000</v>
      </c>
      <c r="J275" s="51" t="s">
        <v>75</v>
      </c>
      <c r="K275" s="51" t="s">
        <v>200</v>
      </c>
      <c r="L275" s="41">
        <f t="shared" si="20"/>
        <v>5182000000</v>
      </c>
      <c r="M275" s="41">
        <f t="shared" si="21"/>
        <v>3711000000</v>
      </c>
      <c r="N275" s="41">
        <f t="shared" si="22"/>
        <v>1471000000</v>
      </c>
      <c r="O275" s="41">
        <f t="shared" si="23"/>
        <v>0.30531636091351555</v>
      </c>
      <c r="P275" s="41">
        <f t="shared" si="24"/>
        <v>0.27536503182328714</v>
      </c>
    </row>
    <row r="276" spans="1:16" ht="19.95" customHeight="1">
      <c r="A276" s="49">
        <v>297</v>
      </c>
      <c r="B276" s="50" t="s">
        <v>199</v>
      </c>
      <c r="C276" s="51" t="s">
        <v>20</v>
      </c>
      <c r="D276" s="51" t="s">
        <v>21</v>
      </c>
      <c r="E276" s="52">
        <v>5276000000</v>
      </c>
      <c r="F276" s="52">
        <v>237000000</v>
      </c>
      <c r="G276" s="52">
        <v>3113000000</v>
      </c>
      <c r="H276" s="52" t="s">
        <v>757</v>
      </c>
      <c r="I276" s="52">
        <v>448000000</v>
      </c>
      <c r="J276" s="51" t="s">
        <v>75</v>
      </c>
      <c r="K276" s="51" t="s">
        <v>200</v>
      </c>
      <c r="L276" s="41">
        <f t="shared" si="20"/>
        <v>5039000000</v>
      </c>
      <c r="M276" s="41">
        <f t="shared" si="21"/>
        <v>3561000000</v>
      </c>
      <c r="N276" s="41">
        <f t="shared" si="22"/>
        <v>1478000000</v>
      </c>
      <c r="O276" s="41">
        <f t="shared" si="23"/>
        <v>0.32505686125852917</v>
      </c>
      <c r="P276" s="41">
        <f t="shared" si="24"/>
        <v>0.28013646702047007</v>
      </c>
    </row>
    <row r="277" spans="1:16" ht="19.95" customHeight="1">
      <c r="A277" s="49">
        <v>298</v>
      </c>
      <c r="B277" s="50" t="s">
        <v>201</v>
      </c>
      <c r="C277" s="51" t="s">
        <v>11</v>
      </c>
      <c r="D277" s="51" t="s">
        <v>12</v>
      </c>
      <c r="E277" s="52">
        <v>2921900000</v>
      </c>
      <c r="F277" s="52">
        <v>1630500000</v>
      </c>
      <c r="G277" s="52">
        <v>746300000</v>
      </c>
      <c r="H277" s="52" t="s">
        <v>757</v>
      </c>
      <c r="I277" s="52" t="s">
        <v>757</v>
      </c>
      <c r="J277" s="51" t="s">
        <v>60</v>
      </c>
      <c r="K277" s="51" t="s">
        <v>202</v>
      </c>
      <c r="L277" s="41">
        <f t="shared" si="20"/>
        <v>1291400000</v>
      </c>
      <c r="M277" s="41">
        <f t="shared" si="21"/>
        <v>746300000</v>
      </c>
      <c r="N277" s="41">
        <f t="shared" si="22"/>
        <v>545100000</v>
      </c>
      <c r="O277" s="41">
        <f t="shared" si="23"/>
        <v>0.74458400355932786</v>
      </c>
      <c r="P277" s="41">
        <f t="shared" si="24"/>
        <v>0.18655669256305829</v>
      </c>
    </row>
    <row r="278" spans="1:16" ht="19.95" customHeight="1">
      <c r="A278" s="49">
        <v>299</v>
      </c>
      <c r="B278" s="50" t="s">
        <v>201</v>
      </c>
      <c r="C278" s="51" t="s">
        <v>16</v>
      </c>
      <c r="D278" s="51" t="s">
        <v>17</v>
      </c>
      <c r="E278" s="52">
        <v>3194300000</v>
      </c>
      <c r="F278" s="52">
        <v>1756300000</v>
      </c>
      <c r="G278" s="52">
        <v>815800000</v>
      </c>
      <c r="H278" s="52" t="s">
        <v>757</v>
      </c>
      <c r="I278" s="52" t="s">
        <v>757</v>
      </c>
      <c r="J278" s="51" t="s">
        <v>60</v>
      </c>
      <c r="K278" s="51" t="s">
        <v>202</v>
      </c>
      <c r="L278" s="41">
        <f t="shared" si="20"/>
        <v>1438000000</v>
      </c>
      <c r="M278" s="41">
        <f t="shared" si="21"/>
        <v>815800000</v>
      </c>
      <c r="N278" s="41">
        <f t="shared" si="22"/>
        <v>622200000</v>
      </c>
      <c r="O278" s="41">
        <f t="shared" si="23"/>
        <v>0.7446075822558933</v>
      </c>
      <c r="P278" s="41">
        <f t="shared" si="24"/>
        <v>0.19478445981905268</v>
      </c>
    </row>
    <row r="279" spans="1:16" ht="19.95" customHeight="1">
      <c r="A279" s="49">
        <v>300</v>
      </c>
      <c r="B279" s="50" t="s">
        <v>201</v>
      </c>
      <c r="C279" s="51" t="s">
        <v>18</v>
      </c>
      <c r="D279" s="51" t="s">
        <v>19</v>
      </c>
      <c r="E279" s="52">
        <v>3297600000</v>
      </c>
      <c r="F279" s="52">
        <v>1844700000</v>
      </c>
      <c r="G279" s="52">
        <v>811700000</v>
      </c>
      <c r="H279" s="52" t="s">
        <v>757</v>
      </c>
      <c r="I279" s="52" t="s">
        <v>757</v>
      </c>
      <c r="J279" s="51" t="s">
        <v>60</v>
      </c>
      <c r="K279" s="51" t="s">
        <v>202</v>
      </c>
      <c r="L279" s="41">
        <f t="shared" si="20"/>
        <v>1452900000</v>
      </c>
      <c r="M279" s="41">
        <f t="shared" si="21"/>
        <v>811700000</v>
      </c>
      <c r="N279" s="41">
        <f t="shared" si="22"/>
        <v>641200000</v>
      </c>
      <c r="O279" s="41">
        <f t="shared" si="23"/>
        <v>0.75385128578360017</v>
      </c>
      <c r="P279" s="41">
        <f t="shared" si="24"/>
        <v>0.19444444444444445</v>
      </c>
    </row>
    <row r="280" spans="1:16" ht="19.95" customHeight="1">
      <c r="A280" s="49">
        <v>301</v>
      </c>
      <c r="B280" s="50" t="s">
        <v>201</v>
      </c>
      <c r="C280" s="51" t="s">
        <v>20</v>
      </c>
      <c r="D280" s="51" t="s">
        <v>21</v>
      </c>
      <c r="E280" s="52">
        <v>3394800000</v>
      </c>
      <c r="F280" s="52">
        <v>1883000000</v>
      </c>
      <c r="G280" s="52">
        <v>837600000</v>
      </c>
      <c r="H280" s="52" t="s">
        <v>757</v>
      </c>
      <c r="I280" s="52" t="s">
        <v>757</v>
      </c>
      <c r="J280" s="51" t="s">
        <v>60</v>
      </c>
      <c r="K280" s="51" t="s">
        <v>202</v>
      </c>
      <c r="L280" s="41">
        <f t="shared" si="20"/>
        <v>1511800000</v>
      </c>
      <c r="M280" s="41">
        <f t="shared" si="21"/>
        <v>837600000</v>
      </c>
      <c r="N280" s="41">
        <f t="shared" si="22"/>
        <v>674200000</v>
      </c>
      <c r="O280" s="41">
        <f t="shared" si="23"/>
        <v>0.75326970661010961</v>
      </c>
      <c r="P280" s="41">
        <f t="shared" si="24"/>
        <v>0.19859785554377282</v>
      </c>
    </row>
    <row r="281" spans="1:16" ht="19.95" customHeight="1">
      <c r="A281" s="49">
        <v>302</v>
      </c>
      <c r="B281" s="50" t="s">
        <v>203</v>
      </c>
      <c r="C281" s="51" t="s">
        <v>11</v>
      </c>
      <c r="D281" s="51" t="s">
        <v>12</v>
      </c>
      <c r="E281" s="52">
        <v>12316000000</v>
      </c>
      <c r="F281" s="52">
        <v>7081000000</v>
      </c>
      <c r="G281" s="52">
        <v>723000000</v>
      </c>
      <c r="H281" s="52" t="s">
        <v>757</v>
      </c>
      <c r="I281" s="52">
        <v>2811000000</v>
      </c>
      <c r="J281" s="51" t="s">
        <v>116</v>
      </c>
      <c r="K281" s="51" t="s">
        <v>204</v>
      </c>
      <c r="L281" s="41">
        <f t="shared" si="20"/>
        <v>5235000000</v>
      </c>
      <c r="M281" s="41">
        <f t="shared" si="21"/>
        <v>3534000000</v>
      </c>
      <c r="N281" s="41">
        <f t="shared" si="22"/>
        <v>1701000000</v>
      </c>
      <c r="O281" s="41">
        <f t="shared" si="23"/>
        <v>0.71305618707372531</v>
      </c>
      <c r="P281" s="41">
        <f t="shared" si="24"/>
        <v>0.13811302370899642</v>
      </c>
    </row>
    <row r="282" spans="1:16" ht="19.95" customHeight="1">
      <c r="A282" s="53">
        <v>303</v>
      </c>
      <c r="B282" s="54" t="s">
        <v>203</v>
      </c>
      <c r="C282" s="55" t="s">
        <v>16</v>
      </c>
      <c r="D282" s="55" t="s">
        <v>17</v>
      </c>
      <c r="E282" s="56">
        <v>19080000000</v>
      </c>
      <c r="F282" s="56">
        <v>12930000000</v>
      </c>
      <c r="G282" s="56">
        <v>686000000</v>
      </c>
      <c r="H282" s="56" t="s">
        <v>757</v>
      </c>
      <c r="I282" s="56">
        <v>2903000000</v>
      </c>
      <c r="J282" s="55" t="s">
        <v>116</v>
      </c>
      <c r="K282" s="55" t="s">
        <v>204</v>
      </c>
      <c r="L282" s="57">
        <f t="shared" si="20"/>
        <v>6150000000</v>
      </c>
      <c r="M282" s="57">
        <f t="shared" si="21"/>
        <v>3589000000</v>
      </c>
      <c r="N282" s="57">
        <f t="shared" si="22"/>
        <v>2561000000</v>
      </c>
      <c r="O282" s="57">
        <f t="shared" si="23"/>
        <v>0.81189727463312367</v>
      </c>
      <c r="P282" s="57">
        <f t="shared" si="24"/>
        <v>0.13422431865828091</v>
      </c>
    </row>
    <row r="283" spans="1:16" ht="19.95" customHeight="1">
      <c r="A283" s="49">
        <v>304</v>
      </c>
      <c r="B283" s="50" t="s">
        <v>203</v>
      </c>
      <c r="C283" s="51" t="s">
        <v>18</v>
      </c>
      <c r="D283" s="51" t="s">
        <v>19</v>
      </c>
      <c r="E283" s="52">
        <v>23125000000</v>
      </c>
      <c r="F283" s="52">
        <v>16049000000</v>
      </c>
      <c r="G283" s="52">
        <v>554000000</v>
      </c>
      <c r="H283" s="52" t="s">
        <v>757</v>
      </c>
      <c r="I283" s="52">
        <v>2915000000</v>
      </c>
      <c r="J283" s="51" t="s">
        <v>116</v>
      </c>
      <c r="K283" s="51" t="s">
        <v>204</v>
      </c>
      <c r="L283" s="41">
        <f t="shared" si="20"/>
        <v>7076000000</v>
      </c>
      <c r="M283" s="41">
        <f t="shared" si="21"/>
        <v>3469000000</v>
      </c>
      <c r="N283" s="41">
        <f t="shared" si="22"/>
        <v>3607000000</v>
      </c>
      <c r="O283" s="41">
        <f t="shared" si="23"/>
        <v>0.8499891891891892</v>
      </c>
      <c r="P283" s="41">
        <f t="shared" si="24"/>
        <v>0.15597837837837839</v>
      </c>
    </row>
    <row r="284" spans="1:16" ht="19.95" customHeight="1">
      <c r="A284" s="49">
        <v>305</v>
      </c>
      <c r="B284" s="50" t="s">
        <v>203</v>
      </c>
      <c r="C284" s="51" t="s">
        <v>20</v>
      </c>
      <c r="D284" s="51" t="s">
        <v>21</v>
      </c>
      <c r="E284" s="52">
        <v>12764000000</v>
      </c>
      <c r="F284" s="52">
        <v>10295000000</v>
      </c>
      <c r="G284" s="52">
        <v>334000000</v>
      </c>
      <c r="H284" s="52" t="s">
        <v>757</v>
      </c>
      <c r="I284" s="52">
        <v>2229000000</v>
      </c>
      <c r="J284" s="51" t="s">
        <v>116</v>
      </c>
      <c r="K284" s="51" t="s">
        <v>204</v>
      </c>
      <c r="L284" s="41">
        <f t="shared" si="20"/>
        <v>2469000000</v>
      </c>
      <c r="M284" s="41">
        <f t="shared" si="21"/>
        <v>2563000000</v>
      </c>
      <c r="N284" s="41">
        <f t="shared" si="22"/>
        <v>-94000000</v>
      </c>
      <c r="O284" s="41">
        <f t="shared" si="23"/>
        <v>0.79920087746787838</v>
      </c>
      <c r="P284" s="41">
        <f t="shared" si="24"/>
        <v>-7.3644625509244749E-3</v>
      </c>
    </row>
    <row r="285" spans="1:16" ht="19.95" customHeight="1">
      <c r="A285" s="49">
        <v>306</v>
      </c>
      <c r="B285" s="50" t="s">
        <v>205</v>
      </c>
      <c r="C285" s="51" t="s">
        <v>11</v>
      </c>
      <c r="D285" s="51" t="s">
        <v>12</v>
      </c>
      <c r="E285" s="52">
        <v>11359113000</v>
      </c>
      <c r="F285" s="52">
        <v>9641542000</v>
      </c>
      <c r="G285" s="52">
        <v>1042251000</v>
      </c>
      <c r="H285" s="52" t="s">
        <v>757</v>
      </c>
      <c r="I285" s="52" t="s">
        <v>757</v>
      </c>
      <c r="J285" s="51" t="s">
        <v>14</v>
      </c>
      <c r="K285" s="51" t="s">
        <v>206</v>
      </c>
      <c r="L285" s="41">
        <f t="shared" si="20"/>
        <v>1717571000</v>
      </c>
      <c r="M285" s="41">
        <f t="shared" si="21"/>
        <v>1042251000</v>
      </c>
      <c r="N285" s="41">
        <f t="shared" si="22"/>
        <v>675320000</v>
      </c>
      <c r="O285" s="41">
        <f t="shared" si="23"/>
        <v>0.90824538852637526</v>
      </c>
      <c r="P285" s="41">
        <f t="shared" si="24"/>
        <v>5.9451825155714184E-2</v>
      </c>
    </row>
    <row r="286" spans="1:16" ht="19.95" customHeight="1">
      <c r="A286" s="49">
        <v>307</v>
      </c>
      <c r="B286" s="50" t="s">
        <v>205</v>
      </c>
      <c r="C286" s="51" t="s">
        <v>16</v>
      </c>
      <c r="D286" s="51" t="s">
        <v>17</v>
      </c>
      <c r="E286" s="52">
        <v>12752076000</v>
      </c>
      <c r="F286" s="52">
        <v>10915981000</v>
      </c>
      <c r="G286" s="52">
        <v>1153445000</v>
      </c>
      <c r="H286" s="52" t="s">
        <v>757</v>
      </c>
      <c r="I286" s="52" t="s">
        <v>757</v>
      </c>
      <c r="J286" s="51" t="s">
        <v>14</v>
      </c>
      <c r="K286" s="51" t="s">
        <v>206</v>
      </c>
      <c r="L286" s="41">
        <f t="shared" si="20"/>
        <v>1836095000</v>
      </c>
      <c r="M286" s="41">
        <f t="shared" si="21"/>
        <v>1153445000</v>
      </c>
      <c r="N286" s="41">
        <f t="shared" si="22"/>
        <v>682650000</v>
      </c>
      <c r="O286" s="41">
        <f t="shared" si="23"/>
        <v>0.9095484531302982</v>
      </c>
      <c r="P286" s="41">
        <f t="shared" si="24"/>
        <v>5.3532460126492348E-2</v>
      </c>
    </row>
    <row r="287" spans="1:16" ht="19.95" customHeight="1">
      <c r="A287" s="49">
        <v>308</v>
      </c>
      <c r="B287" s="50" t="s">
        <v>205</v>
      </c>
      <c r="C287" s="51" t="s">
        <v>18</v>
      </c>
      <c r="D287" s="51" t="s">
        <v>19</v>
      </c>
      <c r="E287" s="52">
        <v>13470067000</v>
      </c>
      <c r="F287" s="52">
        <v>11462415000</v>
      </c>
      <c r="G287" s="52">
        <v>1259234000</v>
      </c>
      <c r="H287" s="52" t="s">
        <v>757</v>
      </c>
      <c r="I287" s="52" t="s">
        <v>757</v>
      </c>
      <c r="J287" s="51" t="s">
        <v>14</v>
      </c>
      <c r="K287" s="51" t="s">
        <v>206</v>
      </c>
      <c r="L287" s="41">
        <f t="shared" si="20"/>
        <v>2007652000</v>
      </c>
      <c r="M287" s="41">
        <f t="shared" si="21"/>
        <v>1259234000</v>
      </c>
      <c r="N287" s="41">
        <f t="shared" si="22"/>
        <v>748418000</v>
      </c>
      <c r="O287" s="41">
        <f t="shared" si="23"/>
        <v>0.9065161294297942</v>
      </c>
      <c r="P287" s="41">
        <f t="shared" si="24"/>
        <v>5.5561564764302955E-2</v>
      </c>
    </row>
    <row r="288" spans="1:16" ht="19.95" customHeight="1">
      <c r="A288" s="49">
        <v>309</v>
      </c>
      <c r="B288" s="50" t="s">
        <v>205</v>
      </c>
      <c r="C288" s="51" t="s">
        <v>20</v>
      </c>
      <c r="D288" s="51" t="s">
        <v>21</v>
      </c>
      <c r="E288" s="52">
        <v>13476084000</v>
      </c>
      <c r="F288" s="52">
        <v>11207604000</v>
      </c>
      <c r="G288" s="52">
        <v>1410170000</v>
      </c>
      <c r="H288" s="52" t="s">
        <v>757</v>
      </c>
      <c r="I288" s="52" t="s">
        <v>757</v>
      </c>
      <c r="J288" s="51" t="s">
        <v>14</v>
      </c>
      <c r="K288" s="51" t="s">
        <v>206</v>
      </c>
      <c r="L288" s="41">
        <f t="shared" si="20"/>
        <v>2268480000</v>
      </c>
      <c r="M288" s="41">
        <f t="shared" si="21"/>
        <v>1410170000</v>
      </c>
      <c r="N288" s="41">
        <f t="shared" si="22"/>
        <v>858310000</v>
      </c>
      <c r="O288" s="41">
        <f t="shared" si="23"/>
        <v>0.89535758310797109</v>
      </c>
      <c r="P288" s="41">
        <f t="shared" si="24"/>
        <v>6.36913512857296E-2</v>
      </c>
    </row>
    <row r="289" spans="1:16" ht="19.95" customHeight="1">
      <c r="A289" s="49">
        <v>310</v>
      </c>
      <c r="B289" s="50" t="s">
        <v>207</v>
      </c>
      <c r="C289" s="51" t="s">
        <v>11</v>
      </c>
      <c r="D289" s="51" t="s">
        <v>17</v>
      </c>
      <c r="E289" s="52">
        <v>8155000000</v>
      </c>
      <c r="F289" s="52">
        <v>5345000000</v>
      </c>
      <c r="G289" s="52">
        <v>47000000</v>
      </c>
      <c r="H289" s="52" t="s">
        <v>757</v>
      </c>
      <c r="I289" s="52">
        <v>1854000000</v>
      </c>
      <c r="J289" s="51" t="s">
        <v>24</v>
      </c>
      <c r="K289" s="51" t="s">
        <v>208</v>
      </c>
      <c r="L289" s="41">
        <f t="shared" si="20"/>
        <v>2810000000</v>
      </c>
      <c r="M289" s="41">
        <f t="shared" si="21"/>
        <v>1901000000</v>
      </c>
      <c r="N289" s="41">
        <f t="shared" si="22"/>
        <v>909000000</v>
      </c>
      <c r="O289" s="41">
        <f t="shared" si="23"/>
        <v>0.76689147762109133</v>
      </c>
      <c r="P289" s="41">
        <f t="shared" si="24"/>
        <v>0.1114653586756591</v>
      </c>
    </row>
    <row r="290" spans="1:16" ht="19.95" customHeight="1">
      <c r="A290" s="49">
        <v>311</v>
      </c>
      <c r="B290" s="50" t="s">
        <v>207</v>
      </c>
      <c r="C290" s="51" t="s">
        <v>16</v>
      </c>
      <c r="D290" s="51" t="s">
        <v>19</v>
      </c>
      <c r="E290" s="52">
        <v>9108000000</v>
      </c>
      <c r="F290" s="52">
        <v>5973000000</v>
      </c>
      <c r="G290" s="52">
        <v>62000000</v>
      </c>
      <c r="H290" s="52" t="s">
        <v>757</v>
      </c>
      <c r="I290" s="52">
        <v>2102000000</v>
      </c>
      <c r="J290" s="51" t="s">
        <v>24</v>
      </c>
      <c r="K290" s="51" t="s">
        <v>208</v>
      </c>
      <c r="L290" s="41">
        <f t="shared" si="20"/>
        <v>3135000000</v>
      </c>
      <c r="M290" s="41">
        <f t="shared" si="21"/>
        <v>2164000000</v>
      </c>
      <c r="N290" s="41">
        <f t="shared" si="22"/>
        <v>971000000</v>
      </c>
      <c r="O290" s="41">
        <f t="shared" si="23"/>
        <v>0.76240667545015373</v>
      </c>
      <c r="P290" s="41">
        <f t="shared" si="24"/>
        <v>0.10660957400087835</v>
      </c>
    </row>
    <row r="291" spans="1:16" ht="19.95" customHeight="1">
      <c r="A291" s="49">
        <v>312</v>
      </c>
      <c r="B291" s="50" t="s">
        <v>207</v>
      </c>
      <c r="C291" s="51" t="s">
        <v>18</v>
      </c>
      <c r="D291" s="51" t="s">
        <v>21</v>
      </c>
      <c r="E291" s="52">
        <v>9754000000</v>
      </c>
      <c r="F291" s="52">
        <v>6426000000</v>
      </c>
      <c r="G291" s="52">
        <v>89000000</v>
      </c>
      <c r="H291" s="52" t="s">
        <v>757</v>
      </c>
      <c r="I291" s="52">
        <v>2125000000</v>
      </c>
      <c r="J291" s="51" t="s">
        <v>24</v>
      </c>
      <c r="K291" s="51" t="s">
        <v>208</v>
      </c>
      <c r="L291" s="41">
        <f t="shared" si="20"/>
        <v>3328000000</v>
      </c>
      <c r="M291" s="41">
        <f t="shared" si="21"/>
        <v>2214000000</v>
      </c>
      <c r="N291" s="41">
        <f t="shared" si="22"/>
        <v>1114000000</v>
      </c>
      <c r="O291" s="41">
        <f t="shared" si="23"/>
        <v>0.77301619848267378</v>
      </c>
      <c r="P291" s="41">
        <f t="shared" si="24"/>
        <v>0.11420955505433668</v>
      </c>
    </row>
    <row r="292" spans="1:16" ht="19.95" customHeight="1">
      <c r="A292" s="49">
        <v>313</v>
      </c>
      <c r="B292" s="50" t="s">
        <v>207</v>
      </c>
      <c r="C292" s="51" t="s">
        <v>20</v>
      </c>
      <c r="D292" s="51" t="s">
        <v>84</v>
      </c>
      <c r="E292" s="52">
        <v>29003000000</v>
      </c>
      <c r="F292" s="52">
        <v>18655000000</v>
      </c>
      <c r="G292" s="52">
        <v>86000000</v>
      </c>
      <c r="H292" s="52" t="s">
        <v>757</v>
      </c>
      <c r="I292" s="52">
        <v>6907000000</v>
      </c>
      <c r="J292" s="51" t="s">
        <v>24</v>
      </c>
      <c r="K292" s="51" t="s">
        <v>208</v>
      </c>
      <c r="L292" s="41">
        <f t="shared" si="20"/>
        <v>10348000000</v>
      </c>
      <c r="M292" s="41">
        <f t="shared" si="21"/>
        <v>6993000000</v>
      </c>
      <c r="N292" s="41">
        <f t="shared" si="22"/>
        <v>3355000000</v>
      </c>
      <c r="O292" s="41">
        <f t="shared" si="23"/>
        <v>0.75888701168844608</v>
      </c>
      <c r="P292" s="41">
        <f t="shared" si="24"/>
        <v>0.11567768851498121</v>
      </c>
    </row>
    <row r="293" spans="1:16" ht="19.95" customHeight="1">
      <c r="A293" s="49">
        <v>314</v>
      </c>
      <c r="B293" s="50" t="s">
        <v>209</v>
      </c>
      <c r="C293" s="51" t="s">
        <v>11</v>
      </c>
      <c r="D293" s="51" t="s">
        <v>12</v>
      </c>
      <c r="E293" s="52">
        <v>29119000000</v>
      </c>
      <c r="F293" s="52">
        <v>17900000000</v>
      </c>
      <c r="G293" s="52" t="s">
        <v>757</v>
      </c>
      <c r="H293" s="52" t="s">
        <v>757</v>
      </c>
      <c r="I293" s="52">
        <v>8742000000</v>
      </c>
      <c r="J293" s="51" t="s">
        <v>37</v>
      </c>
      <c r="K293" s="51" t="s">
        <v>114</v>
      </c>
      <c r="L293" s="41">
        <f t="shared" si="20"/>
        <v>11219000000</v>
      </c>
      <c r="M293" s="41">
        <f t="shared" si="21"/>
        <v>8742000000</v>
      </c>
      <c r="N293" s="41">
        <f t="shared" si="22"/>
        <v>2477000000</v>
      </c>
      <c r="O293" s="41">
        <f t="shared" si="23"/>
        <v>0.69978364641642909</v>
      </c>
      <c r="P293" s="41">
        <f t="shared" si="24"/>
        <v>8.5064734365877956E-2</v>
      </c>
    </row>
    <row r="294" spans="1:16" ht="19.95" customHeight="1">
      <c r="A294" s="49">
        <v>315</v>
      </c>
      <c r="B294" s="50" t="s">
        <v>209</v>
      </c>
      <c r="C294" s="51" t="s">
        <v>16</v>
      </c>
      <c r="D294" s="51" t="s">
        <v>17</v>
      </c>
      <c r="E294" s="52">
        <v>32380000000</v>
      </c>
      <c r="F294" s="52">
        <v>20865000000</v>
      </c>
      <c r="G294" s="52" t="s">
        <v>757</v>
      </c>
      <c r="H294" s="52" t="s">
        <v>757</v>
      </c>
      <c r="I294" s="52">
        <v>9339000000</v>
      </c>
      <c r="J294" s="51" t="s">
        <v>37</v>
      </c>
      <c r="K294" s="51" t="s">
        <v>114</v>
      </c>
      <c r="L294" s="41">
        <f t="shared" si="20"/>
        <v>11515000000</v>
      </c>
      <c r="M294" s="41">
        <f t="shared" si="21"/>
        <v>9339000000</v>
      </c>
      <c r="N294" s="41">
        <f t="shared" si="22"/>
        <v>2176000000</v>
      </c>
      <c r="O294" s="41">
        <f t="shared" si="23"/>
        <v>0.71158122297714632</v>
      </c>
      <c r="P294" s="41">
        <f t="shared" si="24"/>
        <v>6.7201976528721438E-2</v>
      </c>
    </row>
    <row r="295" spans="1:16" ht="19.95" customHeight="1">
      <c r="A295" s="49">
        <v>316</v>
      </c>
      <c r="B295" s="50" t="s">
        <v>209</v>
      </c>
      <c r="C295" s="51" t="s">
        <v>18</v>
      </c>
      <c r="D295" s="51" t="s">
        <v>19</v>
      </c>
      <c r="E295" s="52">
        <v>34914000000</v>
      </c>
      <c r="F295" s="52">
        <v>21334000000</v>
      </c>
      <c r="G295" s="52" t="s">
        <v>757</v>
      </c>
      <c r="H295" s="52" t="s">
        <v>757</v>
      </c>
      <c r="I295" s="52">
        <v>10276000000</v>
      </c>
      <c r="J295" s="51" t="s">
        <v>37</v>
      </c>
      <c r="K295" s="51" t="s">
        <v>114</v>
      </c>
      <c r="L295" s="41">
        <f t="shared" si="20"/>
        <v>13580000000</v>
      </c>
      <c r="M295" s="41">
        <f t="shared" si="21"/>
        <v>10276000000</v>
      </c>
      <c r="N295" s="41">
        <f t="shared" si="22"/>
        <v>3304000000</v>
      </c>
      <c r="O295" s="41">
        <f t="shared" si="23"/>
        <v>0.70567680586584181</v>
      </c>
      <c r="P295" s="41">
        <f t="shared" si="24"/>
        <v>9.4632525634415987E-2</v>
      </c>
    </row>
    <row r="296" spans="1:16" ht="19.95" customHeight="1">
      <c r="A296" s="49">
        <v>317</v>
      </c>
      <c r="B296" s="50" t="s">
        <v>209</v>
      </c>
      <c r="C296" s="51" t="s">
        <v>20</v>
      </c>
      <c r="D296" s="51" t="s">
        <v>21</v>
      </c>
      <c r="E296" s="52">
        <v>37876000000</v>
      </c>
      <c r="F296" s="52">
        <v>23290000000</v>
      </c>
      <c r="G296" s="52" t="s">
        <v>757</v>
      </c>
      <c r="H296" s="52" t="s">
        <v>757</v>
      </c>
      <c r="I296" s="52">
        <v>11259000000</v>
      </c>
      <c r="J296" s="51" t="s">
        <v>37</v>
      </c>
      <c r="K296" s="51" t="s">
        <v>114</v>
      </c>
      <c r="L296" s="41">
        <f t="shared" si="20"/>
        <v>14586000000</v>
      </c>
      <c r="M296" s="41">
        <f t="shared" si="21"/>
        <v>11259000000</v>
      </c>
      <c r="N296" s="41">
        <f t="shared" si="22"/>
        <v>3327000000</v>
      </c>
      <c r="O296" s="41">
        <f t="shared" si="23"/>
        <v>0.70274052170239731</v>
      </c>
      <c r="P296" s="41">
        <f t="shared" si="24"/>
        <v>8.7839264969901784E-2</v>
      </c>
    </row>
    <row r="297" spans="1:16" ht="19.95" customHeight="1">
      <c r="A297" s="49">
        <v>318</v>
      </c>
      <c r="B297" s="50" t="s">
        <v>210</v>
      </c>
      <c r="C297" s="51" t="s">
        <v>11</v>
      </c>
      <c r="D297" s="51" t="s">
        <v>12</v>
      </c>
      <c r="E297" s="52">
        <v>4111000000</v>
      </c>
      <c r="F297" s="52">
        <v>3477000000</v>
      </c>
      <c r="G297" s="52" t="s">
        <v>757</v>
      </c>
      <c r="H297" s="52" t="s">
        <v>757</v>
      </c>
      <c r="I297" s="52">
        <v>14000000</v>
      </c>
      <c r="J297" s="51" t="s">
        <v>75</v>
      </c>
      <c r="K297" s="51" t="s">
        <v>78</v>
      </c>
      <c r="L297" s="41">
        <f t="shared" si="20"/>
        <v>634000000</v>
      </c>
      <c r="M297" s="41">
        <f t="shared" si="21"/>
        <v>14000000</v>
      </c>
      <c r="N297" s="41">
        <f t="shared" si="22"/>
        <v>620000000</v>
      </c>
      <c r="O297" s="41">
        <f t="shared" si="23"/>
        <v>0.99659450255412307</v>
      </c>
      <c r="P297" s="41">
        <f t="shared" si="24"/>
        <v>0.15081488688883482</v>
      </c>
    </row>
    <row r="298" spans="1:16" ht="19.95" customHeight="1">
      <c r="A298" s="53">
        <v>319</v>
      </c>
      <c r="B298" s="54" t="s">
        <v>210</v>
      </c>
      <c r="C298" s="55" t="s">
        <v>16</v>
      </c>
      <c r="D298" s="55" t="s">
        <v>17</v>
      </c>
      <c r="E298" s="56">
        <v>4531000000</v>
      </c>
      <c r="F298" s="56">
        <v>3748000000</v>
      </c>
      <c r="G298" s="56" t="s">
        <v>757</v>
      </c>
      <c r="H298" s="56" t="s">
        <v>757</v>
      </c>
      <c r="I298" s="56">
        <v>15000000</v>
      </c>
      <c r="J298" s="55" t="s">
        <v>75</v>
      </c>
      <c r="K298" s="55" t="s">
        <v>78</v>
      </c>
      <c r="L298" s="57">
        <f t="shared" si="20"/>
        <v>783000000</v>
      </c>
      <c r="M298" s="57">
        <f t="shared" si="21"/>
        <v>15000000</v>
      </c>
      <c r="N298" s="57">
        <f t="shared" si="22"/>
        <v>768000000</v>
      </c>
      <c r="O298" s="57">
        <f t="shared" si="23"/>
        <v>0.99668947252262197</v>
      </c>
      <c r="P298" s="57">
        <f t="shared" si="24"/>
        <v>0.16949900684175678</v>
      </c>
    </row>
    <row r="299" spans="1:16" ht="19.95" customHeight="1">
      <c r="A299" s="49">
        <v>320</v>
      </c>
      <c r="B299" s="50" t="s">
        <v>210</v>
      </c>
      <c r="C299" s="51" t="s">
        <v>18</v>
      </c>
      <c r="D299" s="51" t="s">
        <v>19</v>
      </c>
      <c r="E299" s="52">
        <v>4945000000</v>
      </c>
      <c r="F299" s="52">
        <v>4157000000</v>
      </c>
      <c r="G299" s="52" t="s">
        <v>757</v>
      </c>
      <c r="H299" s="52" t="s">
        <v>757</v>
      </c>
      <c r="I299" s="52">
        <v>14000000</v>
      </c>
      <c r="J299" s="51" t="s">
        <v>75</v>
      </c>
      <c r="K299" s="51" t="s">
        <v>78</v>
      </c>
      <c r="L299" s="41">
        <f t="shared" si="20"/>
        <v>788000000</v>
      </c>
      <c r="M299" s="41">
        <f t="shared" si="21"/>
        <v>14000000</v>
      </c>
      <c r="N299" s="41">
        <f t="shared" si="22"/>
        <v>774000000</v>
      </c>
      <c r="O299" s="41">
        <f t="shared" si="23"/>
        <v>0.99716885743174921</v>
      </c>
      <c r="P299" s="41">
        <f t="shared" si="24"/>
        <v>0.15652173913043479</v>
      </c>
    </row>
    <row r="300" spans="1:16" ht="19.95" customHeight="1">
      <c r="A300" s="49">
        <v>321</v>
      </c>
      <c r="B300" s="50" t="s">
        <v>210</v>
      </c>
      <c r="C300" s="51" t="s">
        <v>20</v>
      </c>
      <c r="D300" s="51" t="s">
        <v>21</v>
      </c>
      <c r="E300" s="52">
        <v>5142000000</v>
      </c>
      <c r="F300" s="52">
        <v>4195000000</v>
      </c>
      <c r="G300" s="52" t="s">
        <v>757</v>
      </c>
      <c r="H300" s="52" t="s">
        <v>757</v>
      </c>
      <c r="I300" s="52">
        <v>13000000</v>
      </c>
      <c r="J300" s="51" t="s">
        <v>75</v>
      </c>
      <c r="K300" s="51" t="s">
        <v>78</v>
      </c>
      <c r="L300" s="41">
        <f t="shared" si="20"/>
        <v>947000000</v>
      </c>
      <c r="M300" s="41">
        <f t="shared" si="21"/>
        <v>13000000</v>
      </c>
      <c r="N300" s="41">
        <f t="shared" si="22"/>
        <v>934000000</v>
      </c>
      <c r="O300" s="41">
        <f t="shared" si="23"/>
        <v>0.9974718008556982</v>
      </c>
      <c r="P300" s="41">
        <f t="shared" si="24"/>
        <v>0.18164138467522364</v>
      </c>
    </row>
    <row r="301" spans="1:16" ht="19.95" customHeight="1">
      <c r="A301" s="49">
        <v>322</v>
      </c>
      <c r="B301" s="50" t="s">
        <v>211</v>
      </c>
      <c r="C301" s="51" t="s">
        <v>11</v>
      </c>
      <c r="D301" s="51" t="s">
        <v>12</v>
      </c>
      <c r="E301" s="52">
        <v>17085000000</v>
      </c>
      <c r="F301" s="52">
        <v>7153000000</v>
      </c>
      <c r="G301" s="52">
        <v>6043000000</v>
      </c>
      <c r="H301" s="52" t="s">
        <v>757</v>
      </c>
      <c r="I301" s="52" t="s">
        <v>757</v>
      </c>
      <c r="J301" s="51" t="s">
        <v>60</v>
      </c>
      <c r="K301" s="51" t="s">
        <v>202</v>
      </c>
      <c r="L301" s="41">
        <f t="shared" si="20"/>
        <v>9932000000</v>
      </c>
      <c r="M301" s="41">
        <f t="shared" si="21"/>
        <v>6043000000</v>
      </c>
      <c r="N301" s="41">
        <f t="shared" si="22"/>
        <v>3889000000</v>
      </c>
      <c r="O301" s="41">
        <f t="shared" si="23"/>
        <v>0.64629792215393622</v>
      </c>
      <c r="P301" s="41">
        <f t="shared" si="24"/>
        <v>0.2276265730172666</v>
      </c>
    </row>
    <row r="302" spans="1:16" ht="19.95" customHeight="1">
      <c r="A302" s="49">
        <v>323</v>
      </c>
      <c r="B302" s="50" t="s">
        <v>211</v>
      </c>
      <c r="C302" s="51" t="s">
        <v>16</v>
      </c>
      <c r="D302" s="51" t="s">
        <v>17</v>
      </c>
      <c r="E302" s="52">
        <v>17420000000</v>
      </c>
      <c r="F302" s="52">
        <v>7219000000</v>
      </c>
      <c r="G302" s="52">
        <v>6645000000</v>
      </c>
      <c r="H302" s="52" t="s">
        <v>757</v>
      </c>
      <c r="I302" s="52" t="s">
        <v>757</v>
      </c>
      <c r="J302" s="51" t="s">
        <v>60</v>
      </c>
      <c r="K302" s="51" t="s">
        <v>202</v>
      </c>
      <c r="L302" s="41">
        <f t="shared" si="20"/>
        <v>10201000000</v>
      </c>
      <c r="M302" s="41">
        <f t="shared" si="21"/>
        <v>6645000000</v>
      </c>
      <c r="N302" s="41">
        <f t="shared" si="22"/>
        <v>3556000000</v>
      </c>
      <c r="O302" s="41">
        <f t="shared" si="23"/>
        <v>0.61854190585533875</v>
      </c>
      <c r="P302" s="41">
        <f t="shared" si="24"/>
        <v>0.20413318025258323</v>
      </c>
    </row>
    <row r="303" spans="1:16" ht="19.95" customHeight="1">
      <c r="A303" s="49">
        <v>324</v>
      </c>
      <c r="B303" s="50" t="s">
        <v>211</v>
      </c>
      <c r="C303" s="51" t="s">
        <v>18</v>
      </c>
      <c r="D303" s="51" t="s">
        <v>19</v>
      </c>
      <c r="E303" s="52">
        <v>17277000000</v>
      </c>
      <c r="F303" s="52">
        <v>7168000000</v>
      </c>
      <c r="G303" s="52">
        <v>6552000000</v>
      </c>
      <c r="H303" s="52" t="s">
        <v>757</v>
      </c>
      <c r="I303" s="52" t="s">
        <v>757</v>
      </c>
      <c r="J303" s="51" t="s">
        <v>60</v>
      </c>
      <c r="K303" s="51" t="s">
        <v>202</v>
      </c>
      <c r="L303" s="41">
        <f t="shared" si="20"/>
        <v>10109000000</v>
      </c>
      <c r="M303" s="41">
        <f t="shared" si="21"/>
        <v>6552000000</v>
      </c>
      <c r="N303" s="41">
        <f t="shared" si="22"/>
        <v>3557000000</v>
      </c>
      <c r="O303" s="41">
        <f t="shared" si="23"/>
        <v>0.62076749435665912</v>
      </c>
      <c r="P303" s="41">
        <f t="shared" si="24"/>
        <v>0.20588065057591018</v>
      </c>
    </row>
    <row r="304" spans="1:16" ht="19.95" customHeight="1">
      <c r="A304" s="49">
        <v>325</v>
      </c>
      <c r="B304" s="50" t="s">
        <v>211</v>
      </c>
      <c r="C304" s="51" t="s">
        <v>20</v>
      </c>
      <c r="D304" s="51" t="s">
        <v>21</v>
      </c>
      <c r="E304" s="52">
        <v>16034000000</v>
      </c>
      <c r="F304" s="52">
        <v>6635000000</v>
      </c>
      <c r="G304" s="52">
        <v>6610000000</v>
      </c>
      <c r="H304" s="52" t="s">
        <v>757</v>
      </c>
      <c r="I304" s="52" t="s">
        <v>757</v>
      </c>
      <c r="J304" s="51" t="s">
        <v>60</v>
      </c>
      <c r="K304" s="51" t="s">
        <v>202</v>
      </c>
      <c r="L304" s="41">
        <f t="shared" si="20"/>
        <v>9399000000</v>
      </c>
      <c r="M304" s="41">
        <f t="shared" si="21"/>
        <v>6610000000</v>
      </c>
      <c r="N304" s="41">
        <f t="shared" si="22"/>
        <v>2789000000</v>
      </c>
      <c r="O304" s="41">
        <f t="shared" si="23"/>
        <v>0.58775102906324062</v>
      </c>
      <c r="P304" s="41">
        <f t="shared" si="24"/>
        <v>0.17394287139827866</v>
      </c>
    </row>
    <row r="305" spans="1:16" ht="19.95" customHeight="1">
      <c r="A305" s="49">
        <v>326</v>
      </c>
      <c r="B305" s="50" t="s">
        <v>212</v>
      </c>
      <c r="C305" s="51" t="s">
        <v>11</v>
      </c>
      <c r="D305" s="51" t="s">
        <v>178</v>
      </c>
      <c r="E305" s="52">
        <v>5533000000</v>
      </c>
      <c r="F305" s="52">
        <v>3142000000</v>
      </c>
      <c r="G305" s="52">
        <v>1291000000</v>
      </c>
      <c r="H305" s="52">
        <v>130000000</v>
      </c>
      <c r="I305" s="52" t="s">
        <v>757</v>
      </c>
      <c r="J305" s="51" t="s">
        <v>60</v>
      </c>
      <c r="K305" s="51" t="s">
        <v>202</v>
      </c>
      <c r="L305" s="41">
        <f t="shared" si="20"/>
        <v>2391000000</v>
      </c>
      <c r="M305" s="41">
        <f t="shared" si="21"/>
        <v>1421000000</v>
      </c>
      <c r="N305" s="41">
        <f t="shared" si="22"/>
        <v>970000000</v>
      </c>
      <c r="O305" s="41">
        <f t="shared" si="23"/>
        <v>0.7431772998373396</v>
      </c>
      <c r="P305" s="41">
        <f t="shared" si="24"/>
        <v>0.17531176576902224</v>
      </c>
    </row>
    <row r="306" spans="1:16" ht="19.95" customHeight="1">
      <c r="A306" s="49">
        <v>327</v>
      </c>
      <c r="B306" s="50" t="s">
        <v>212</v>
      </c>
      <c r="C306" s="51" t="s">
        <v>16</v>
      </c>
      <c r="D306" s="51" t="s">
        <v>179</v>
      </c>
      <c r="E306" s="52">
        <v>5514000000</v>
      </c>
      <c r="F306" s="52">
        <v>3158000000</v>
      </c>
      <c r="G306" s="52">
        <v>1254000000</v>
      </c>
      <c r="H306" s="52">
        <v>125000000</v>
      </c>
      <c r="I306" s="52" t="s">
        <v>757</v>
      </c>
      <c r="J306" s="51" t="s">
        <v>60</v>
      </c>
      <c r="K306" s="51" t="s">
        <v>202</v>
      </c>
      <c r="L306" s="41">
        <f t="shared" si="20"/>
        <v>2356000000</v>
      </c>
      <c r="M306" s="41">
        <f t="shared" si="21"/>
        <v>1379000000</v>
      </c>
      <c r="N306" s="41">
        <f t="shared" si="22"/>
        <v>977000000</v>
      </c>
      <c r="O306" s="41">
        <f t="shared" si="23"/>
        <v>0.74990932172651426</v>
      </c>
      <c r="P306" s="41">
        <f t="shared" si="24"/>
        <v>0.17718534639100472</v>
      </c>
    </row>
    <row r="307" spans="1:16" ht="19.95" customHeight="1">
      <c r="A307" s="49">
        <v>328</v>
      </c>
      <c r="B307" s="50" t="s">
        <v>212</v>
      </c>
      <c r="C307" s="51" t="s">
        <v>18</v>
      </c>
      <c r="D307" s="51" t="s">
        <v>180</v>
      </c>
      <c r="E307" s="52">
        <v>5655000000</v>
      </c>
      <c r="F307" s="52">
        <v>3190000000</v>
      </c>
      <c r="G307" s="52">
        <v>1321000000</v>
      </c>
      <c r="H307" s="52">
        <v>136000000</v>
      </c>
      <c r="I307" s="52" t="s">
        <v>757</v>
      </c>
      <c r="J307" s="51" t="s">
        <v>60</v>
      </c>
      <c r="K307" s="51" t="s">
        <v>202</v>
      </c>
      <c r="L307" s="41">
        <f t="shared" si="20"/>
        <v>2465000000</v>
      </c>
      <c r="M307" s="41">
        <f t="shared" si="21"/>
        <v>1457000000</v>
      </c>
      <c r="N307" s="41">
        <f t="shared" si="22"/>
        <v>1008000000</v>
      </c>
      <c r="O307" s="41">
        <f t="shared" si="23"/>
        <v>0.74235190097259063</v>
      </c>
      <c r="P307" s="41">
        <f t="shared" si="24"/>
        <v>0.17824933687002653</v>
      </c>
    </row>
    <row r="308" spans="1:16" ht="19.95" customHeight="1">
      <c r="A308" s="49">
        <v>329</v>
      </c>
      <c r="B308" s="50" t="s">
        <v>212</v>
      </c>
      <c r="C308" s="51" t="s">
        <v>20</v>
      </c>
      <c r="D308" s="51" t="s">
        <v>181</v>
      </c>
      <c r="E308" s="52">
        <v>5761000000</v>
      </c>
      <c r="F308" s="52">
        <v>3163000000</v>
      </c>
      <c r="G308" s="52">
        <v>1393000000</v>
      </c>
      <c r="H308" s="52">
        <v>141000000</v>
      </c>
      <c r="I308" s="52" t="s">
        <v>757</v>
      </c>
      <c r="J308" s="51" t="s">
        <v>60</v>
      </c>
      <c r="K308" s="51" t="s">
        <v>202</v>
      </c>
      <c r="L308" s="41">
        <f t="shared" si="20"/>
        <v>2598000000</v>
      </c>
      <c r="M308" s="41">
        <f t="shared" si="21"/>
        <v>1534000000</v>
      </c>
      <c r="N308" s="41">
        <f t="shared" si="22"/>
        <v>1064000000</v>
      </c>
      <c r="O308" s="41">
        <f t="shared" si="23"/>
        <v>0.73372678354452359</v>
      </c>
      <c r="P308" s="41">
        <f t="shared" si="24"/>
        <v>0.18469015795868773</v>
      </c>
    </row>
    <row r="309" spans="1:16" ht="19.95" customHeight="1">
      <c r="A309" s="49">
        <v>330</v>
      </c>
      <c r="B309" s="50" t="s">
        <v>213</v>
      </c>
      <c r="C309" s="51" t="s">
        <v>11</v>
      </c>
      <c r="D309" s="51" t="s">
        <v>17</v>
      </c>
      <c r="E309" s="52">
        <v>2666000000</v>
      </c>
      <c r="F309" s="52">
        <v>55000000</v>
      </c>
      <c r="G309" s="52">
        <v>1670000000</v>
      </c>
      <c r="H309" s="52" t="s">
        <v>757</v>
      </c>
      <c r="I309" s="52">
        <v>46000000</v>
      </c>
      <c r="J309" s="51" t="s">
        <v>75</v>
      </c>
      <c r="K309" s="51" t="s">
        <v>200</v>
      </c>
      <c r="L309" s="41">
        <f t="shared" si="20"/>
        <v>2611000000</v>
      </c>
      <c r="M309" s="41">
        <f t="shared" si="21"/>
        <v>1716000000</v>
      </c>
      <c r="N309" s="41">
        <f t="shared" si="22"/>
        <v>895000000</v>
      </c>
      <c r="O309" s="41">
        <f t="shared" si="23"/>
        <v>0.3563390847711928</v>
      </c>
      <c r="P309" s="41">
        <f t="shared" si="24"/>
        <v>0.33570892723180795</v>
      </c>
    </row>
    <row r="310" spans="1:16" ht="19.95" customHeight="1">
      <c r="A310" s="53">
        <v>331</v>
      </c>
      <c r="B310" s="54" t="s">
        <v>213</v>
      </c>
      <c r="C310" s="55" t="s">
        <v>16</v>
      </c>
      <c r="D310" s="55" t="s">
        <v>19</v>
      </c>
      <c r="E310" s="56">
        <v>2607000000</v>
      </c>
      <c r="F310" s="56">
        <v>45000000</v>
      </c>
      <c r="G310" s="56">
        <v>1611000000</v>
      </c>
      <c r="H310" s="56" t="s">
        <v>757</v>
      </c>
      <c r="I310" s="56">
        <v>27000000</v>
      </c>
      <c r="J310" s="55" t="s">
        <v>75</v>
      </c>
      <c r="K310" s="55" t="s">
        <v>200</v>
      </c>
      <c r="L310" s="57">
        <f t="shared" si="20"/>
        <v>2562000000</v>
      </c>
      <c r="M310" s="57">
        <f t="shared" si="21"/>
        <v>1638000000</v>
      </c>
      <c r="N310" s="57">
        <f t="shared" si="22"/>
        <v>924000000</v>
      </c>
      <c r="O310" s="57">
        <f t="shared" si="23"/>
        <v>0.37169159953970077</v>
      </c>
      <c r="P310" s="57">
        <f t="shared" si="24"/>
        <v>0.35443037974683544</v>
      </c>
    </row>
    <row r="311" spans="1:16" ht="19.95" customHeight="1">
      <c r="A311" s="49">
        <v>332</v>
      </c>
      <c r="B311" s="50" t="s">
        <v>213</v>
      </c>
      <c r="C311" s="51" t="s">
        <v>18</v>
      </c>
      <c r="D311" s="51" t="s">
        <v>21</v>
      </c>
      <c r="E311" s="52">
        <v>2819000000</v>
      </c>
      <c r="F311" s="52">
        <v>43000000</v>
      </c>
      <c r="G311" s="52">
        <v>1859000000</v>
      </c>
      <c r="H311" s="52" t="s">
        <v>757</v>
      </c>
      <c r="I311" s="52">
        <v>147000000</v>
      </c>
      <c r="J311" s="51" t="s">
        <v>75</v>
      </c>
      <c r="K311" s="51" t="s">
        <v>200</v>
      </c>
      <c r="L311" s="41">
        <f t="shared" si="20"/>
        <v>2776000000</v>
      </c>
      <c r="M311" s="41">
        <f t="shared" si="21"/>
        <v>2006000000</v>
      </c>
      <c r="N311" s="41">
        <f t="shared" si="22"/>
        <v>770000000</v>
      </c>
      <c r="O311" s="41">
        <f t="shared" si="23"/>
        <v>0.28840014189428875</v>
      </c>
      <c r="P311" s="41">
        <f t="shared" si="24"/>
        <v>0.27314650585313943</v>
      </c>
    </row>
    <row r="312" spans="1:16" ht="19.95" customHeight="1">
      <c r="A312" s="49">
        <v>333</v>
      </c>
      <c r="B312" s="50" t="s">
        <v>213</v>
      </c>
      <c r="C312" s="51" t="s">
        <v>20</v>
      </c>
      <c r="D312" s="51" t="s">
        <v>84</v>
      </c>
      <c r="E312" s="52">
        <v>2960000000</v>
      </c>
      <c r="F312" s="52">
        <v>40000000</v>
      </c>
      <c r="G312" s="52">
        <v>1836000000</v>
      </c>
      <c r="H312" s="52" t="s">
        <v>757</v>
      </c>
      <c r="I312" s="52">
        <v>248000000</v>
      </c>
      <c r="J312" s="51" t="s">
        <v>75</v>
      </c>
      <c r="K312" s="51" t="s">
        <v>200</v>
      </c>
      <c r="L312" s="41">
        <f t="shared" si="20"/>
        <v>2920000000</v>
      </c>
      <c r="M312" s="41">
        <f t="shared" si="21"/>
        <v>2084000000</v>
      </c>
      <c r="N312" s="41">
        <f t="shared" si="22"/>
        <v>836000000</v>
      </c>
      <c r="O312" s="41">
        <f t="shared" si="23"/>
        <v>0.29594594594594592</v>
      </c>
      <c r="P312" s="41">
        <f t="shared" si="24"/>
        <v>0.28243243243243243</v>
      </c>
    </row>
    <row r="313" spans="1:16" ht="19.95" customHeight="1">
      <c r="A313" s="49">
        <v>338</v>
      </c>
      <c r="B313" s="50" t="s">
        <v>214</v>
      </c>
      <c r="C313" s="51" t="s">
        <v>11</v>
      </c>
      <c r="D313" s="51" t="s">
        <v>17</v>
      </c>
      <c r="E313" s="52">
        <v>3214591000</v>
      </c>
      <c r="F313" s="52">
        <v>2359822000</v>
      </c>
      <c r="G313" s="52">
        <v>203733000</v>
      </c>
      <c r="H313" s="52" t="s">
        <v>757</v>
      </c>
      <c r="I313" s="52">
        <v>96054000</v>
      </c>
      <c r="J313" s="51" t="s">
        <v>24</v>
      </c>
      <c r="K313" s="51" t="s">
        <v>215</v>
      </c>
      <c r="L313" s="41">
        <f t="shared" si="20"/>
        <v>854769000</v>
      </c>
      <c r="M313" s="41">
        <f t="shared" si="21"/>
        <v>299787000</v>
      </c>
      <c r="N313" s="41">
        <f t="shared" si="22"/>
        <v>554982000</v>
      </c>
      <c r="O313" s="41">
        <f t="shared" si="23"/>
        <v>0.90674179079080353</v>
      </c>
      <c r="P313" s="41">
        <f t="shared" si="24"/>
        <v>0.1726446692596352</v>
      </c>
    </row>
    <row r="314" spans="1:16" ht="19.95" customHeight="1">
      <c r="A314" s="49">
        <v>339</v>
      </c>
      <c r="B314" s="50" t="s">
        <v>214</v>
      </c>
      <c r="C314" s="51" t="s">
        <v>16</v>
      </c>
      <c r="D314" s="51" t="s">
        <v>19</v>
      </c>
      <c r="E314" s="52">
        <v>4108269000</v>
      </c>
      <c r="F314" s="52">
        <v>2990513000</v>
      </c>
      <c r="G314" s="52">
        <v>273897000</v>
      </c>
      <c r="H314" s="52" t="s">
        <v>757</v>
      </c>
      <c r="I314" s="52">
        <v>110474000</v>
      </c>
      <c r="J314" s="51" t="s">
        <v>24</v>
      </c>
      <c r="K314" s="51" t="s">
        <v>215</v>
      </c>
      <c r="L314" s="41">
        <f t="shared" si="20"/>
        <v>1117756000</v>
      </c>
      <c r="M314" s="41">
        <f t="shared" si="21"/>
        <v>384371000</v>
      </c>
      <c r="N314" s="41">
        <f t="shared" si="22"/>
        <v>733385000</v>
      </c>
      <c r="O314" s="41">
        <f t="shared" si="23"/>
        <v>0.90643967081999743</v>
      </c>
      <c r="P314" s="41">
        <f t="shared" si="24"/>
        <v>0.17851435726336323</v>
      </c>
    </row>
    <row r="315" spans="1:16" ht="19.95" customHeight="1">
      <c r="A315" s="49">
        <v>340</v>
      </c>
      <c r="B315" s="50" t="s">
        <v>214</v>
      </c>
      <c r="C315" s="51" t="s">
        <v>18</v>
      </c>
      <c r="D315" s="51" t="s">
        <v>21</v>
      </c>
      <c r="E315" s="52">
        <v>4501223000</v>
      </c>
      <c r="F315" s="52">
        <v>3326936000</v>
      </c>
      <c r="G315" s="52">
        <v>250214000</v>
      </c>
      <c r="H315" s="52" t="s">
        <v>757</v>
      </c>
      <c r="I315" s="52">
        <v>130368000</v>
      </c>
      <c r="J315" s="51" t="s">
        <v>24</v>
      </c>
      <c r="K315" s="51" t="s">
        <v>215</v>
      </c>
      <c r="L315" s="41">
        <f t="shared" si="20"/>
        <v>1174287000</v>
      </c>
      <c r="M315" s="41">
        <f t="shared" si="21"/>
        <v>380582000</v>
      </c>
      <c r="N315" s="41">
        <f t="shared" si="22"/>
        <v>793705000</v>
      </c>
      <c r="O315" s="41">
        <f t="shared" si="23"/>
        <v>0.91544920125041573</v>
      </c>
      <c r="P315" s="41">
        <f t="shared" si="24"/>
        <v>0.17633096605078219</v>
      </c>
    </row>
    <row r="316" spans="1:16" ht="19.95" customHeight="1">
      <c r="A316" s="49">
        <v>341</v>
      </c>
      <c r="B316" s="50" t="s">
        <v>214</v>
      </c>
      <c r="C316" s="51" t="s">
        <v>20</v>
      </c>
      <c r="D316" s="51" t="s">
        <v>84</v>
      </c>
      <c r="E316" s="52">
        <v>3904384000</v>
      </c>
      <c r="F316" s="52">
        <v>3406170000</v>
      </c>
      <c r="G316" s="52">
        <v>276240000</v>
      </c>
      <c r="H316" s="52" t="s">
        <v>757</v>
      </c>
      <c r="I316" s="52">
        <v>146368000</v>
      </c>
      <c r="J316" s="51" t="s">
        <v>24</v>
      </c>
      <c r="K316" s="51" t="s">
        <v>215</v>
      </c>
      <c r="L316" s="41">
        <f t="shared" si="20"/>
        <v>498214000</v>
      </c>
      <c r="M316" s="41">
        <f t="shared" si="21"/>
        <v>422608000</v>
      </c>
      <c r="N316" s="41">
        <f t="shared" si="22"/>
        <v>75606000</v>
      </c>
      <c r="O316" s="41">
        <f t="shared" si="23"/>
        <v>0.8917606464937875</v>
      </c>
      <c r="P316" s="41">
        <f t="shared" si="24"/>
        <v>1.9364386289873126E-2</v>
      </c>
    </row>
    <row r="317" spans="1:16" ht="19.95" customHeight="1">
      <c r="A317" s="49">
        <v>342</v>
      </c>
      <c r="B317" s="50" t="s">
        <v>216</v>
      </c>
      <c r="C317" s="51" t="s">
        <v>11</v>
      </c>
      <c r="D317" s="51" t="s">
        <v>17</v>
      </c>
      <c r="E317" s="52">
        <v>17301000000</v>
      </c>
      <c r="F317" s="52">
        <v>13021000000</v>
      </c>
      <c r="G317" s="52">
        <v>1827000000</v>
      </c>
      <c r="H317" s="52">
        <v>713000000</v>
      </c>
      <c r="I317" s="52" t="s">
        <v>757</v>
      </c>
      <c r="J317" s="51" t="s">
        <v>14</v>
      </c>
      <c r="K317" s="51" t="s">
        <v>217</v>
      </c>
      <c r="L317" s="41">
        <f t="shared" si="20"/>
        <v>4280000000</v>
      </c>
      <c r="M317" s="41">
        <f t="shared" si="21"/>
        <v>2540000000</v>
      </c>
      <c r="N317" s="41">
        <f t="shared" si="22"/>
        <v>1740000000</v>
      </c>
      <c r="O317" s="41">
        <f t="shared" si="23"/>
        <v>0.85318767701288944</v>
      </c>
      <c r="P317" s="41">
        <f t="shared" si="24"/>
        <v>0.10057222125888678</v>
      </c>
    </row>
    <row r="318" spans="1:16" ht="19.95" customHeight="1">
      <c r="A318" s="49">
        <v>343</v>
      </c>
      <c r="B318" s="50" t="s">
        <v>216</v>
      </c>
      <c r="C318" s="51" t="s">
        <v>16</v>
      </c>
      <c r="D318" s="51" t="s">
        <v>19</v>
      </c>
      <c r="E318" s="52">
        <v>19221000000</v>
      </c>
      <c r="F318" s="52">
        <v>14360000000</v>
      </c>
      <c r="G318" s="52">
        <v>2112000000</v>
      </c>
      <c r="H318" s="52">
        <v>754000000</v>
      </c>
      <c r="I318" s="52" t="s">
        <v>757</v>
      </c>
      <c r="J318" s="51" t="s">
        <v>14</v>
      </c>
      <c r="K318" s="51" t="s">
        <v>217</v>
      </c>
      <c r="L318" s="41">
        <f t="shared" si="20"/>
        <v>4861000000</v>
      </c>
      <c r="M318" s="41">
        <f t="shared" si="21"/>
        <v>2866000000</v>
      </c>
      <c r="N318" s="41">
        <f t="shared" si="22"/>
        <v>1995000000</v>
      </c>
      <c r="O318" s="41">
        <f t="shared" si="23"/>
        <v>0.85089225326465845</v>
      </c>
      <c r="P318" s="41">
        <f t="shared" si="24"/>
        <v>0.10379272670516622</v>
      </c>
    </row>
    <row r="319" spans="1:16" ht="19.95" customHeight="1">
      <c r="A319" s="49">
        <v>344</v>
      </c>
      <c r="B319" s="50" t="s">
        <v>216</v>
      </c>
      <c r="C319" s="51" t="s">
        <v>18</v>
      </c>
      <c r="D319" s="51" t="s">
        <v>21</v>
      </c>
      <c r="E319" s="52">
        <v>19110000000</v>
      </c>
      <c r="F319" s="52">
        <v>14163000000</v>
      </c>
      <c r="G319" s="52">
        <v>2169000000</v>
      </c>
      <c r="H319" s="52">
        <v>735000000</v>
      </c>
      <c r="I319" s="52" t="s">
        <v>757</v>
      </c>
      <c r="J319" s="51" t="s">
        <v>14</v>
      </c>
      <c r="K319" s="51" t="s">
        <v>217</v>
      </c>
      <c r="L319" s="41">
        <f t="shared" si="20"/>
        <v>4947000000</v>
      </c>
      <c r="M319" s="41">
        <f t="shared" si="21"/>
        <v>2904000000</v>
      </c>
      <c r="N319" s="41">
        <f t="shared" si="22"/>
        <v>2043000000</v>
      </c>
      <c r="O319" s="41">
        <f t="shared" si="23"/>
        <v>0.84803767660910512</v>
      </c>
      <c r="P319" s="41">
        <f t="shared" si="24"/>
        <v>0.10690737833594977</v>
      </c>
    </row>
    <row r="320" spans="1:16" ht="19.95" customHeight="1">
      <c r="A320" s="49">
        <v>345</v>
      </c>
      <c r="B320" s="50" t="s">
        <v>216</v>
      </c>
      <c r="C320" s="51" t="s">
        <v>20</v>
      </c>
      <c r="D320" s="51" t="s">
        <v>84</v>
      </c>
      <c r="E320" s="52">
        <v>17509000000</v>
      </c>
      <c r="F320" s="52">
        <v>13057000000</v>
      </c>
      <c r="G320" s="52">
        <v>2189000000</v>
      </c>
      <c r="H320" s="52">
        <v>636000000</v>
      </c>
      <c r="I320" s="52" t="s">
        <v>757</v>
      </c>
      <c r="J320" s="51" t="s">
        <v>14</v>
      </c>
      <c r="K320" s="51" t="s">
        <v>217</v>
      </c>
      <c r="L320" s="41">
        <f t="shared" si="20"/>
        <v>4452000000</v>
      </c>
      <c r="M320" s="41">
        <f t="shared" si="21"/>
        <v>2825000000</v>
      </c>
      <c r="N320" s="41">
        <f t="shared" si="22"/>
        <v>1627000000</v>
      </c>
      <c r="O320" s="41">
        <f t="shared" si="23"/>
        <v>0.83865440630532873</v>
      </c>
      <c r="P320" s="41">
        <f t="shared" si="24"/>
        <v>9.2923639271231942E-2</v>
      </c>
    </row>
    <row r="321" spans="1:16" ht="19.95" customHeight="1">
      <c r="A321" s="49">
        <v>346</v>
      </c>
      <c r="B321" s="50" t="s">
        <v>218</v>
      </c>
      <c r="C321" s="51" t="s">
        <v>11</v>
      </c>
      <c r="D321" s="51" t="s">
        <v>17</v>
      </c>
      <c r="E321" s="52">
        <v>6566000000</v>
      </c>
      <c r="F321" s="52">
        <v>4562000000</v>
      </c>
      <c r="G321" s="52">
        <v>234000000</v>
      </c>
      <c r="H321" s="52" t="s">
        <v>757</v>
      </c>
      <c r="I321" s="52">
        <v>628000000</v>
      </c>
      <c r="J321" s="51" t="s">
        <v>70</v>
      </c>
      <c r="K321" s="51" t="s">
        <v>71</v>
      </c>
      <c r="L321" s="41">
        <f t="shared" si="20"/>
        <v>2004000000</v>
      </c>
      <c r="M321" s="41">
        <f t="shared" si="21"/>
        <v>862000000</v>
      </c>
      <c r="N321" s="41">
        <f t="shared" si="22"/>
        <v>1142000000</v>
      </c>
      <c r="O321" s="41">
        <f t="shared" si="23"/>
        <v>0.8687176363082546</v>
      </c>
      <c r="P321" s="41">
        <f t="shared" si="24"/>
        <v>0.17392628693268353</v>
      </c>
    </row>
    <row r="322" spans="1:16" ht="19.95" customHeight="1">
      <c r="A322" s="49">
        <v>347</v>
      </c>
      <c r="B322" s="50" t="s">
        <v>218</v>
      </c>
      <c r="C322" s="51" t="s">
        <v>16</v>
      </c>
      <c r="D322" s="51" t="s">
        <v>19</v>
      </c>
      <c r="E322" s="52">
        <v>7179000000</v>
      </c>
      <c r="F322" s="52">
        <v>5090000000</v>
      </c>
      <c r="G322" s="52">
        <v>252000000</v>
      </c>
      <c r="H322" s="52" t="s">
        <v>757</v>
      </c>
      <c r="I322" s="52">
        <v>685000000</v>
      </c>
      <c r="J322" s="51" t="s">
        <v>70</v>
      </c>
      <c r="K322" s="51" t="s">
        <v>71</v>
      </c>
      <c r="L322" s="41">
        <f t="shared" si="20"/>
        <v>2089000000</v>
      </c>
      <c r="M322" s="41">
        <f t="shared" si="21"/>
        <v>937000000</v>
      </c>
      <c r="N322" s="41">
        <f t="shared" si="22"/>
        <v>1152000000</v>
      </c>
      <c r="O322" s="41">
        <f t="shared" si="23"/>
        <v>0.86948042902911271</v>
      </c>
      <c r="P322" s="41">
        <f t="shared" si="24"/>
        <v>0.16046803175929794</v>
      </c>
    </row>
    <row r="323" spans="1:16" ht="19.95" customHeight="1">
      <c r="A323" s="49">
        <v>348</v>
      </c>
      <c r="B323" s="50" t="s">
        <v>218</v>
      </c>
      <c r="C323" s="51" t="s">
        <v>18</v>
      </c>
      <c r="D323" s="51" t="s">
        <v>21</v>
      </c>
      <c r="E323" s="52">
        <v>6456000000</v>
      </c>
      <c r="F323" s="52">
        <v>4281000000</v>
      </c>
      <c r="G323" s="52">
        <v>262000000</v>
      </c>
      <c r="H323" s="52" t="s">
        <v>757</v>
      </c>
      <c r="I323" s="52">
        <v>750000000</v>
      </c>
      <c r="J323" s="51" t="s">
        <v>70</v>
      </c>
      <c r="K323" s="51" t="s">
        <v>71</v>
      </c>
      <c r="L323" s="41">
        <f t="shared" ref="L323:L386" si="25">Total_Revenue-COGS</f>
        <v>2175000000</v>
      </c>
      <c r="M323" s="41">
        <f t="shared" ref="M323:M386" si="26">SGAA+RandD+OOI</f>
        <v>1012000000</v>
      </c>
      <c r="N323" s="41">
        <f t="shared" ref="N323:N386" si="27">Gross_Profit-Total_Operating_Expenses</f>
        <v>1163000000</v>
      </c>
      <c r="O323" s="41">
        <f t="shared" ref="O323:O386" si="28">1-(Total_Operating_Expenses/Total_Revenue)</f>
        <v>0.84324659231722432</v>
      </c>
      <c r="P323" s="41">
        <f t="shared" ref="P323:P386" si="29">Operating_Profit/Total_Revenue</f>
        <v>0.18014250309789342</v>
      </c>
    </row>
    <row r="324" spans="1:16" ht="19.95" customHeight="1">
      <c r="A324" s="49">
        <v>349</v>
      </c>
      <c r="B324" s="50" t="s">
        <v>218</v>
      </c>
      <c r="C324" s="51" t="s">
        <v>20</v>
      </c>
      <c r="D324" s="51" t="s">
        <v>84</v>
      </c>
      <c r="E324" s="52">
        <v>6399000000</v>
      </c>
      <c r="F324" s="52">
        <v>4010000000</v>
      </c>
      <c r="G324" s="52">
        <v>281000000</v>
      </c>
      <c r="H324" s="52" t="s">
        <v>757</v>
      </c>
      <c r="I324" s="52">
        <v>811000000</v>
      </c>
      <c r="J324" s="51" t="s">
        <v>70</v>
      </c>
      <c r="K324" s="51" t="s">
        <v>71</v>
      </c>
      <c r="L324" s="41">
        <f t="shared" si="25"/>
        <v>2389000000</v>
      </c>
      <c r="M324" s="41">
        <f t="shared" si="26"/>
        <v>1092000000</v>
      </c>
      <c r="N324" s="41">
        <f t="shared" si="27"/>
        <v>1297000000</v>
      </c>
      <c r="O324" s="41">
        <f t="shared" si="28"/>
        <v>0.82934833567744959</v>
      </c>
      <c r="P324" s="41">
        <f t="shared" si="29"/>
        <v>0.20268791998749805</v>
      </c>
    </row>
    <row r="325" spans="1:16" ht="19.95" customHeight="1">
      <c r="A325" s="49">
        <v>350</v>
      </c>
      <c r="B325" s="50" t="s">
        <v>219</v>
      </c>
      <c r="C325" s="51" t="s">
        <v>11</v>
      </c>
      <c r="D325" s="51" t="s">
        <v>12</v>
      </c>
      <c r="E325" s="52">
        <v>8110000000</v>
      </c>
      <c r="F325" s="52">
        <v>6781000000</v>
      </c>
      <c r="G325" s="52">
        <v>1105000000</v>
      </c>
      <c r="H325" s="52" t="s">
        <v>757</v>
      </c>
      <c r="I325" s="52">
        <v>88000000</v>
      </c>
      <c r="J325" s="51" t="s">
        <v>37</v>
      </c>
      <c r="K325" s="51" t="s">
        <v>114</v>
      </c>
      <c r="L325" s="41">
        <f t="shared" si="25"/>
        <v>1329000000</v>
      </c>
      <c r="M325" s="41">
        <f t="shared" si="26"/>
        <v>1193000000</v>
      </c>
      <c r="N325" s="41">
        <f t="shared" si="27"/>
        <v>136000000</v>
      </c>
      <c r="O325" s="41">
        <f t="shared" si="28"/>
        <v>0.8528976572133169</v>
      </c>
      <c r="P325" s="41">
        <f t="shared" si="29"/>
        <v>1.6769420468557335E-2</v>
      </c>
    </row>
    <row r="326" spans="1:16" ht="19.95" customHeight="1">
      <c r="A326" s="49">
        <v>351</v>
      </c>
      <c r="B326" s="50" t="s">
        <v>219</v>
      </c>
      <c r="C326" s="51" t="s">
        <v>16</v>
      </c>
      <c r="D326" s="51" t="s">
        <v>17</v>
      </c>
      <c r="E326" s="52">
        <v>10863000000</v>
      </c>
      <c r="F326" s="52">
        <v>8995000000</v>
      </c>
      <c r="G326" s="52">
        <v>1264000000</v>
      </c>
      <c r="H326" s="52" t="s">
        <v>757</v>
      </c>
      <c r="I326" s="52">
        <v>327000000</v>
      </c>
      <c r="J326" s="51" t="s">
        <v>37</v>
      </c>
      <c r="K326" s="51" t="s">
        <v>114</v>
      </c>
      <c r="L326" s="41">
        <f t="shared" si="25"/>
        <v>1868000000</v>
      </c>
      <c r="M326" s="41">
        <f t="shared" si="26"/>
        <v>1591000000</v>
      </c>
      <c r="N326" s="41">
        <f t="shared" si="27"/>
        <v>277000000</v>
      </c>
      <c r="O326" s="41">
        <f t="shared" si="28"/>
        <v>0.85353953788088011</v>
      </c>
      <c r="P326" s="41">
        <f t="shared" si="29"/>
        <v>2.5499401638589707E-2</v>
      </c>
    </row>
    <row r="327" spans="1:16" ht="19.95" customHeight="1">
      <c r="A327" s="49">
        <v>352</v>
      </c>
      <c r="B327" s="50" t="s">
        <v>219</v>
      </c>
      <c r="C327" s="51" t="s">
        <v>18</v>
      </c>
      <c r="D327" s="51" t="s">
        <v>19</v>
      </c>
      <c r="E327" s="52">
        <v>16560000000</v>
      </c>
      <c r="F327" s="52">
        <v>12678000000</v>
      </c>
      <c r="G327" s="52">
        <v>2012000000</v>
      </c>
      <c r="H327" s="52" t="s">
        <v>757</v>
      </c>
      <c r="I327" s="52">
        <v>1406000000</v>
      </c>
      <c r="J327" s="51" t="s">
        <v>37</v>
      </c>
      <c r="K327" s="51" t="s">
        <v>114</v>
      </c>
      <c r="L327" s="41">
        <f t="shared" si="25"/>
        <v>3882000000</v>
      </c>
      <c r="M327" s="41">
        <f t="shared" si="26"/>
        <v>3418000000</v>
      </c>
      <c r="N327" s="41">
        <f t="shared" si="27"/>
        <v>464000000</v>
      </c>
      <c r="O327" s="41">
        <f t="shared" si="28"/>
        <v>0.79359903381642516</v>
      </c>
      <c r="P327" s="41">
        <f t="shared" si="29"/>
        <v>2.8019323671497585E-2</v>
      </c>
    </row>
    <row r="328" spans="1:16" ht="19.95" customHeight="1">
      <c r="A328" s="49">
        <v>353</v>
      </c>
      <c r="B328" s="50" t="s">
        <v>219</v>
      </c>
      <c r="C328" s="51" t="s">
        <v>20</v>
      </c>
      <c r="D328" s="51" t="s">
        <v>21</v>
      </c>
      <c r="E328" s="52">
        <v>22760000000</v>
      </c>
      <c r="F328" s="52">
        <v>17242000000</v>
      </c>
      <c r="G328" s="52">
        <v>2977000000</v>
      </c>
      <c r="H328" s="52" t="s">
        <v>757</v>
      </c>
      <c r="I328" s="52">
        <v>1836000000</v>
      </c>
      <c r="J328" s="51" t="s">
        <v>37</v>
      </c>
      <c r="K328" s="51" t="s">
        <v>114</v>
      </c>
      <c r="L328" s="41">
        <f t="shared" si="25"/>
        <v>5518000000</v>
      </c>
      <c r="M328" s="41">
        <f t="shared" si="26"/>
        <v>4813000000</v>
      </c>
      <c r="N328" s="41">
        <f t="shared" si="27"/>
        <v>705000000</v>
      </c>
      <c r="O328" s="41">
        <f t="shared" si="28"/>
        <v>0.78853251318101936</v>
      </c>
      <c r="P328" s="41">
        <f t="shared" si="29"/>
        <v>3.0975395430579963E-2</v>
      </c>
    </row>
    <row r="329" spans="1:16" ht="19.95" customHeight="1">
      <c r="A329" s="49">
        <v>354</v>
      </c>
      <c r="B329" s="50" t="s">
        <v>220</v>
      </c>
      <c r="C329" s="51" t="s">
        <v>11</v>
      </c>
      <c r="D329" s="51" t="s">
        <v>12</v>
      </c>
      <c r="E329" s="52">
        <v>7452000000</v>
      </c>
      <c r="F329" s="52">
        <v>4747000000</v>
      </c>
      <c r="G329" s="52">
        <v>365000000</v>
      </c>
      <c r="H329" s="52" t="s">
        <v>757</v>
      </c>
      <c r="I329" s="52">
        <v>1050000000</v>
      </c>
      <c r="J329" s="51" t="s">
        <v>70</v>
      </c>
      <c r="K329" s="51" t="s">
        <v>71</v>
      </c>
      <c r="L329" s="41">
        <f t="shared" si="25"/>
        <v>2705000000</v>
      </c>
      <c r="M329" s="41">
        <f t="shared" si="26"/>
        <v>1415000000</v>
      </c>
      <c r="N329" s="41">
        <f t="shared" si="27"/>
        <v>1290000000</v>
      </c>
      <c r="O329" s="41">
        <f t="shared" si="28"/>
        <v>0.81011808910359639</v>
      </c>
      <c r="P329" s="41">
        <f t="shared" si="29"/>
        <v>0.17310789049919484</v>
      </c>
    </row>
    <row r="330" spans="1:16" ht="19.95" customHeight="1">
      <c r="A330" s="49">
        <v>355</v>
      </c>
      <c r="B330" s="50" t="s">
        <v>220</v>
      </c>
      <c r="C330" s="51" t="s">
        <v>16</v>
      </c>
      <c r="D330" s="51" t="s">
        <v>17</v>
      </c>
      <c r="E330" s="52">
        <v>8106000000</v>
      </c>
      <c r="F330" s="52">
        <v>5755000000</v>
      </c>
      <c r="G330" s="52">
        <v>387000000</v>
      </c>
      <c r="H330" s="52" t="s">
        <v>757</v>
      </c>
      <c r="I330" s="52">
        <v>954000000</v>
      </c>
      <c r="J330" s="51" t="s">
        <v>70</v>
      </c>
      <c r="K330" s="51" t="s">
        <v>71</v>
      </c>
      <c r="L330" s="41">
        <f t="shared" si="25"/>
        <v>2351000000</v>
      </c>
      <c r="M330" s="41">
        <f t="shared" si="26"/>
        <v>1341000000</v>
      </c>
      <c r="N330" s="41">
        <f t="shared" si="27"/>
        <v>1010000000</v>
      </c>
      <c r="O330" s="41">
        <f t="shared" si="28"/>
        <v>0.8345669874167283</v>
      </c>
      <c r="P330" s="41">
        <f t="shared" si="29"/>
        <v>0.12459906242289662</v>
      </c>
    </row>
    <row r="331" spans="1:16" ht="19.95" customHeight="1">
      <c r="A331" s="49">
        <v>356</v>
      </c>
      <c r="B331" s="50" t="s">
        <v>220</v>
      </c>
      <c r="C331" s="51" t="s">
        <v>18</v>
      </c>
      <c r="D331" s="51" t="s">
        <v>19</v>
      </c>
      <c r="E331" s="52">
        <v>9226000000</v>
      </c>
      <c r="F331" s="52">
        <v>6890000000</v>
      </c>
      <c r="G331" s="52">
        <v>388000000</v>
      </c>
      <c r="H331" s="52" t="s">
        <v>757</v>
      </c>
      <c r="I331" s="52">
        <v>1013000000</v>
      </c>
      <c r="J331" s="51" t="s">
        <v>70</v>
      </c>
      <c r="K331" s="51" t="s">
        <v>71</v>
      </c>
      <c r="L331" s="41">
        <f t="shared" si="25"/>
        <v>2336000000</v>
      </c>
      <c r="M331" s="41">
        <f t="shared" si="26"/>
        <v>1401000000</v>
      </c>
      <c r="N331" s="41">
        <f t="shared" si="27"/>
        <v>935000000</v>
      </c>
      <c r="O331" s="41">
        <f t="shared" si="28"/>
        <v>0.8481465423802298</v>
      </c>
      <c r="P331" s="41">
        <f t="shared" si="29"/>
        <v>0.10134402774766962</v>
      </c>
    </row>
    <row r="332" spans="1:16" ht="19.95" customHeight="1">
      <c r="A332" s="49">
        <v>357</v>
      </c>
      <c r="B332" s="50" t="s">
        <v>220</v>
      </c>
      <c r="C332" s="51" t="s">
        <v>20</v>
      </c>
      <c r="D332" s="51" t="s">
        <v>21</v>
      </c>
      <c r="E332" s="52">
        <v>7386000000</v>
      </c>
      <c r="F332" s="52">
        <v>5109000000</v>
      </c>
      <c r="G332" s="52">
        <v>374000000</v>
      </c>
      <c r="H332" s="52" t="s">
        <v>757</v>
      </c>
      <c r="I332" s="52">
        <v>970000000</v>
      </c>
      <c r="J332" s="51" t="s">
        <v>70</v>
      </c>
      <c r="K332" s="51" t="s">
        <v>71</v>
      </c>
      <c r="L332" s="41">
        <f t="shared" si="25"/>
        <v>2277000000</v>
      </c>
      <c r="M332" s="41">
        <f t="shared" si="26"/>
        <v>1344000000</v>
      </c>
      <c r="N332" s="41">
        <f t="shared" si="27"/>
        <v>933000000</v>
      </c>
      <c r="O332" s="41">
        <f t="shared" si="28"/>
        <v>0.81803411860276198</v>
      </c>
      <c r="P332" s="41">
        <f t="shared" si="29"/>
        <v>0.12632006498781478</v>
      </c>
    </row>
    <row r="333" spans="1:16" ht="19.95" customHeight="1">
      <c r="A333" s="49">
        <v>358</v>
      </c>
      <c r="B333" s="50" t="s">
        <v>221</v>
      </c>
      <c r="C333" s="51" t="s">
        <v>11</v>
      </c>
      <c r="D333" s="51" t="s">
        <v>12</v>
      </c>
      <c r="E333" s="52">
        <v>23771000000</v>
      </c>
      <c r="F333" s="52">
        <v>1403000000</v>
      </c>
      <c r="G333" s="52">
        <v>11188000000</v>
      </c>
      <c r="H333" s="52" t="s">
        <v>757</v>
      </c>
      <c r="I333" s="52">
        <v>5024000000</v>
      </c>
      <c r="J333" s="51" t="s">
        <v>75</v>
      </c>
      <c r="K333" s="51" t="s">
        <v>134</v>
      </c>
      <c r="L333" s="41">
        <f t="shared" si="25"/>
        <v>22368000000</v>
      </c>
      <c r="M333" s="41">
        <f t="shared" si="26"/>
        <v>16212000000</v>
      </c>
      <c r="N333" s="41">
        <f t="shared" si="27"/>
        <v>6156000000</v>
      </c>
      <c r="O333" s="41">
        <f t="shared" si="28"/>
        <v>0.31799251188422872</v>
      </c>
      <c r="P333" s="41">
        <f t="shared" si="29"/>
        <v>0.25897101510243575</v>
      </c>
    </row>
    <row r="334" spans="1:16" ht="19.95" customHeight="1">
      <c r="A334" s="53">
        <v>359</v>
      </c>
      <c r="B334" s="54" t="s">
        <v>221</v>
      </c>
      <c r="C334" s="55" t="s">
        <v>16</v>
      </c>
      <c r="D334" s="55" t="s">
        <v>17</v>
      </c>
      <c r="E334" s="56">
        <v>24176000000</v>
      </c>
      <c r="F334" s="56">
        <v>1241000000</v>
      </c>
      <c r="G334" s="56">
        <v>11682000000</v>
      </c>
      <c r="H334" s="56" t="s">
        <v>757</v>
      </c>
      <c r="I334" s="56">
        <v>4124000000</v>
      </c>
      <c r="J334" s="55" t="s">
        <v>75</v>
      </c>
      <c r="K334" s="55" t="s">
        <v>134</v>
      </c>
      <c r="L334" s="57">
        <f t="shared" si="25"/>
        <v>22935000000</v>
      </c>
      <c r="M334" s="57">
        <f t="shared" si="26"/>
        <v>15806000000</v>
      </c>
      <c r="N334" s="57">
        <f t="shared" si="27"/>
        <v>7129000000</v>
      </c>
      <c r="O334" s="57">
        <f t="shared" si="28"/>
        <v>0.34621111846459296</v>
      </c>
      <c r="P334" s="57">
        <f t="shared" si="29"/>
        <v>0.29487921906022502</v>
      </c>
    </row>
    <row r="335" spans="1:16" ht="19.95" customHeight="1">
      <c r="A335" s="49">
        <v>360</v>
      </c>
      <c r="B335" s="50" t="s">
        <v>221</v>
      </c>
      <c r="C335" s="51" t="s">
        <v>18</v>
      </c>
      <c r="D335" s="51" t="s">
        <v>19</v>
      </c>
      <c r="E335" s="52">
        <v>23869000000</v>
      </c>
      <c r="F335" s="52">
        <v>1088000000</v>
      </c>
      <c r="G335" s="52">
        <v>11648000000</v>
      </c>
      <c r="H335" s="52" t="s">
        <v>757</v>
      </c>
      <c r="I335" s="52">
        <v>4073000000</v>
      </c>
      <c r="J335" s="51" t="s">
        <v>75</v>
      </c>
      <c r="K335" s="51" t="s">
        <v>134</v>
      </c>
      <c r="L335" s="41">
        <f t="shared" si="25"/>
        <v>22781000000</v>
      </c>
      <c r="M335" s="41">
        <f t="shared" si="26"/>
        <v>15721000000</v>
      </c>
      <c r="N335" s="41">
        <f t="shared" si="27"/>
        <v>7060000000</v>
      </c>
      <c r="O335" s="41">
        <f t="shared" si="28"/>
        <v>0.34136327454019855</v>
      </c>
      <c r="P335" s="41">
        <f t="shared" si="29"/>
        <v>0.29578113871548872</v>
      </c>
    </row>
    <row r="336" spans="1:16" ht="19.95" customHeight="1">
      <c r="A336" s="49">
        <v>361</v>
      </c>
      <c r="B336" s="50" t="s">
        <v>221</v>
      </c>
      <c r="C336" s="51" t="s">
        <v>20</v>
      </c>
      <c r="D336" s="51" t="s">
        <v>21</v>
      </c>
      <c r="E336" s="52">
        <v>25038000000</v>
      </c>
      <c r="F336" s="52">
        <v>1091000000</v>
      </c>
      <c r="G336" s="52">
        <v>12566000000</v>
      </c>
      <c r="H336" s="52" t="s">
        <v>757</v>
      </c>
      <c r="I336" s="52">
        <v>4966000000</v>
      </c>
      <c r="J336" s="51" t="s">
        <v>75</v>
      </c>
      <c r="K336" s="51" t="s">
        <v>134</v>
      </c>
      <c r="L336" s="41">
        <f t="shared" si="25"/>
        <v>23947000000</v>
      </c>
      <c r="M336" s="41">
        <f t="shared" si="26"/>
        <v>17532000000</v>
      </c>
      <c r="N336" s="41">
        <f t="shared" si="27"/>
        <v>6415000000</v>
      </c>
      <c r="O336" s="41">
        <f t="shared" si="28"/>
        <v>0.29978432782171105</v>
      </c>
      <c r="P336" s="41">
        <f t="shared" si="29"/>
        <v>0.2562105599488777</v>
      </c>
    </row>
    <row r="337" spans="1:16" ht="19.95" customHeight="1">
      <c r="A337" s="49">
        <v>362</v>
      </c>
      <c r="B337" s="50" t="s">
        <v>222</v>
      </c>
      <c r="C337" s="51" t="s">
        <v>11</v>
      </c>
      <c r="D337" s="51" t="s">
        <v>12</v>
      </c>
      <c r="E337" s="52">
        <v>1204546000</v>
      </c>
      <c r="F337" s="52">
        <v>290054000</v>
      </c>
      <c r="G337" s="52">
        <v>170113000</v>
      </c>
      <c r="H337" s="52" t="s">
        <v>757</v>
      </c>
      <c r="I337" s="52">
        <v>451405000</v>
      </c>
      <c r="J337" s="51" t="s">
        <v>116</v>
      </c>
      <c r="K337" s="51" t="s">
        <v>117</v>
      </c>
      <c r="L337" s="41">
        <f t="shared" si="25"/>
        <v>914492000</v>
      </c>
      <c r="M337" s="41">
        <f t="shared" si="26"/>
        <v>621518000</v>
      </c>
      <c r="N337" s="41">
        <f t="shared" si="27"/>
        <v>292974000</v>
      </c>
      <c r="O337" s="41">
        <f t="shared" si="28"/>
        <v>0.48402302610278058</v>
      </c>
      <c r="P337" s="41">
        <f t="shared" si="29"/>
        <v>0.2432235879742243</v>
      </c>
    </row>
    <row r="338" spans="1:16" ht="19.95" customHeight="1">
      <c r="A338" s="53">
        <v>363</v>
      </c>
      <c r="B338" s="54" t="s">
        <v>222</v>
      </c>
      <c r="C338" s="55" t="s">
        <v>16</v>
      </c>
      <c r="D338" s="55" t="s">
        <v>17</v>
      </c>
      <c r="E338" s="56">
        <v>1746278000</v>
      </c>
      <c r="F338" s="56">
        <v>400281000</v>
      </c>
      <c r="G338" s="56">
        <v>147651000</v>
      </c>
      <c r="H338" s="56" t="s">
        <v>757</v>
      </c>
      <c r="I338" s="56">
        <v>651052000</v>
      </c>
      <c r="J338" s="55" t="s">
        <v>116</v>
      </c>
      <c r="K338" s="55" t="s">
        <v>117</v>
      </c>
      <c r="L338" s="57">
        <f t="shared" si="25"/>
        <v>1345997000</v>
      </c>
      <c r="M338" s="57">
        <f t="shared" si="26"/>
        <v>798703000</v>
      </c>
      <c r="N338" s="57">
        <f t="shared" si="27"/>
        <v>547294000</v>
      </c>
      <c r="O338" s="57">
        <f t="shared" si="28"/>
        <v>0.54262551552501948</v>
      </c>
      <c r="P338" s="57">
        <f t="shared" si="29"/>
        <v>0.31340599835764982</v>
      </c>
    </row>
    <row r="339" spans="1:16" ht="19.95" customHeight="1">
      <c r="A339" s="49">
        <v>364</v>
      </c>
      <c r="B339" s="50" t="s">
        <v>222</v>
      </c>
      <c r="C339" s="51" t="s">
        <v>18</v>
      </c>
      <c r="D339" s="51" t="s">
        <v>19</v>
      </c>
      <c r="E339" s="52">
        <v>2173011000</v>
      </c>
      <c r="F339" s="52">
        <v>524880000</v>
      </c>
      <c r="G339" s="52">
        <v>129602000</v>
      </c>
      <c r="H339" s="52" t="s">
        <v>757</v>
      </c>
      <c r="I339" s="52">
        <v>632760000</v>
      </c>
      <c r="J339" s="51" t="s">
        <v>116</v>
      </c>
      <c r="K339" s="51" t="s">
        <v>117</v>
      </c>
      <c r="L339" s="41">
        <f t="shared" si="25"/>
        <v>1648131000</v>
      </c>
      <c r="M339" s="41">
        <f t="shared" si="26"/>
        <v>762362000</v>
      </c>
      <c r="N339" s="41">
        <f t="shared" si="27"/>
        <v>885769000</v>
      </c>
      <c r="O339" s="41">
        <f t="shared" si="28"/>
        <v>0.64916790573080396</v>
      </c>
      <c r="P339" s="41">
        <f t="shared" si="29"/>
        <v>0.40762287903742778</v>
      </c>
    </row>
    <row r="340" spans="1:16" ht="19.95" customHeight="1">
      <c r="A340" s="49">
        <v>365</v>
      </c>
      <c r="B340" s="50" t="s">
        <v>222</v>
      </c>
      <c r="C340" s="51" t="s">
        <v>20</v>
      </c>
      <c r="D340" s="51" t="s">
        <v>21</v>
      </c>
      <c r="E340" s="52">
        <v>1357150000</v>
      </c>
      <c r="F340" s="52">
        <v>580994000</v>
      </c>
      <c r="G340" s="52">
        <v>112253000</v>
      </c>
      <c r="H340" s="52" t="s">
        <v>757</v>
      </c>
      <c r="I340" s="52">
        <v>622211000</v>
      </c>
      <c r="J340" s="51" t="s">
        <v>116</v>
      </c>
      <c r="K340" s="51" t="s">
        <v>117</v>
      </c>
      <c r="L340" s="41">
        <f t="shared" si="25"/>
        <v>776156000</v>
      </c>
      <c r="M340" s="41">
        <f t="shared" si="26"/>
        <v>734464000</v>
      </c>
      <c r="N340" s="41">
        <f t="shared" si="27"/>
        <v>41692000</v>
      </c>
      <c r="O340" s="41">
        <f t="shared" si="28"/>
        <v>0.45881884832185094</v>
      </c>
      <c r="P340" s="41">
        <f t="shared" si="29"/>
        <v>3.0720259367055962E-2</v>
      </c>
    </row>
    <row r="341" spans="1:16" ht="19.95" customHeight="1">
      <c r="A341" s="49">
        <v>366</v>
      </c>
      <c r="B341" s="50" t="s">
        <v>223</v>
      </c>
      <c r="C341" s="51" t="s">
        <v>11</v>
      </c>
      <c r="D341" s="51" t="s">
        <v>40</v>
      </c>
      <c r="E341" s="52">
        <v>4474000000</v>
      </c>
      <c r="F341" s="52">
        <v>3103000000</v>
      </c>
      <c r="G341" s="52">
        <v>495000000</v>
      </c>
      <c r="H341" s="52" t="s">
        <v>757</v>
      </c>
      <c r="I341" s="52" t="s">
        <v>757</v>
      </c>
      <c r="J341" s="51" t="s">
        <v>14</v>
      </c>
      <c r="K341" s="51" t="s">
        <v>224</v>
      </c>
      <c r="L341" s="41">
        <f t="shared" si="25"/>
        <v>1371000000</v>
      </c>
      <c r="M341" s="41">
        <f t="shared" si="26"/>
        <v>495000000</v>
      </c>
      <c r="N341" s="41">
        <f t="shared" si="27"/>
        <v>876000000</v>
      </c>
      <c r="O341" s="41">
        <f t="shared" si="28"/>
        <v>0.88936075100581136</v>
      </c>
      <c r="P341" s="41">
        <f t="shared" si="29"/>
        <v>0.19579794367456416</v>
      </c>
    </row>
    <row r="342" spans="1:16" ht="19.95" customHeight="1">
      <c r="A342" s="49">
        <v>367</v>
      </c>
      <c r="B342" s="50" t="s">
        <v>223</v>
      </c>
      <c r="C342" s="51" t="s">
        <v>16</v>
      </c>
      <c r="D342" s="51" t="s">
        <v>42</v>
      </c>
      <c r="E342" s="52">
        <v>4979000000</v>
      </c>
      <c r="F342" s="52">
        <v>3469000000</v>
      </c>
      <c r="G342" s="52">
        <v>594000000</v>
      </c>
      <c r="H342" s="52" t="s">
        <v>757</v>
      </c>
      <c r="I342" s="52" t="s">
        <v>757</v>
      </c>
      <c r="J342" s="51" t="s">
        <v>14</v>
      </c>
      <c r="K342" s="51" t="s">
        <v>224</v>
      </c>
      <c r="L342" s="41">
        <f t="shared" si="25"/>
        <v>1510000000</v>
      </c>
      <c r="M342" s="41">
        <f t="shared" si="26"/>
        <v>594000000</v>
      </c>
      <c r="N342" s="41">
        <f t="shared" si="27"/>
        <v>916000000</v>
      </c>
      <c r="O342" s="41">
        <f t="shared" si="28"/>
        <v>0.88069893552922274</v>
      </c>
      <c r="P342" s="41">
        <f t="shared" si="29"/>
        <v>0.18397268527816832</v>
      </c>
    </row>
    <row r="343" spans="1:16" ht="19.95" customHeight="1">
      <c r="A343" s="49">
        <v>368</v>
      </c>
      <c r="B343" s="50" t="s">
        <v>223</v>
      </c>
      <c r="C343" s="51" t="s">
        <v>18</v>
      </c>
      <c r="D343" s="51" t="s">
        <v>43</v>
      </c>
      <c r="E343" s="52">
        <v>5244000000</v>
      </c>
      <c r="F343" s="52">
        <v>3630000000</v>
      </c>
      <c r="G343" s="52">
        <v>606000000</v>
      </c>
      <c r="H343" s="52" t="s">
        <v>757</v>
      </c>
      <c r="I343" s="52" t="s">
        <v>757</v>
      </c>
      <c r="J343" s="51" t="s">
        <v>14</v>
      </c>
      <c r="K343" s="51" t="s">
        <v>224</v>
      </c>
      <c r="L343" s="41">
        <f t="shared" si="25"/>
        <v>1614000000</v>
      </c>
      <c r="M343" s="41">
        <f t="shared" si="26"/>
        <v>606000000</v>
      </c>
      <c r="N343" s="41">
        <f t="shared" si="27"/>
        <v>1008000000</v>
      </c>
      <c r="O343" s="41">
        <f t="shared" si="28"/>
        <v>0.88443935926773454</v>
      </c>
      <c r="P343" s="41">
        <f t="shared" si="29"/>
        <v>0.19221967963386727</v>
      </c>
    </row>
    <row r="344" spans="1:16" ht="19.95" customHeight="1">
      <c r="A344" s="49">
        <v>369</v>
      </c>
      <c r="B344" s="50" t="s">
        <v>223</v>
      </c>
      <c r="C344" s="51" t="s">
        <v>20</v>
      </c>
      <c r="D344" s="51" t="s">
        <v>44</v>
      </c>
      <c r="E344" s="52">
        <v>5259000000</v>
      </c>
      <c r="F344" s="52">
        <v>3642000000</v>
      </c>
      <c r="G344" s="52">
        <v>638000000</v>
      </c>
      <c r="H344" s="52" t="s">
        <v>757</v>
      </c>
      <c r="I344" s="52" t="s">
        <v>757</v>
      </c>
      <c r="J344" s="51" t="s">
        <v>14</v>
      </c>
      <c r="K344" s="51" t="s">
        <v>224</v>
      </c>
      <c r="L344" s="41">
        <f t="shared" si="25"/>
        <v>1617000000</v>
      </c>
      <c r="M344" s="41">
        <f t="shared" si="26"/>
        <v>638000000</v>
      </c>
      <c r="N344" s="41">
        <f t="shared" si="27"/>
        <v>979000000</v>
      </c>
      <c r="O344" s="41">
        <f t="shared" si="28"/>
        <v>0.87868416048678455</v>
      </c>
      <c r="P344" s="41">
        <f t="shared" si="29"/>
        <v>0.18615706408062369</v>
      </c>
    </row>
    <row r="345" spans="1:16" ht="19.95" customHeight="1">
      <c r="A345" s="49">
        <v>370</v>
      </c>
      <c r="B345" s="50" t="s">
        <v>225</v>
      </c>
      <c r="C345" s="51" t="s">
        <v>11</v>
      </c>
      <c r="D345" s="51" t="s">
        <v>226</v>
      </c>
      <c r="E345" s="52">
        <v>1587725000</v>
      </c>
      <c r="F345" s="52">
        <v>560917000</v>
      </c>
      <c r="G345" s="52">
        <v>610735000</v>
      </c>
      <c r="H345" s="52">
        <v>58827000</v>
      </c>
      <c r="I345" s="52">
        <v>30239000</v>
      </c>
      <c r="J345" s="51" t="s">
        <v>37</v>
      </c>
      <c r="K345" s="51" t="s">
        <v>227</v>
      </c>
      <c r="L345" s="41">
        <f t="shared" si="25"/>
        <v>1026808000</v>
      </c>
      <c r="M345" s="41">
        <f t="shared" si="26"/>
        <v>699801000</v>
      </c>
      <c r="N345" s="41">
        <f t="shared" si="27"/>
        <v>327007000</v>
      </c>
      <c r="O345" s="41">
        <f t="shared" si="28"/>
        <v>0.55924294194523605</v>
      </c>
      <c r="P345" s="41">
        <f t="shared" si="29"/>
        <v>0.20595947031129447</v>
      </c>
    </row>
    <row r="346" spans="1:16" ht="19.95" customHeight="1">
      <c r="A346" s="49">
        <v>371</v>
      </c>
      <c r="B346" s="50" t="s">
        <v>225</v>
      </c>
      <c r="C346" s="51" t="s">
        <v>16</v>
      </c>
      <c r="D346" s="51" t="s">
        <v>228</v>
      </c>
      <c r="E346" s="52">
        <v>1717776000</v>
      </c>
      <c r="F346" s="52">
        <v>626206000</v>
      </c>
      <c r="G346" s="52">
        <v>683115000</v>
      </c>
      <c r="H346" s="52">
        <v>66259000</v>
      </c>
      <c r="I346" s="52">
        <v>35710000</v>
      </c>
      <c r="J346" s="51" t="s">
        <v>37</v>
      </c>
      <c r="K346" s="51" t="s">
        <v>227</v>
      </c>
      <c r="L346" s="41">
        <f t="shared" si="25"/>
        <v>1091570000</v>
      </c>
      <c r="M346" s="41">
        <f t="shared" si="26"/>
        <v>785084000</v>
      </c>
      <c r="N346" s="41">
        <f t="shared" si="27"/>
        <v>306486000</v>
      </c>
      <c r="O346" s="41">
        <f t="shared" si="28"/>
        <v>0.54296485688471607</v>
      </c>
      <c r="P346" s="41">
        <f t="shared" si="29"/>
        <v>0.17842023639869226</v>
      </c>
    </row>
    <row r="347" spans="1:16" ht="19.95" customHeight="1">
      <c r="A347" s="49">
        <v>372</v>
      </c>
      <c r="B347" s="50" t="s">
        <v>225</v>
      </c>
      <c r="C347" s="51" t="s">
        <v>18</v>
      </c>
      <c r="D347" s="51" t="s">
        <v>57</v>
      </c>
      <c r="E347" s="52">
        <v>1797060000</v>
      </c>
      <c r="F347" s="52">
        <v>726798000</v>
      </c>
      <c r="G347" s="52">
        <v>712543000</v>
      </c>
      <c r="H347" s="52">
        <v>69589000</v>
      </c>
      <c r="I347" s="52">
        <v>51459000</v>
      </c>
      <c r="J347" s="51" t="s">
        <v>37</v>
      </c>
      <c r="K347" s="51" t="s">
        <v>227</v>
      </c>
      <c r="L347" s="41">
        <f t="shared" si="25"/>
        <v>1070262000</v>
      </c>
      <c r="M347" s="41">
        <f t="shared" si="26"/>
        <v>833591000</v>
      </c>
      <c r="N347" s="41">
        <f t="shared" si="27"/>
        <v>236671000</v>
      </c>
      <c r="O347" s="41">
        <f t="shared" si="28"/>
        <v>0.53613624475532262</v>
      </c>
      <c r="P347" s="41">
        <f t="shared" si="29"/>
        <v>0.13169899725106562</v>
      </c>
    </row>
    <row r="348" spans="1:16" ht="19.95" customHeight="1">
      <c r="A348" s="49">
        <v>373</v>
      </c>
      <c r="B348" s="50" t="s">
        <v>225</v>
      </c>
      <c r="C348" s="51" t="s">
        <v>20</v>
      </c>
      <c r="D348" s="51" t="s">
        <v>229</v>
      </c>
      <c r="E348" s="52">
        <v>1966814000</v>
      </c>
      <c r="F348" s="52">
        <v>793735000</v>
      </c>
      <c r="G348" s="52">
        <v>722798000</v>
      </c>
      <c r="H348" s="52">
        <v>65411000</v>
      </c>
      <c r="I348" s="52">
        <v>60790000</v>
      </c>
      <c r="J348" s="51" t="s">
        <v>37</v>
      </c>
      <c r="K348" s="51" t="s">
        <v>227</v>
      </c>
      <c r="L348" s="41">
        <f t="shared" si="25"/>
        <v>1173079000</v>
      </c>
      <c r="M348" s="41">
        <f t="shared" si="26"/>
        <v>848999000</v>
      </c>
      <c r="N348" s="41">
        <f t="shared" si="27"/>
        <v>324080000</v>
      </c>
      <c r="O348" s="41">
        <f t="shared" si="28"/>
        <v>0.56833793129396071</v>
      </c>
      <c r="P348" s="41">
        <f t="shared" si="29"/>
        <v>0.16477409658462874</v>
      </c>
    </row>
    <row r="349" spans="1:16" ht="19.95" customHeight="1">
      <c r="A349" s="49">
        <v>374</v>
      </c>
      <c r="B349" s="50" t="s">
        <v>230</v>
      </c>
      <c r="C349" s="51" t="s">
        <v>11</v>
      </c>
      <c r="D349" s="51" t="s">
        <v>231</v>
      </c>
      <c r="E349" s="52">
        <v>1051560000</v>
      </c>
      <c r="F349" s="52">
        <v>91948000000</v>
      </c>
      <c r="G349" s="52">
        <v>10104000000</v>
      </c>
      <c r="H349" s="52" t="s">
        <v>757</v>
      </c>
      <c r="I349" s="52" t="s">
        <v>757</v>
      </c>
      <c r="J349" s="51" t="s">
        <v>60</v>
      </c>
      <c r="K349" s="51" t="s">
        <v>232</v>
      </c>
      <c r="L349" s="41">
        <f t="shared" si="25"/>
        <v>-90896440000</v>
      </c>
      <c r="M349" s="41">
        <f t="shared" si="26"/>
        <v>10104000000</v>
      </c>
      <c r="N349" s="41">
        <f t="shared" si="27"/>
        <v>-101000440000</v>
      </c>
      <c r="O349" s="41">
        <f t="shared" si="28"/>
        <v>-8.6085815360036513</v>
      </c>
      <c r="P349" s="41">
        <f t="shared" si="29"/>
        <v>-96.048195062573697</v>
      </c>
    </row>
    <row r="350" spans="1:16" ht="19.95" customHeight="1">
      <c r="A350" s="49">
        <v>375</v>
      </c>
      <c r="B350" s="50" t="s">
        <v>230</v>
      </c>
      <c r="C350" s="51" t="s">
        <v>16</v>
      </c>
      <c r="D350" s="51" t="s">
        <v>137</v>
      </c>
      <c r="E350" s="52">
        <v>112640000000</v>
      </c>
      <c r="F350" s="52">
        <v>98458000000</v>
      </c>
      <c r="G350" s="52">
        <v>10899000000</v>
      </c>
      <c r="H350" s="52" t="s">
        <v>757</v>
      </c>
      <c r="I350" s="52" t="s">
        <v>757</v>
      </c>
      <c r="J350" s="51" t="s">
        <v>60</v>
      </c>
      <c r="K350" s="51" t="s">
        <v>232</v>
      </c>
      <c r="L350" s="41">
        <f t="shared" si="25"/>
        <v>14182000000</v>
      </c>
      <c r="M350" s="41">
        <f t="shared" si="26"/>
        <v>10899000000</v>
      </c>
      <c r="N350" s="41">
        <f t="shared" si="27"/>
        <v>3283000000</v>
      </c>
      <c r="O350" s="41">
        <f t="shared" si="28"/>
        <v>0.90324041193181814</v>
      </c>
      <c r="P350" s="41">
        <f t="shared" si="29"/>
        <v>2.9145951704545453E-2</v>
      </c>
    </row>
    <row r="351" spans="1:16" ht="19.95" customHeight="1">
      <c r="A351" s="49">
        <v>376</v>
      </c>
      <c r="B351" s="50" t="s">
        <v>230</v>
      </c>
      <c r="C351" s="51" t="s">
        <v>18</v>
      </c>
      <c r="D351" s="51" t="s">
        <v>233</v>
      </c>
      <c r="E351" s="52">
        <v>116199000000</v>
      </c>
      <c r="F351" s="52">
        <v>101065000000</v>
      </c>
      <c r="G351" s="52">
        <v>11445000000</v>
      </c>
      <c r="H351" s="52" t="s">
        <v>757</v>
      </c>
      <c r="I351" s="52" t="s">
        <v>757</v>
      </c>
      <c r="J351" s="51" t="s">
        <v>60</v>
      </c>
      <c r="K351" s="51" t="s">
        <v>232</v>
      </c>
      <c r="L351" s="41">
        <f t="shared" si="25"/>
        <v>15134000000</v>
      </c>
      <c r="M351" s="41">
        <f t="shared" si="26"/>
        <v>11445000000</v>
      </c>
      <c r="N351" s="41">
        <f t="shared" si="27"/>
        <v>3689000000</v>
      </c>
      <c r="O351" s="41">
        <f t="shared" si="28"/>
        <v>0.90150517646451345</v>
      </c>
      <c r="P351" s="41">
        <f t="shared" si="29"/>
        <v>3.1747261164037553E-2</v>
      </c>
    </row>
    <row r="352" spans="1:16" ht="19.95" customHeight="1">
      <c r="A352" s="49">
        <v>377</v>
      </c>
      <c r="B352" s="50" t="s">
        <v>230</v>
      </c>
      <c r="C352" s="51" t="s">
        <v>20</v>
      </c>
      <c r="D352" s="51" t="s">
        <v>234</v>
      </c>
      <c r="E352" s="52">
        <v>118719000000</v>
      </c>
      <c r="F352" s="52">
        <v>102901000000</v>
      </c>
      <c r="G352" s="52">
        <v>12068000000</v>
      </c>
      <c r="H352" s="52" t="s">
        <v>757</v>
      </c>
      <c r="I352" s="52" t="s">
        <v>757</v>
      </c>
      <c r="J352" s="51" t="s">
        <v>60</v>
      </c>
      <c r="K352" s="51" t="s">
        <v>232</v>
      </c>
      <c r="L352" s="41">
        <f t="shared" si="25"/>
        <v>15818000000</v>
      </c>
      <c r="M352" s="41">
        <f t="shared" si="26"/>
        <v>12068000000</v>
      </c>
      <c r="N352" s="41">
        <f t="shared" si="27"/>
        <v>3750000000</v>
      </c>
      <c r="O352" s="41">
        <f t="shared" si="28"/>
        <v>0.89834820037230767</v>
      </c>
      <c r="P352" s="41">
        <f t="shared" si="29"/>
        <v>3.1587193288353167E-2</v>
      </c>
    </row>
    <row r="353" spans="1:16" ht="19.95" customHeight="1">
      <c r="A353" s="49">
        <v>378</v>
      </c>
      <c r="B353" s="50" t="s">
        <v>235</v>
      </c>
      <c r="C353" s="51" t="s">
        <v>11</v>
      </c>
      <c r="D353" s="51" t="s">
        <v>236</v>
      </c>
      <c r="E353" s="52">
        <v>1577000</v>
      </c>
      <c r="F353" s="52">
        <v>258000</v>
      </c>
      <c r="G353" s="52">
        <v>2410000</v>
      </c>
      <c r="H353" s="52">
        <v>65000</v>
      </c>
      <c r="I353" s="52" t="s">
        <v>757</v>
      </c>
      <c r="J353" s="51" t="s">
        <v>60</v>
      </c>
      <c r="K353" s="51" t="s">
        <v>237</v>
      </c>
      <c r="L353" s="41">
        <f t="shared" si="25"/>
        <v>1319000</v>
      </c>
      <c r="M353" s="41">
        <f t="shared" si="26"/>
        <v>2475000</v>
      </c>
      <c r="N353" s="41">
        <f t="shared" si="27"/>
        <v>-1156000</v>
      </c>
      <c r="O353" s="41">
        <f t="shared" si="28"/>
        <v>-0.56943563728598612</v>
      </c>
      <c r="P353" s="41">
        <f t="shared" si="29"/>
        <v>-0.73303741280913126</v>
      </c>
    </row>
    <row r="354" spans="1:16" ht="19.95" customHeight="1">
      <c r="A354" s="49">
        <v>379</v>
      </c>
      <c r="B354" s="50" t="s">
        <v>235</v>
      </c>
      <c r="C354" s="51" t="s">
        <v>16</v>
      </c>
      <c r="D354" s="51" t="s">
        <v>238</v>
      </c>
      <c r="E354" s="52">
        <v>1514000</v>
      </c>
      <c r="F354" s="52">
        <v>142000</v>
      </c>
      <c r="G354" s="52">
        <v>3940000</v>
      </c>
      <c r="H354" s="52">
        <v>30000</v>
      </c>
      <c r="I354" s="52">
        <v>163000</v>
      </c>
      <c r="J354" s="51" t="s">
        <v>60</v>
      </c>
      <c r="K354" s="51" t="s">
        <v>237</v>
      </c>
      <c r="L354" s="41">
        <f t="shared" si="25"/>
        <v>1372000</v>
      </c>
      <c r="M354" s="41">
        <f t="shared" si="26"/>
        <v>4133000</v>
      </c>
      <c r="N354" s="41">
        <f t="shared" si="27"/>
        <v>-2761000</v>
      </c>
      <c r="O354" s="41">
        <f t="shared" si="28"/>
        <v>-1.7298546895640685</v>
      </c>
      <c r="P354" s="41">
        <f t="shared" si="29"/>
        <v>-1.8236459709379129</v>
      </c>
    </row>
    <row r="355" spans="1:16" ht="19.95" customHeight="1">
      <c r="A355" s="49">
        <v>380</v>
      </c>
      <c r="B355" s="50" t="s">
        <v>235</v>
      </c>
      <c r="C355" s="51" t="s">
        <v>18</v>
      </c>
      <c r="D355" s="51" t="s">
        <v>239</v>
      </c>
      <c r="E355" s="52">
        <v>79562000</v>
      </c>
      <c r="F355" s="52">
        <v>75508000</v>
      </c>
      <c r="G355" s="52">
        <v>15359000</v>
      </c>
      <c r="H355" s="52" t="s">
        <v>757</v>
      </c>
      <c r="I355" s="52" t="s">
        <v>757</v>
      </c>
      <c r="J355" s="51" t="s">
        <v>60</v>
      </c>
      <c r="K355" s="51" t="s">
        <v>237</v>
      </c>
      <c r="L355" s="41">
        <f t="shared" si="25"/>
        <v>4054000</v>
      </c>
      <c r="M355" s="41">
        <f t="shared" si="26"/>
        <v>15359000</v>
      </c>
      <c r="N355" s="41">
        <f t="shared" si="27"/>
        <v>-11305000</v>
      </c>
      <c r="O355" s="41">
        <f t="shared" si="28"/>
        <v>0.80695558181041194</v>
      </c>
      <c r="P355" s="41">
        <f t="shared" si="29"/>
        <v>-0.14209044518740102</v>
      </c>
    </row>
    <row r="356" spans="1:16" ht="19.95" customHeight="1">
      <c r="A356" s="49">
        <v>381</v>
      </c>
      <c r="B356" s="50" t="s">
        <v>235</v>
      </c>
      <c r="C356" s="51" t="s">
        <v>20</v>
      </c>
      <c r="D356" s="51" t="s">
        <v>240</v>
      </c>
      <c r="E356" s="52">
        <v>99642000</v>
      </c>
      <c r="F356" s="52">
        <v>84477000</v>
      </c>
      <c r="G356" s="52">
        <v>25853000</v>
      </c>
      <c r="H356" s="52" t="s">
        <v>757</v>
      </c>
      <c r="I356" s="52" t="s">
        <v>757</v>
      </c>
      <c r="J356" s="51" t="s">
        <v>60</v>
      </c>
      <c r="K356" s="51" t="s">
        <v>237</v>
      </c>
      <c r="L356" s="41">
        <f t="shared" si="25"/>
        <v>15165000</v>
      </c>
      <c r="M356" s="41">
        <f t="shared" si="26"/>
        <v>25853000</v>
      </c>
      <c r="N356" s="41">
        <f t="shared" si="27"/>
        <v>-10688000</v>
      </c>
      <c r="O356" s="41">
        <f t="shared" si="28"/>
        <v>0.74054113727143167</v>
      </c>
      <c r="P356" s="41">
        <f t="shared" si="29"/>
        <v>-0.10726400513839546</v>
      </c>
    </row>
    <row r="357" spans="1:16" ht="19.95" customHeight="1">
      <c r="A357" s="49">
        <v>382</v>
      </c>
      <c r="B357" s="50" t="s">
        <v>241</v>
      </c>
      <c r="C357" s="51" t="s">
        <v>11</v>
      </c>
      <c r="D357" s="51" t="s">
        <v>242</v>
      </c>
      <c r="E357" s="52">
        <v>8052000000</v>
      </c>
      <c r="F357" s="52">
        <v>5140000000</v>
      </c>
      <c r="G357" s="52">
        <v>1653000000</v>
      </c>
      <c r="H357" s="52">
        <v>128000000</v>
      </c>
      <c r="I357" s="52" t="s">
        <v>757</v>
      </c>
      <c r="J357" s="51" t="s">
        <v>60</v>
      </c>
      <c r="K357" s="51" t="s">
        <v>173</v>
      </c>
      <c r="L357" s="41">
        <f t="shared" si="25"/>
        <v>2912000000</v>
      </c>
      <c r="M357" s="41">
        <f t="shared" si="26"/>
        <v>1781000000</v>
      </c>
      <c r="N357" s="41">
        <f t="shared" si="27"/>
        <v>1131000000</v>
      </c>
      <c r="O357" s="41">
        <f t="shared" si="28"/>
        <v>0.7788127173373075</v>
      </c>
      <c r="P357" s="41">
        <f t="shared" si="29"/>
        <v>0.14046199701937406</v>
      </c>
    </row>
    <row r="358" spans="1:16" ht="19.95" customHeight="1">
      <c r="A358" s="49">
        <v>383</v>
      </c>
      <c r="B358" s="50" t="s">
        <v>241</v>
      </c>
      <c r="C358" s="51" t="s">
        <v>16</v>
      </c>
      <c r="D358" s="51" t="s">
        <v>243</v>
      </c>
      <c r="E358" s="52">
        <v>8268000000</v>
      </c>
      <c r="F358" s="52">
        <v>5297000000</v>
      </c>
      <c r="G358" s="52">
        <v>1527000000</v>
      </c>
      <c r="H358" s="52">
        <v>122000000</v>
      </c>
      <c r="I358" s="52" t="s">
        <v>757</v>
      </c>
      <c r="J358" s="51" t="s">
        <v>60</v>
      </c>
      <c r="K358" s="51" t="s">
        <v>173</v>
      </c>
      <c r="L358" s="41">
        <f t="shared" si="25"/>
        <v>2971000000</v>
      </c>
      <c r="M358" s="41">
        <f t="shared" si="26"/>
        <v>1649000000</v>
      </c>
      <c r="N358" s="41">
        <f t="shared" si="27"/>
        <v>1322000000</v>
      </c>
      <c r="O358" s="41">
        <f t="shared" si="28"/>
        <v>0.80055636187711654</v>
      </c>
      <c r="P358" s="41">
        <f t="shared" si="29"/>
        <v>0.15989356555394291</v>
      </c>
    </row>
    <row r="359" spans="1:16" ht="19.95" customHeight="1">
      <c r="A359" s="49">
        <v>384</v>
      </c>
      <c r="B359" s="50" t="s">
        <v>241</v>
      </c>
      <c r="C359" s="51" t="s">
        <v>18</v>
      </c>
      <c r="D359" s="51" t="s">
        <v>244</v>
      </c>
      <c r="E359" s="52">
        <v>8082000000</v>
      </c>
      <c r="F359" s="52">
        <v>5300000000</v>
      </c>
      <c r="G359" s="52">
        <v>1509000000</v>
      </c>
      <c r="H359" s="52">
        <v>117000000</v>
      </c>
      <c r="I359" s="52" t="s">
        <v>757</v>
      </c>
      <c r="J359" s="51" t="s">
        <v>60</v>
      </c>
      <c r="K359" s="51" t="s">
        <v>173</v>
      </c>
      <c r="L359" s="41">
        <f t="shared" si="25"/>
        <v>2782000000</v>
      </c>
      <c r="M359" s="41">
        <f t="shared" si="26"/>
        <v>1626000000</v>
      </c>
      <c r="N359" s="41">
        <f t="shared" si="27"/>
        <v>1156000000</v>
      </c>
      <c r="O359" s="41">
        <f t="shared" si="28"/>
        <v>0.79881217520415737</v>
      </c>
      <c r="P359" s="41">
        <f t="shared" si="29"/>
        <v>0.14303390249938133</v>
      </c>
    </row>
    <row r="360" spans="1:16" ht="19.95" customHeight="1">
      <c r="A360" s="49">
        <v>385</v>
      </c>
      <c r="B360" s="50" t="s">
        <v>241</v>
      </c>
      <c r="C360" s="51" t="s">
        <v>20</v>
      </c>
      <c r="D360" s="51" t="s">
        <v>245</v>
      </c>
      <c r="E360" s="52">
        <v>7961000000</v>
      </c>
      <c r="F360" s="52">
        <v>5181000000</v>
      </c>
      <c r="G360" s="52">
        <v>1665000000</v>
      </c>
      <c r="H360" s="52">
        <v>124000000</v>
      </c>
      <c r="I360" s="52" t="s">
        <v>757</v>
      </c>
      <c r="J360" s="51" t="s">
        <v>60</v>
      </c>
      <c r="K360" s="51" t="s">
        <v>173</v>
      </c>
      <c r="L360" s="41">
        <f t="shared" si="25"/>
        <v>2780000000</v>
      </c>
      <c r="M360" s="41">
        <f t="shared" si="26"/>
        <v>1789000000</v>
      </c>
      <c r="N360" s="41">
        <f t="shared" si="27"/>
        <v>991000000</v>
      </c>
      <c r="O360" s="41">
        <f t="shared" si="28"/>
        <v>0.77527948750157016</v>
      </c>
      <c r="P360" s="41">
        <f t="shared" si="29"/>
        <v>0.12448184901394298</v>
      </c>
    </row>
    <row r="361" spans="1:16" ht="19.95" customHeight="1">
      <c r="A361" s="49">
        <v>386</v>
      </c>
      <c r="B361" s="50" t="s">
        <v>246</v>
      </c>
      <c r="C361" s="51" t="s">
        <v>11</v>
      </c>
      <c r="D361" s="51" t="s">
        <v>65</v>
      </c>
      <c r="E361" s="52">
        <v>3050195000</v>
      </c>
      <c r="F361" s="52">
        <v>683579000</v>
      </c>
      <c r="G361" s="52">
        <v>2047847000</v>
      </c>
      <c r="H361" s="52">
        <v>429479000</v>
      </c>
      <c r="I361" s="52" t="s">
        <v>757</v>
      </c>
      <c r="J361" s="51" t="s">
        <v>31</v>
      </c>
      <c r="K361" s="51" t="s">
        <v>86</v>
      </c>
      <c r="L361" s="41">
        <f t="shared" si="25"/>
        <v>2366616000</v>
      </c>
      <c r="M361" s="41">
        <f t="shared" si="26"/>
        <v>2477326000</v>
      </c>
      <c r="N361" s="41">
        <f t="shared" si="27"/>
        <v>-110710000</v>
      </c>
      <c r="O361" s="41">
        <f t="shared" si="28"/>
        <v>0.18781389386580205</v>
      </c>
      <c r="P361" s="41">
        <f t="shared" si="29"/>
        <v>-3.6296040089240193E-2</v>
      </c>
    </row>
    <row r="362" spans="1:16" ht="19.95" customHeight="1">
      <c r="A362" s="49">
        <v>387</v>
      </c>
      <c r="B362" s="50" t="s">
        <v>246</v>
      </c>
      <c r="C362" s="51" t="s">
        <v>16</v>
      </c>
      <c r="D362" s="51" t="s">
        <v>66</v>
      </c>
      <c r="E362" s="52">
        <v>4071003000</v>
      </c>
      <c r="F362" s="52">
        <v>968428000</v>
      </c>
      <c r="G362" s="52">
        <v>2764851000</v>
      </c>
      <c r="H362" s="52">
        <v>623798000</v>
      </c>
      <c r="I362" s="52" t="s">
        <v>757</v>
      </c>
      <c r="J362" s="51" t="s">
        <v>31</v>
      </c>
      <c r="K362" s="51" t="s">
        <v>86</v>
      </c>
      <c r="L362" s="41">
        <f t="shared" si="25"/>
        <v>3102575000</v>
      </c>
      <c r="M362" s="41">
        <f t="shared" si="26"/>
        <v>3388649000</v>
      </c>
      <c r="N362" s="41">
        <f t="shared" si="27"/>
        <v>-286074000</v>
      </c>
      <c r="O362" s="41">
        <f t="shared" si="28"/>
        <v>0.16761323929262639</v>
      </c>
      <c r="P362" s="41">
        <f t="shared" si="29"/>
        <v>-7.0271134656496204E-2</v>
      </c>
    </row>
    <row r="363" spans="1:16" ht="19.95" customHeight="1">
      <c r="A363" s="49">
        <v>388</v>
      </c>
      <c r="B363" s="50" t="s">
        <v>246</v>
      </c>
      <c r="C363" s="51" t="s">
        <v>18</v>
      </c>
      <c r="D363" s="51" t="s">
        <v>67</v>
      </c>
      <c r="E363" s="52">
        <v>5373586000</v>
      </c>
      <c r="F363" s="52">
        <v>1289270000</v>
      </c>
      <c r="G363" s="52">
        <v>3437032000</v>
      </c>
      <c r="H363" s="52">
        <v>792917000</v>
      </c>
      <c r="I363" s="52" t="s">
        <v>757</v>
      </c>
      <c r="J363" s="51" t="s">
        <v>31</v>
      </c>
      <c r="K363" s="51" t="s">
        <v>86</v>
      </c>
      <c r="L363" s="41">
        <f t="shared" si="25"/>
        <v>4084316000</v>
      </c>
      <c r="M363" s="41">
        <f t="shared" si="26"/>
        <v>4229949000</v>
      </c>
      <c r="N363" s="41">
        <f t="shared" si="27"/>
        <v>-145633000</v>
      </c>
      <c r="O363" s="41">
        <f t="shared" si="28"/>
        <v>0.21282566241612211</v>
      </c>
      <c r="P363" s="41">
        <f t="shared" si="29"/>
        <v>-2.7101641250368003E-2</v>
      </c>
    </row>
    <row r="364" spans="1:16" ht="19.95" customHeight="1">
      <c r="A364" s="49">
        <v>389</v>
      </c>
      <c r="B364" s="50" t="s">
        <v>246</v>
      </c>
      <c r="C364" s="51" t="s">
        <v>20</v>
      </c>
      <c r="D364" s="51" t="s">
        <v>68</v>
      </c>
      <c r="E364" s="52">
        <v>6667216000</v>
      </c>
      <c r="F364" s="52">
        <v>1654548000</v>
      </c>
      <c r="G364" s="52">
        <v>3951445000</v>
      </c>
      <c r="H364" s="52">
        <v>946300000</v>
      </c>
      <c r="I364" s="52" t="s">
        <v>757</v>
      </c>
      <c r="J364" s="51" t="s">
        <v>31</v>
      </c>
      <c r="K364" s="51" t="s">
        <v>86</v>
      </c>
      <c r="L364" s="41">
        <f t="shared" si="25"/>
        <v>5012668000</v>
      </c>
      <c r="M364" s="41">
        <f t="shared" si="26"/>
        <v>4897745000</v>
      </c>
      <c r="N364" s="41">
        <f t="shared" si="27"/>
        <v>114923000</v>
      </c>
      <c r="O364" s="41">
        <f t="shared" si="28"/>
        <v>0.26539878114043403</v>
      </c>
      <c r="P364" s="41">
        <f t="shared" si="29"/>
        <v>1.7237029668755295E-2</v>
      </c>
    </row>
    <row r="365" spans="1:16" ht="19.95" customHeight="1">
      <c r="A365" s="49">
        <v>390</v>
      </c>
      <c r="B365" s="50" t="s">
        <v>247</v>
      </c>
      <c r="C365" s="51" t="s">
        <v>11</v>
      </c>
      <c r="D365" s="51" t="s">
        <v>248</v>
      </c>
      <c r="E365" s="52">
        <v>48607000000</v>
      </c>
      <c r="F365" s="52">
        <v>19167000000</v>
      </c>
      <c r="G365" s="52">
        <v>11802000000</v>
      </c>
      <c r="H365" s="52">
        <v>5942000000</v>
      </c>
      <c r="I365" s="52">
        <v>395000000</v>
      </c>
      <c r="J365" s="51" t="s">
        <v>31</v>
      </c>
      <c r="K365" s="51" t="s">
        <v>249</v>
      </c>
      <c r="L365" s="41">
        <f t="shared" si="25"/>
        <v>29440000000</v>
      </c>
      <c r="M365" s="41">
        <f t="shared" si="26"/>
        <v>18139000000</v>
      </c>
      <c r="N365" s="41">
        <f t="shared" si="27"/>
        <v>11301000000</v>
      </c>
      <c r="O365" s="41">
        <f t="shared" si="28"/>
        <v>0.62682329705597961</v>
      </c>
      <c r="P365" s="41">
        <f t="shared" si="29"/>
        <v>0.2324973769210196</v>
      </c>
    </row>
    <row r="366" spans="1:16" ht="19.95" customHeight="1">
      <c r="A366" s="49">
        <v>391</v>
      </c>
      <c r="B366" s="50" t="s">
        <v>247</v>
      </c>
      <c r="C366" s="51" t="s">
        <v>16</v>
      </c>
      <c r="D366" s="51" t="s">
        <v>250</v>
      </c>
      <c r="E366" s="52">
        <v>47142000000</v>
      </c>
      <c r="F366" s="52">
        <v>19373000000</v>
      </c>
      <c r="G366" s="52">
        <v>11437000000</v>
      </c>
      <c r="H366" s="52">
        <v>6294000000</v>
      </c>
      <c r="I366" s="52">
        <v>275000000</v>
      </c>
      <c r="J366" s="51" t="s">
        <v>31</v>
      </c>
      <c r="K366" s="51" t="s">
        <v>249</v>
      </c>
      <c r="L366" s="41">
        <f t="shared" si="25"/>
        <v>27769000000</v>
      </c>
      <c r="M366" s="41">
        <f t="shared" si="26"/>
        <v>18006000000</v>
      </c>
      <c r="N366" s="41">
        <f t="shared" si="27"/>
        <v>9763000000</v>
      </c>
      <c r="O366" s="41">
        <f t="shared" si="28"/>
        <v>0.61804760086547028</v>
      </c>
      <c r="P366" s="41">
        <f t="shared" si="29"/>
        <v>0.20709770480675407</v>
      </c>
    </row>
    <row r="367" spans="1:16" ht="19.95" customHeight="1">
      <c r="A367" s="49">
        <v>392</v>
      </c>
      <c r="B367" s="50" t="s">
        <v>247</v>
      </c>
      <c r="C367" s="51" t="s">
        <v>18</v>
      </c>
      <c r="D367" s="51" t="s">
        <v>251</v>
      </c>
      <c r="E367" s="52">
        <v>49161000000</v>
      </c>
      <c r="F367" s="52">
        <v>19480000000</v>
      </c>
      <c r="G367" s="52">
        <v>11861000000</v>
      </c>
      <c r="H367" s="52">
        <v>6207000000</v>
      </c>
      <c r="I367" s="52">
        <v>359000000</v>
      </c>
      <c r="J367" s="51" t="s">
        <v>31</v>
      </c>
      <c r="K367" s="51" t="s">
        <v>249</v>
      </c>
      <c r="L367" s="41">
        <f t="shared" si="25"/>
        <v>29681000000</v>
      </c>
      <c r="M367" s="41">
        <f t="shared" si="26"/>
        <v>18427000000</v>
      </c>
      <c r="N367" s="41">
        <f t="shared" si="27"/>
        <v>11254000000</v>
      </c>
      <c r="O367" s="41">
        <f t="shared" si="28"/>
        <v>0.62517035861760339</v>
      </c>
      <c r="P367" s="41">
        <f t="shared" si="29"/>
        <v>0.22892129940399911</v>
      </c>
    </row>
    <row r="368" spans="1:16" ht="19.95" customHeight="1">
      <c r="A368" s="49">
        <v>393</v>
      </c>
      <c r="B368" s="50" t="s">
        <v>247</v>
      </c>
      <c r="C368" s="51" t="s">
        <v>20</v>
      </c>
      <c r="D368" s="51" t="s">
        <v>252</v>
      </c>
      <c r="E368" s="52">
        <v>49247000000</v>
      </c>
      <c r="F368" s="52">
        <v>18287000000</v>
      </c>
      <c r="G368" s="52">
        <v>11433000000</v>
      </c>
      <c r="H368" s="52">
        <v>6296000000</v>
      </c>
      <c r="I368" s="52">
        <v>303000000</v>
      </c>
      <c r="J368" s="51" t="s">
        <v>31</v>
      </c>
      <c r="K368" s="51" t="s">
        <v>249</v>
      </c>
      <c r="L368" s="41">
        <f t="shared" si="25"/>
        <v>30960000000</v>
      </c>
      <c r="M368" s="41">
        <f t="shared" si="26"/>
        <v>18032000000</v>
      </c>
      <c r="N368" s="41">
        <f t="shared" si="27"/>
        <v>12928000000</v>
      </c>
      <c r="O368" s="41">
        <f t="shared" si="28"/>
        <v>0.6338457164903446</v>
      </c>
      <c r="P368" s="41">
        <f t="shared" si="29"/>
        <v>0.26251345259609721</v>
      </c>
    </row>
    <row r="369" spans="1:16" ht="19.95" customHeight="1">
      <c r="A369" s="49">
        <v>394</v>
      </c>
      <c r="B369" s="50" t="s">
        <v>253</v>
      </c>
      <c r="C369" s="51" t="s">
        <v>11</v>
      </c>
      <c r="D369" s="51" t="s">
        <v>254</v>
      </c>
      <c r="E369" s="52">
        <v>4069746000</v>
      </c>
      <c r="F369" s="52">
        <v>3282301000</v>
      </c>
      <c r="G369" s="52">
        <v>194207000</v>
      </c>
      <c r="H369" s="52" t="s">
        <v>757</v>
      </c>
      <c r="I369" s="52">
        <v>137058000</v>
      </c>
      <c r="J369" s="51" t="s">
        <v>31</v>
      </c>
      <c r="K369" s="51" t="s">
        <v>255</v>
      </c>
      <c r="L369" s="41">
        <f t="shared" si="25"/>
        <v>787445000</v>
      </c>
      <c r="M369" s="41">
        <f t="shared" si="26"/>
        <v>331265000</v>
      </c>
      <c r="N369" s="41">
        <f t="shared" si="27"/>
        <v>456180000</v>
      </c>
      <c r="O369" s="41">
        <f t="shared" si="28"/>
        <v>0.91860302829709761</v>
      </c>
      <c r="P369" s="41">
        <f t="shared" si="29"/>
        <v>0.11209053341412462</v>
      </c>
    </row>
    <row r="370" spans="1:16" ht="19.95" customHeight="1">
      <c r="A370" s="49">
        <v>395</v>
      </c>
      <c r="B370" s="50" t="s">
        <v>253</v>
      </c>
      <c r="C370" s="51" t="s">
        <v>16</v>
      </c>
      <c r="D370" s="51" t="s">
        <v>256</v>
      </c>
      <c r="E370" s="52">
        <v>4250447000</v>
      </c>
      <c r="F370" s="52">
        <v>3575631000</v>
      </c>
      <c r="G370" s="52">
        <v>187244000</v>
      </c>
      <c r="H370" s="52" t="s">
        <v>757</v>
      </c>
      <c r="I370" s="52">
        <v>182242000</v>
      </c>
      <c r="J370" s="51" t="s">
        <v>31</v>
      </c>
      <c r="K370" s="51" t="s">
        <v>255</v>
      </c>
      <c r="L370" s="41">
        <f t="shared" si="25"/>
        <v>674816000</v>
      </c>
      <c r="M370" s="41">
        <f t="shared" si="26"/>
        <v>369486000</v>
      </c>
      <c r="N370" s="41">
        <f t="shared" si="27"/>
        <v>305330000</v>
      </c>
      <c r="O370" s="41">
        <f t="shared" si="28"/>
        <v>0.91307126050507159</v>
      </c>
      <c r="P370" s="41">
        <f t="shared" si="29"/>
        <v>7.1834797610698359E-2</v>
      </c>
    </row>
    <row r="371" spans="1:16" ht="19.95" customHeight="1">
      <c r="A371" s="49">
        <v>396</v>
      </c>
      <c r="B371" s="50" t="s">
        <v>257</v>
      </c>
      <c r="C371" s="51" t="s">
        <v>11</v>
      </c>
      <c r="D371" s="51" t="s">
        <v>17</v>
      </c>
      <c r="E371" s="52">
        <v>12026000000</v>
      </c>
      <c r="F371" s="52">
        <v>3931000000</v>
      </c>
      <c r="G371" s="52">
        <v>3518000000</v>
      </c>
      <c r="H371" s="52" t="s">
        <v>757</v>
      </c>
      <c r="I371" s="52">
        <v>1104000000</v>
      </c>
      <c r="J371" s="51" t="s">
        <v>14</v>
      </c>
      <c r="K371" s="51" t="s">
        <v>258</v>
      </c>
      <c r="L371" s="41">
        <f t="shared" si="25"/>
        <v>8095000000</v>
      </c>
      <c r="M371" s="41">
        <f t="shared" si="26"/>
        <v>4622000000</v>
      </c>
      <c r="N371" s="41">
        <f t="shared" si="27"/>
        <v>3473000000</v>
      </c>
      <c r="O371" s="41">
        <f t="shared" si="28"/>
        <v>0.61566605687676701</v>
      </c>
      <c r="P371" s="41">
        <f t="shared" si="29"/>
        <v>0.28879095293530682</v>
      </c>
    </row>
    <row r="372" spans="1:16" ht="19.95" customHeight="1">
      <c r="A372" s="49">
        <v>397</v>
      </c>
      <c r="B372" s="50" t="s">
        <v>257</v>
      </c>
      <c r="C372" s="51" t="s">
        <v>16</v>
      </c>
      <c r="D372" s="51" t="s">
        <v>259</v>
      </c>
      <c r="E372" s="52">
        <v>12669000000</v>
      </c>
      <c r="F372" s="52">
        <v>4100000000</v>
      </c>
      <c r="G372" s="52">
        <v>3805000000</v>
      </c>
      <c r="H372" s="52" t="s">
        <v>757</v>
      </c>
      <c r="I372" s="52">
        <v>1151000000</v>
      </c>
      <c r="J372" s="51" t="s">
        <v>14</v>
      </c>
      <c r="K372" s="51" t="s">
        <v>258</v>
      </c>
      <c r="L372" s="41">
        <f t="shared" si="25"/>
        <v>8569000000</v>
      </c>
      <c r="M372" s="41">
        <f t="shared" si="26"/>
        <v>4956000000</v>
      </c>
      <c r="N372" s="41">
        <f t="shared" si="27"/>
        <v>3613000000</v>
      </c>
      <c r="O372" s="41">
        <f t="shared" si="28"/>
        <v>0.60880890362301687</v>
      </c>
      <c r="P372" s="41">
        <f t="shared" si="29"/>
        <v>0.28518430815376117</v>
      </c>
    </row>
    <row r="373" spans="1:16" ht="19.95" customHeight="1">
      <c r="A373" s="49">
        <v>398</v>
      </c>
      <c r="B373" s="50" t="s">
        <v>257</v>
      </c>
      <c r="C373" s="51" t="s">
        <v>18</v>
      </c>
      <c r="D373" s="51" t="s">
        <v>260</v>
      </c>
      <c r="E373" s="52">
        <v>11811000000</v>
      </c>
      <c r="F373" s="52">
        <v>3293000000</v>
      </c>
      <c r="G373" s="52">
        <v>3726000000</v>
      </c>
      <c r="H373" s="52" t="s">
        <v>757</v>
      </c>
      <c r="I373" s="52">
        <v>1208000000</v>
      </c>
      <c r="J373" s="51" t="s">
        <v>14</v>
      </c>
      <c r="K373" s="51" t="s">
        <v>258</v>
      </c>
      <c r="L373" s="41">
        <f t="shared" si="25"/>
        <v>8518000000</v>
      </c>
      <c r="M373" s="41">
        <f t="shared" si="26"/>
        <v>4934000000</v>
      </c>
      <c r="N373" s="41">
        <f t="shared" si="27"/>
        <v>3584000000</v>
      </c>
      <c r="O373" s="41">
        <f t="shared" si="28"/>
        <v>0.58225383117432905</v>
      </c>
      <c r="P373" s="41">
        <f t="shared" si="29"/>
        <v>0.30344594022521376</v>
      </c>
    </row>
    <row r="374" spans="1:16" ht="19.95" customHeight="1">
      <c r="A374" s="49">
        <v>399</v>
      </c>
      <c r="B374" s="50" t="s">
        <v>257</v>
      </c>
      <c r="C374" s="51" t="s">
        <v>20</v>
      </c>
      <c r="D374" s="51" t="s">
        <v>261</v>
      </c>
      <c r="E374" s="52">
        <v>11069000000</v>
      </c>
      <c r="F374" s="52">
        <v>2782000000</v>
      </c>
      <c r="G374" s="52">
        <v>3597000000</v>
      </c>
      <c r="H374" s="52" t="s">
        <v>757</v>
      </c>
      <c r="I374" s="52">
        <v>1301000000</v>
      </c>
      <c r="J374" s="51" t="s">
        <v>14</v>
      </c>
      <c r="K374" s="51" t="s">
        <v>258</v>
      </c>
      <c r="L374" s="41">
        <f t="shared" si="25"/>
        <v>8287000000</v>
      </c>
      <c r="M374" s="41">
        <f t="shared" si="26"/>
        <v>4898000000</v>
      </c>
      <c r="N374" s="41">
        <f t="shared" si="27"/>
        <v>3389000000</v>
      </c>
      <c r="O374" s="41">
        <f t="shared" si="28"/>
        <v>0.5575029361279249</v>
      </c>
      <c r="P374" s="41">
        <f t="shared" si="29"/>
        <v>0.30617038576203814</v>
      </c>
    </row>
    <row r="375" spans="1:16" ht="19.95" customHeight="1">
      <c r="A375" s="49">
        <v>400</v>
      </c>
      <c r="B375" s="50" t="s">
        <v>262</v>
      </c>
      <c r="C375" s="51" t="s">
        <v>11</v>
      </c>
      <c r="D375" s="51" t="s">
        <v>263</v>
      </c>
      <c r="E375" s="52">
        <v>4245964000</v>
      </c>
      <c r="F375" s="52">
        <v>2492655000</v>
      </c>
      <c r="G375" s="52">
        <v>1187331000</v>
      </c>
      <c r="H375" s="52" t="s">
        <v>757</v>
      </c>
      <c r="I375" s="52" t="s">
        <v>757</v>
      </c>
      <c r="J375" s="51" t="s">
        <v>14</v>
      </c>
      <c r="K375" s="51" t="s">
        <v>264</v>
      </c>
      <c r="L375" s="41">
        <f t="shared" si="25"/>
        <v>1753309000</v>
      </c>
      <c r="M375" s="41">
        <f t="shared" si="26"/>
        <v>1187331000</v>
      </c>
      <c r="N375" s="41">
        <f t="shared" si="27"/>
        <v>565978000</v>
      </c>
      <c r="O375" s="41">
        <f t="shared" si="28"/>
        <v>0.72036244301647401</v>
      </c>
      <c r="P375" s="41">
        <f t="shared" si="29"/>
        <v>0.13329788005739096</v>
      </c>
    </row>
    <row r="376" spans="1:16" ht="19.95" customHeight="1">
      <c r="A376" s="49">
        <v>401</v>
      </c>
      <c r="B376" s="50" t="s">
        <v>262</v>
      </c>
      <c r="C376" s="51" t="s">
        <v>16</v>
      </c>
      <c r="D376" s="51" t="s">
        <v>265</v>
      </c>
      <c r="E376" s="52">
        <v>4193844000</v>
      </c>
      <c r="F376" s="52">
        <v>2444085000</v>
      </c>
      <c r="G376" s="52">
        <v>1147039000</v>
      </c>
      <c r="H376" s="52" t="s">
        <v>757</v>
      </c>
      <c r="I376" s="52" t="s">
        <v>757</v>
      </c>
      <c r="J376" s="51" t="s">
        <v>14</v>
      </c>
      <c r="K376" s="51" t="s">
        <v>264</v>
      </c>
      <c r="L376" s="41">
        <f t="shared" si="25"/>
        <v>1749759000</v>
      </c>
      <c r="M376" s="41">
        <f t="shared" si="26"/>
        <v>1147039000</v>
      </c>
      <c r="N376" s="41">
        <f t="shared" si="27"/>
        <v>602720000</v>
      </c>
      <c r="O376" s="41">
        <f t="shared" si="28"/>
        <v>0.72649459541175121</v>
      </c>
      <c r="P376" s="41">
        <f t="shared" si="29"/>
        <v>0.14371540763080362</v>
      </c>
    </row>
    <row r="377" spans="1:16" ht="19.95" customHeight="1">
      <c r="A377" s="49">
        <v>402</v>
      </c>
      <c r="B377" s="50" t="s">
        <v>262</v>
      </c>
      <c r="C377" s="51" t="s">
        <v>18</v>
      </c>
      <c r="D377" s="51" t="s">
        <v>175</v>
      </c>
      <c r="E377" s="52">
        <v>4476886000</v>
      </c>
      <c r="F377" s="52">
        <v>2555549000</v>
      </c>
      <c r="G377" s="52">
        <v>1224930000</v>
      </c>
      <c r="H377" s="52" t="s">
        <v>757</v>
      </c>
      <c r="I377" s="52" t="s">
        <v>757</v>
      </c>
      <c r="J377" s="51" t="s">
        <v>14</v>
      </c>
      <c r="K377" s="51" t="s">
        <v>264</v>
      </c>
      <c r="L377" s="41">
        <f t="shared" si="25"/>
        <v>1921337000</v>
      </c>
      <c r="M377" s="41">
        <f t="shared" si="26"/>
        <v>1224930000</v>
      </c>
      <c r="N377" s="41">
        <f t="shared" si="27"/>
        <v>696407000</v>
      </c>
      <c r="O377" s="41">
        <f t="shared" si="28"/>
        <v>0.72638794018878294</v>
      </c>
      <c r="P377" s="41">
        <f t="shared" si="29"/>
        <v>0.15555611646130815</v>
      </c>
    </row>
    <row r="378" spans="1:16" ht="19.95" customHeight="1">
      <c r="A378" s="49">
        <v>403</v>
      </c>
      <c r="B378" s="50" t="s">
        <v>262</v>
      </c>
      <c r="C378" s="51" t="s">
        <v>20</v>
      </c>
      <c r="D378" s="51" t="s">
        <v>266</v>
      </c>
      <c r="E378" s="52">
        <v>4905458000</v>
      </c>
      <c r="F378" s="52">
        <v>2775588000</v>
      </c>
      <c r="G378" s="52">
        <v>1348122000</v>
      </c>
      <c r="H378" s="52" t="s">
        <v>757</v>
      </c>
      <c r="I378" s="52" t="s">
        <v>757</v>
      </c>
      <c r="J378" s="51" t="s">
        <v>14</v>
      </c>
      <c r="K378" s="51" t="s">
        <v>264</v>
      </c>
      <c r="L378" s="41">
        <f t="shared" si="25"/>
        <v>2129870000</v>
      </c>
      <c r="M378" s="41">
        <f t="shared" si="26"/>
        <v>1348122000</v>
      </c>
      <c r="N378" s="41">
        <f t="shared" si="27"/>
        <v>781748000</v>
      </c>
      <c r="O378" s="41">
        <f t="shared" si="28"/>
        <v>0.72517917796870346</v>
      </c>
      <c r="P378" s="41">
        <f t="shared" si="29"/>
        <v>0.15936289740937543</v>
      </c>
    </row>
    <row r="379" spans="1:16" ht="19.95" customHeight="1">
      <c r="A379" s="49">
        <v>404</v>
      </c>
      <c r="B379" s="50" t="s">
        <v>267</v>
      </c>
      <c r="C379" s="51" t="s">
        <v>11</v>
      </c>
      <c r="D379" s="51" t="s">
        <v>12</v>
      </c>
      <c r="E379" s="52">
        <v>18376000000</v>
      </c>
      <c r="F379" s="52">
        <v>7639000000</v>
      </c>
      <c r="G379" s="52">
        <v>3244000000</v>
      </c>
      <c r="H379" s="52" t="s">
        <v>757</v>
      </c>
      <c r="I379" s="52">
        <v>4780000000</v>
      </c>
      <c r="J379" s="51" t="s">
        <v>268</v>
      </c>
      <c r="K379" s="51" t="s">
        <v>269</v>
      </c>
      <c r="L379" s="41">
        <f t="shared" si="25"/>
        <v>10737000000</v>
      </c>
      <c r="M379" s="41">
        <f t="shared" si="26"/>
        <v>8024000000</v>
      </c>
      <c r="N379" s="41">
        <f t="shared" si="27"/>
        <v>2713000000</v>
      </c>
      <c r="O379" s="41">
        <f t="shared" si="28"/>
        <v>0.56334349151066609</v>
      </c>
      <c r="P379" s="41">
        <f t="shared" si="29"/>
        <v>0.14763822377013497</v>
      </c>
    </row>
    <row r="380" spans="1:16" ht="19.95" customHeight="1">
      <c r="A380" s="49">
        <v>405</v>
      </c>
      <c r="B380" s="50" t="s">
        <v>267</v>
      </c>
      <c r="C380" s="51" t="s">
        <v>16</v>
      </c>
      <c r="D380" s="51" t="s">
        <v>17</v>
      </c>
      <c r="E380" s="52">
        <v>18095000000</v>
      </c>
      <c r="F380" s="52">
        <v>7507000000</v>
      </c>
      <c r="G380" s="52">
        <v>3502000000</v>
      </c>
      <c r="H380" s="52" t="s">
        <v>757</v>
      </c>
      <c r="I380" s="52">
        <v>4541000000</v>
      </c>
      <c r="J380" s="51" t="s">
        <v>268</v>
      </c>
      <c r="K380" s="51" t="s">
        <v>269</v>
      </c>
      <c r="L380" s="41">
        <f t="shared" si="25"/>
        <v>10588000000</v>
      </c>
      <c r="M380" s="41">
        <f t="shared" si="26"/>
        <v>8043000000</v>
      </c>
      <c r="N380" s="41">
        <f t="shared" si="27"/>
        <v>2545000000</v>
      </c>
      <c r="O380" s="41">
        <f t="shared" si="28"/>
        <v>0.55551257253384911</v>
      </c>
      <c r="P380" s="41">
        <f t="shared" si="29"/>
        <v>0.14064658745509809</v>
      </c>
    </row>
    <row r="381" spans="1:16" ht="19.95" customHeight="1">
      <c r="A381" s="49">
        <v>406</v>
      </c>
      <c r="B381" s="50" t="s">
        <v>267</v>
      </c>
      <c r="C381" s="51" t="s">
        <v>18</v>
      </c>
      <c r="D381" s="51" t="s">
        <v>19</v>
      </c>
      <c r="E381" s="52">
        <v>18031000000</v>
      </c>
      <c r="F381" s="52">
        <v>7846000000</v>
      </c>
      <c r="G381" s="52">
        <v>3347000000</v>
      </c>
      <c r="H381" s="52" t="s">
        <v>757</v>
      </c>
      <c r="I381" s="52">
        <v>4428000000</v>
      </c>
      <c r="J381" s="51" t="s">
        <v>268</v>
      </c>
      <c r="K381" s="51" t="s">
        <v>269</v>
      </c>
      <c r="L381" s="41">
        <f t="shared" si="25"/>
        <v>10185000000</v>
      </c>
      <c r="M381" s="41">
        <f t="shared" si="26"/>
        <v>7775000000</v>
      </c>
      <c r="N381" s="41">
        <f t="shared" si="27"/>
        <v>2410000000</v>
      </c>
      <c r="O381" s="41">
        <f t="shared" si="28"/>
        <v>0.56879818091065393</v>
      </c>
      <c r="P381" s="41">
        <f t="shared" si="29"/>
        <v>0.1336586989074372</v>
      </c>
    </row>
    <row r="382" spans="1:16" ht="19.95" customHeight="1">
      <c r="A382" s="49">
        <v>407</v>
      </c>
      <c r="B382" s="50" t="s">
        <v>267</v>
      </c>
      <c r="C382" s="51" t="s">
        <v>20</v>
      </c>
      <c r="D382" s="51" t="s">
        <v>21</v>
      </c>
      <c r="E382" s="52">
        <v>17900000000</v>
      </c>
      <c r="F382" s="52">
        <v>7778000000</v>
      </c>
      <c r="G382" s="52">
        <v>3328000000</v>
      </c>
      <c r="H382" s="52" t="s">
        <v>757</v>
      </c>
      <c r="I382" s="52">
        <v>4189000000</v>
      </c>
      <c r="J382" s="51" t="s">
        <v>268</v>
      </c>
      <c r="K382" s="51" t="s">
        <v>269</v>
      </c>
      <c r="L382" s="41">
        <f t="shared" si="25"/>
        <v>10122000000</v>
      </c>
      <c r="M382" s="41">
        <f t="shared" si="26"/>
        <v>7517000000</v>
      </c>
      <c r="N382" s="41">
        <f t="shared" si="27"/>
        <v>2605000000</v>
      </c>
      <c r="O382" s="41">
        <f t="shared" si="28"/>
        <v>0.58005586592178771</v>
      </c>
      <c r="P382" s="41">
        <f t="shared" si="29"/>
        <v>0.14553072625698324</v>
      </c>
    </row>
    <row r="383" spans="1:16" ht="19.95" customHeight="1">
      <c r="A383" s="49">
        <v>408</v>
      </c>
      <c r="B383" s="50" t="s">
        <v>270</v>
      </c>
      <c r="C383" s="51" t="s">
        <v>11</v>
      </c>
      <c r="D383" s="51" t="s">
        <v>12</v>
      </c>
      <c r="E383" s="52">
        <v>7346472000</v>
      </c>
      <c r="F383" s="52">
        <v>4278241000</v>
      </c>
      <c r="G383" s="52">
        <v>1557646000</v>
      </c>
      <c r="H383" s="52" t="s">
        <v>757</v>
      </c>
      <c r="I383" s="52">
        <v>149089000</v>
      </c>
      <c r="J383" s="51" t="s">
        <v>31</v>
      </c>
      <c r="K383" s="51" t="s">
        <v>255</v>
      </c>
      <c r="L383" s="41">
        <f t="shared" si="25"/>
        <v>3068231000</v>
      </c>
      <c r="M383" s="41">
        <f t="shared" si="26"/>
        <v>1706735000</v>
      </c>
      <c r="N383" s="41">
        <f t="shared" si="27"/>
        <v>1361496000</v>
      </c>
      <c r="O383" s="41">
        <f t="shared" si="28"/>
        <v>0.7676796426910768</v>
      </c>
      <c r="P383" s="41">
        <f t="shared" si="29"/>
        <v>0.18532650774412535</v>
      </c>
    </row>
    <row r="384" spans="1:16" ht="19.95" customHeight="1">
      <c r="A384" s="49">
        <v>409</v>
      </c>
      <c r="B384" s="50" t="s">
        <v>270</v>
      </c>
      <c r="C384" s="51" t="s">
        <v>16</v>
      </c>
      <c r="D384" s="51" t="s">
        <v>17</v>
      </c>
      <c r="E384" s="52">
        <v>8843200000</v>
      </c>
      <c r="F384" s="52">
        <v>5265500000</v>
      </c>
      <c r="G384" s="52">
        <v>1727600000</v>
      </c>
      <c r="H384" s="52" t="s">
        <v>757</v>
      </c>
      <c r="I384" s="52">
        <v>172200000</v>
      </c>
      <c r="J384" s="51" t="s">
        <v>31</v>
      </c>
      <c r="K384" s="51" t="s">
        <v>255</v>
      </c>
      <c r="L384" s="41">
        <f t="shared" si="25"/>
        <v>3577700000</v>
      </c>
      <c r="M384" s="41">
        <f t="shared" si="26"/>
        <v>1899800000</v>
      </c>
      <c r="N384" s="41">
        <f t="shared" si="27"/>
        <v>1677900000</v>
      </c>
      <c r="O384" s="41">
        <f t="shared" si="28"/>
        <v>0.78516826488149083</v>
      </c>
      <c r="P384" s="41">
        <f t="shared" si="29"/>
        <v>0.18973900850370906</v>
      </c>
    </row>
    <row r="385" spans="1:16" ht="19.95" customHeight="1">
      <c r="A385" s="49">
        <v>410</v>
      </c>
      <c r="B385" s="50" t="s">
        <v>270</v>
      </c>
      <c r="C385" s="51" t="s">
        <v>18</v>
      </c>
      <c r="D385" s="51" t="s">
        <v>19</v>
      </c>
      <c r="E385" s="52">
        <v>10262700000</v>
      </c>
      <c r="F385" s="52">
        <v>6141100000</v>
      </c>
      <c r="G385" s="52">
        <v>2037000000</v>
      </c>
      <c r="H385" s="52" t="s">
        <v>757</v>
      </c>
      <c r="I385" s="52">
        <v>199700000</v>
      </c>
      <c r="J385" s="51" t="s">
        <v>31</v>
      </c>
      <c r="K385" s="51" t="s">
        <v>255</v>
      </c>
      <c r="L385" s="41">
        <f t="shared" si="25"/>
        <v>4121600000</v>
      </c>
      <c r="M385" s="41">
        <f t="shared" si="26"/>
        <v>2236700000</v>
      </c>
      <c r="N385" s="41">
        <f t="shared" si="27"/>
        <v>1884900000</v>
      </c>
      <c r="O385" s="41">
        <f t="shared" si="28"/>
        <v>0.78205540452317612</v>
      </c>
      <c r="P385" s="41">
        <f t="shared" si="29"/>
        <v>0.18366511736677482</v>
      </c>
    </row>
    <row r="386" spans="1:16" ht="19.95" customHeight="1">
      <c r="A386" s="49">
        <v>411</v>
      </c>
      <c r="B386" s="50" t="s">
        <v>270</v>
      </c>
      <c r="C386" s="51" t="s">
        <v>20</v>
      </c>
      <c r="D386" s="51" t="s">
        <v>21</v>
      </c>
      <c r="E386" s="52">
        <v>12416000000</v>
      </c>
      <c r="F386" s="52">
        <v>7440200000</v>
      </c>
      <c r="G386" s="52">
        <v>2508600000</v>
      </c>
      <c r="H386" s="52" t="s">
        <v>757</v>
      </c>
      <c r="I386" s="52">
        <v>325200000</v>
      </c>
      <c r="J386" s="51" t="s">
        <v>31</v>
      </c>
      <c r="K386" s="51" t="s">
        <v>255</v>
      </c>
      <c r="L386" s="41">
        <f t="shared" si="25"/>
        <v>4975800000</v>
      </c>
      <c r="M386" s="41">
        <f t="shared" si="26"/>
        <v>2833800000</v>
      </c>
      <c r="N386" s="41">
        <f t="shared" si="27"/>
        <v>2142000000</v>
      </c>
      <c r="O386" s="41">
        <f t="shared" si="28"/>
        <v>0.77176224226804124</v>
      </c>
      <c r="P386" s="41">
        <f t="shared" si="29"/>
        <v>0.17251932989690721</v>
      </c>
    </row>
    <row r="387" spans="1:16" ht="19.95" customHeight="1">
      <c r="A387" s="49">
        <v>412</v>
      </c>
      <c r="B387" s="50" t="s">
        <v>271</v>
      </c>
      <c r="C387" s="51" t="s">
        <v>11</v>
      </c>
      <c r="D387" s="51" t="s">
        <v>17</v>
      </c>
      <c r="E387" s="52">
        <v>2918434000</v>
      </c>
      <c r="F387" s="52">
        <v>502795000</v>
      </c>
      <c r="G387" s="52">
        <v>1476916000</v>
      </c>
      <c r="H387" s="52">
        <v>516338000</v>
      </c>
      <c r="I387" s="52">
        <v>41668000</v>
      </c>
      <c r="J387" s="51" t="s">
        <v>31</v>
      </c>
      <c r="K387" s="51" t="s">
        <v>86</v>
      </c>
      <c r="L387" s="41">
        <f t="shared" ref="L387:L450" si="30">Total_Revenue-COGS</f>
        <v>2415639000</v>
      </c>
      <c r="M387" s="41">
        <f t="shared" ref="M387:M450" si="31">SGAA+RandD+OOI</f>
        <v>2034922000</v>
      </c>
      <c r="N387" s="41">
        <f t="shared" ref="N387:N450" si="32">Gross_Profit-Total_Operating_Expenses</f>
        <v>380717000</v>
      </c>
      <c r="O387" s="41">
        <f t="shared" ref="O387:O450" si="33">1-(Total_Operating_Expenses/Total_Revenue)</f>
        <v>0.30273495991343302</v>
      </c>
      <c r="P387" s="41">
        <f t="shared" ref="P387:P450" si="34">Operating_Profit/Total_Revenue</f>
        <v>0.13045249609893525</v>
      </c>
    </row>
    <row r="388" spans="1:16" ht="19.95" customHeight="1">
      <c r="A388" s="49">
        <v>413</v>
      </c>
      <c r="B388" s="50" t="s">
        <v>271</v>
      </c>
      <c r="C388" s="51" t="s">
        <v>16</v>
      </c>
      <c r="D388" s="51" t="s">
        <v>19</v>
      </c>
      <c r="E388" s="52">
        <v>3142856000</v>
      </c>
      <c r="F388" s="52">
        <v>620219000</v>
      </c>
      <c r="G388" s="52">
        <v>1600187000</v>
      </c>
      <c r="H388" s="52">
        <v>553817000</v>
      </c>
      <c r="I388" s="52">
        <v>39577000</v>
      </c>
      <c r="J388" s="51" t="s">
        <v>31</v>
      </c>
      <c r="K388" s="51" t="s">
        <v>86</v>
      </c>
      <c r="L388" s="41">
        <f t="shared" si="30"/>
        <v>2522637000</v>
      </c>
      <c r="M388" s="41">
        <f t="shared" si="31"/>
        <v>2193581000</v>
      </c>
      <c r="N388" s="41">
        <f t="shared" si="32"/>
        <v>329056000</v>
      </c>
      <c r="O388" s="41">
        <f t="shared" si="33"/>
        <v>0.30204215528805645</v>
      </c>
      <c r="P388" s="41">
        <f t="shared" si="34"/>
        <v>0.10469967443624525</v>
      </c>
    </row>
    <row r="389" spans="1:16" ht="19.95" customHeight="1">
      <c r="A389" s="49">
        <v>414</v>
      </c>
      <c r="B389" s="50" t="s">
        <v>271</v>
      </c>
      <c r="C389" s="51" t="s">
        <v>18</v>
      </c>
      <c r="D389" s="51" t="s">
        <v>21</v>
      </c>
      <c r="E389" s="52">
        <v>3275594000</v>
      </c>
      <c r="F389" s="52">
        <v>614364000</v>
      </c>
      <c r="G389" s="52">
        <v>1538027000</v>
      </c>
      <c r="H389" s="52">
        <v>563975000</v>
      </c>
      <c r="I389" s="52">
        <v>41595000</v>
      </c>
      <c r="J389" s="51" t="s">
        <v>31</v>
      </c>
      <c r="K389" s="51" t="s">
        <v>86</v>
      </c>
      <c r="L389" s="41">
        <f t="shared" si="30"/>
        <v>2661230000</v>
      </c>
      <c r="M389" s="41">
        <f t="shared" si="31"/>
        <v>2143597000</v>
      </c>
      <c r="N389" s="41">
        <f t="shared" si="32"/>
        <v>517633000</v>
      </c>
      <c r="O389" s="41">
        <f t="shared" si="33"/>
        <v>0.34558525873475165</v>
      </c>
      <c r="P389" s="41">
        <f t="shared" si="34"/>
        <v>0.1580272158271141</v>
      </c>
    </row>
    <row r="390" spans="1:16" ht="19.95" customHeight="1">
      <c r="A390" s="49">
        <v>415</v>
      </c>
      <c r="B390" s="50" t="s">
        <v>271</v>
      </c>
      <c r="C390" s="51" t="s">
        <v>20</v>
      </c>
      <c r="D390" s="51" t="s">
        <v>84</v>
      </c>
      <c r="E390" s="52">
        <v>3418265000</v>
      </c>
      <c r="F390" s="52">
        <v>559541000</v>
      </c>
      <c r="G390" s="52">
        <v>1620006000</v>
      </c>
      <c r="H390" s="52">
        <v>489265000</v>
      </c>
      <c r="I390" s="52">
        <v>29173000</v>
      </c>
      <c r="J390" s="51" t="s">
        <v>31</v>
      </c>
      <c r="K390" s="51" t="s">
        <v>86</v>
      </c>
      <c r="L390" s="41">
        <f t="shared" si="30"/>
        <v>2858724000</v>
      </c>
      <c r="M390" s="41">
        <f t="shared" si="31"/>
        <v>2138444000</v>
      </c>
      <c r="N390" s="41">
        <f t="shared" si="32"/>
        <v>720280000</v>
      </c>
      <c r="O390" s="41">
        <f t="shared" si="33"/>
        <v>0.37440660686049798</v>
      </c>
      <c r="P390" s="41">
        <f t="shared" si="34"/>
        <v>0.21071508499194766</v>
      </c>
    </row>
    <row r="391" spans="1:16" ht="19.95" customHeight="1">
      <c r="A391" s="49">
        <v>416</v>
      </c>
      <c r="B391" s="50" t="s">
        <v>272</v>
      </c>
      <c r="C391" s="51" t="s">
        <v>11</v>
      </c>
      <c r="D391" s="51" t="s">
        <v>17</v>
      </c>
      <c r="E391" s="52">
        <v>1267610000</v>
      </c>
      <c r="F391" s="52">
        <v>102978000000</v>
      </c>
      <c r="G391" s="52" t="s">
        <v>757</v>
      </c>
      <c r="H391" s="52" t="s">
        <v>757</v>
      </c>
      <c r="I391" s="52" t="s">
        <v>757</v>
      </c>
      <c r="J391" s="51" t="s">
        <v>60</v>
      </c>
      <c r="K391" s="51" t="s">
        <v>273</v>
      </c>
      <c r="L391" s="41">
        <f t="shared" si="30"/>
        <v>-101710390000</v>
      </c>
      <c r="M391" s="41">
        <f t="shared" si="31"/>
        <v>0</v>
      </c>
      <c r="N391" s="41">
        <f t="shared" si="32"/>
        <v>-101710390000</v>
      </c>
      <c r="O391" s="41">
        <f t="shared" si="33"/>
        <v>1</v>
      </c>
      <c r="P391" s="41">
        <f t="shared" si="34"/>
        <v>-80.237920180497156</v>
      </c>
    </row>
    <row r="392" spans="1:16" ht="19.95" customHeight="1">
      <c r="A392" s="49">
        <v>417</v>
      </c>
      <c r="B392" s="50" t="s">
        <v>272</v>
      </c>
      <c r="C392" s="51" t="s">
        <v>16</v>
      </c>
      <c r="D392" s="51" t="s">
        <v>19</v>
      </c>
      <c r="E392" s="52">
        <v>1393670000</v>
      </c>
      <c r="F392" s="52">
        <v>114000000000</v>
      </c>
      <c r="G392" s="52" t="s">
        <v>757</v>
      </c>
      <c r="H392" s="52" t="s">
        <v>757</v>
      </c>
      <c r="I392" s="52" t="s">
        <v>757</v>
      </c>
      <c r="J392" s="51" t="s">
        <v>60</v>
      </c>
      <c r="K392" s="51" t="s">
        <v>273</v>
      </c>
      <c r="L392" s="41">
        <f t="shared" si="30"/>
        <v>-112606330000</v>
      </c>
      <c r="M392" s="41">
        <f t="shared" si="31"/>
        <v>0</v>
      </c>
      <c r="N392" s="41">
        <f t="shared" si="32"/>
        <v>-112606330000</v>
      </c>
      <c r="O392" s="41">
        <f t="shared" si="33"/>
        <v>1</v>
      </c>
      <c r="P392" s="41">
        <f t="shared" si="34"/>
        <v>-80.798417128875556</v>
      </c>
    </row>
    <row r="393" spans="1:16" ht="19.95" customHeight="1">
      <c r="A393" s="49">
        <v>418</v>
      </c>
      <c r="B393" s="50" t="s">
        <v>272</v>
      </c>
      <c r="C393" s="51" t="s">
        <v>18</v>
      </c>
      <c r="D393" s="51" t="s">
        <v>21</v>
      </c>
      <c r="E393" s="52">
        <v>1532900000</v>
      </c>
      <c r="F393" s="52">
        <v>126762000000</v>
      </c>
      <c r="G393" s="52" t="s">
        <v>757</v>
      </c>
      <c r="H393" s="52" t="s">
        <v>757</v>
      </c>
      <c r="I393" s="52" t="s">
        <v>757</v>
      </c>
      <c r="J393" s="51" t="s">
        <v>60</v>
      </c>
      <c r="K393" s="51" t="s">
        <v>273</v>
      </c>
      <c r="L393" s="41">
        <f t="shared" si="30"/>
        <v>-125229100000</v>
      </c>
      <c r="M393" s="41">
        <f t="shared" si="31"/>
        <v>0</v>
      </c>
      <c r="N393" s="41">
        <f t="shared" si="32"/>
        <v>-125229100000</v>
      </c>
      <c r="O393" s="41">
        <f t="shared" si="33"/>
        <v>1</v>
      </c>
      <c r="P393" s="41">
        <f t="shared" si="34"/>
        <v>-81.6942396764303</v>
      </c>
    </row>
    <row r="394" spans="1:16" ht="19.95" customHeight="1">
      <c r="A394" s="49">
        <v>419</v>
      </c>
      <c r="B394" s="50" t="s">
        <v>272</v>
      </c>
      <c r="C394" s="51" t="s">
        <v>20</v>
      </c>
      <c r="D394" s="51" t="s">
        <v>84</v>
      </c>
      <c r="E394" s="52">
        <v>1775260000</v>
      </c>
      <c r="F394" s="52">
        <v>148669000000</v>
      </c>
      <c r="G394" s="52" t="s">
        <v>757</v>
      </c>
      <c r="H394" s="52" t="s">
        <v>757</v>
      </c>
      <c r="I394" s="52" t="s">
        <v>757</v>
      </c>
      <c r="J394" s="51" t="s">
        <v>60</v>
      </c>
      <c r="K394" s="51" t="s">
        <v>273</v>
      </c>
      <c r="L394" s="41">
        <f t="shared" si="30"/>
        <v>-146893740000</v>
      </c>
      <c r="M394" s="41">
        <f t="shared" si="31"/>
        <v>0</v>
      </c>
      <c r="N394" s="41">
        <f t="shared" si="32"/>
        <v>-146893740000</v>
      </c>
      <c r="O394" s="41">
        <f t="shared" si="33"/>
        <v>1</v>
      </c>
      <c r="P394" s="41">
        <f t="shared" si="34"/>
        <v>-82.744916237621538</v>
      </c>
    </row>
    <row r="395" spans="1:16" ht="19.95" customHeight="1">
      <c r="A395" s="49">
        <v>420</v>
      </c>
      <c r="B395" s="50" t="s">
        <v>274</v>
      </c>
      <c r="C395" s="51" t="s">
        <v>11</v>
      </c>
      <c r="D395" s="51" t="s">
        <v>12</v>
      </c>
      <c r="E395" s="52">
        <v>2305900000</v>
      </c>
      <c r="F395" s="52">
        <v>163336000000</v>
      </c>
      <c r="G395" s="52">
        <v>17100000000</v>
      </c>
      <c r="H395" s="52" t="s">
        <v>757</v>
      </c>
      <c r="I395" s="52">
        <v>13413000000</v>
      </c>
      <c r="J395" s="51" t="s">
        <v>116</v>
      </c>
      <c r="K395" s="51" t="s">
        <v>204</v>
      </c>
      <c r="L395" s="41">
        <f t="shared" si="30"/>
        <v>-161030100000</v>
      </c>
      <c r="M395" s="41">
        <f t="shared" si="31"/>
        <v>30513000000</v>
      </c>
      <c r="N395" s="41">
        <f t="shared" si="32"/>
        <v>-191543100000</v>
      </c>
      <c r="O395" s="41">
        <f t="shared" si="33"/>
        <v>-12.232577301704323</v>
      </c>
      <c r="P395" s="41">
        <f t="shared" si="34"/>
        <v>-83.066525001084173</v>
      </c>
    </row>
    <row r="396" spans="1:16" ht="19.95" customHeight="1">
      <c r="A396" s="53">
        <v>421</v>
      </c>
      <c r="B396" s="54" t="s">
        <v>274</v>
      </c>
      <c r="C396" s="55" t="s">
        <v>16</v>
      </c>
      <c r="D396" s="55" t="s">
        <v>17</v>
      </c>
      <c r="E396" s="56">
        <v>2201560000</v>
      </c>
      <c r="F396" s="56">
        <v>159323000000</v>
      </c>
      <c r="G396" s="56">
        <v>17573000000</v>
      </c>
      <c r="H396" s="56" t="s">
        <v>757</v>
      </c>
      <c r="I396" s="56">
        <v>14186000000</v>
      </c>
      <c r="J396" s="55" t="s">
        <v>116</v>
      </c>
      <c r="K396" s="55" t="s">
        <v>204</v>
      </c>
      <c r="L396" s="57">
        <f t="shared" si="30"/>
        <v>-157121440000</v>
      </c>
      <c r="M396" s="57">
        <f t="shared" si="31"/>
        <v>31759000000</v>
      </c>
      <c r="N396" s="57">
        <f t="shared" si="32"/>
        <v>-188880440000</v>
      </c>
      <c r="O396" s="57">
        <f t="shared" si="33"/>
        <v>-13.42567997238322</v>
      </c>
      <c r="P396" s="57">
        <f t="shared" si="34"/>
        <v>-85.793909773069998</v>
      </c>
    </row>
    <row r="397" spans="1:16" ht="19.95" customHeight="1">
      <c r="A397" s="49">
        <v>422</v>
      </c>
      <c r="B397" s="50" t="s">
        <v>274</v>
      </c>
      <c r="C397" s="51" t="s">
        <v>18</v>
      </c>
      <c r="D397" s="51" t="s">
        <v>19</v>
      </c>
      <c r="E397" s="52">
        <v>2004940000</v>
      </c>
      <c r="F397" s="52">
        <v>144956000000</v>
      </c>
      <c r="G397" s="52">
        <v>17034000000</v>
      </c>
      <c r="H397" s="52" t="s">
        <v>757</v>
      </c>
      <c r="I397" s="52">
        <v>16793000000</v>
      </c>
      <c r="J397" s="51" t="s">
        <v>116</v>
      </c>
      <c r="K397" s="51" t="s">
        <v>204</v>
      </c>
      <c r="L397" s="41">
        <f t="shared" si="30"/>
        <v>-142951060000</v>
      </c>
      <c r="M397" s="41">
        <f t="shared" si="31"/>
        <v>33827000000</v>
      </c>
      <c r="N397" s="41">
        <f t="shared" si="32"/>
        <v>-176778060000</v>
      </c>
      <c r="O397" s="41">
        <f t="shared" si="33"/>
        <v>-15.871826588326833</v>
      </c>
      <c r="P397" s="41">
        <f t="shared" si="34"/>
        <v>-88.171247019860942</v>
      </c>
    </row>
    <row r="398" spans="1:16" ht="19.95" customHeight="1">
      <c r="A398" s="49">
        <v>423</v>
      </c>
      <c r="B398" s="50" t="s">
        <v>274</v>
      </c>
      <c r="C398" s="51" t="s">
        <v>20</v>
      </c>
      <c r="D398" s="51" t="s">
        <v>21</v>
      </c>
      <c r="E398" s="52">
        <v>1299250000</v>
      </c>
      <c r="F398" s="52">
        <v>92785000000</v>
      </c>
      <c r="G398" s="52">
        <v>16473000000</v>
      </c>
      <c r="H398" s="52" t="s">
        <v>757</v>
      </c>
      <c r="I398" s="52">
        <v>21037000000</v>
      </c>
      <c r="J398" s="51" t="s">
        <v>116</v>
      </c>
      <c r="K398" s="51" t="s">
        <v>204</v>
      </c>
      <c r="L398" s="41">
        <f t="shared" si="30"/>
        <v>-91485750000</v>
      </c>
      <c r="M398" s="41">
        <f t="shared" si="31"/>
        <v>37510000000</v>
      </c>
      <c r="N398" s="41">
        <f t="shared" si="32"/>
        <v>-128995750000</v>
      </c>
      <c r="O398" s="41">
        <f t="shared" si="33"/>
        <v>-27.870502212815087</v>
      </c>
      <c r="P398" s="41">
        <f t="shared" si="34"/>
        <v>-99.284779680584947</v>
      </c>
    </row>
    <row r="399" spans="1:16" ht="19.95" customHeight="1">
      <c r="A399" s="49">
        <v>424</v>
      </c>
      <c r="B399" s="50" t="s">
        <v>275</v>
      </c>
      <c r="C399" s="51" t="s">
        <v>11</v>
      </c>
      <c r="D399" s="51" t="s">
        <v>12</v>
      </c>
      <c r="E399" s="52">
        <v>1819814000</v>
      </c>
      <c r="F399" s="52">
        <v>343743000</v>
      </c>
      <c r="G399" s="52">
        <v>133796000</v>
      </c>
      <c r="H399" s="52" t="s">
        <v>757</v>
      </c>
      <c r="I399" s="52">
        <v>579315000</v>
      </c>
      <c r="J399" s="51" t="s">
        <v>116</v>
      </c>
      <c r="K399" s="51" t="s">
        <v>117</v>
      </c>
      <c r="L399" s="41">
        <f t="shared" si="30"/>
        <v>1476071000</v>
      </c>
      <c r="M399" s="41">
        <f t="shared" si="31"/>
        <v>713111000</v>
      </c>
      <c r="N399" s="41">
        <f t="shared" si="32"/>
        <v>762960000</v>
      </c>
      <c r="O399" s="41">
        <f t="shared" si="33"/>
        <v>0.60814072207379444</v>
      </c>
      <c r="P399" s="41">
        <f t="shared" si="34"/>
        <v>0.41925163780474267</v>
      </c>
    </row>
    <row r="400" spans="1:16" ht="19.95" customHeight="1">
      <c r="A400" s="53">
        <v>425</v>
      </c>
      <c r="B400" s="54" t="s">
        <v>275</v>
      </c>
      <c r="C400" s="55" t="s">
        <v>16</v>
      </c>
      <c r="D400" s="55" t="s">
        <v>17</v>
      </c>
      <c r="E400" s="56">
        <v>2319919000</v>
      </c>
      <c r="F400" s="56">
        <v>455436000</v>
      </c>
      <c r="G400" s="56">
        <v>169815000</v>
      </c>
      <c r="H400" s="56" t="s">
        <v>757</v>
      </c>
      <c r="I400" s="56">
        <v>778655000</v>
      </c>
      <c r="J400" s="55" t="s">
        <v>116</v>
      </c>
      <c r="K400" s="55" t="s">
        <v>117</v>
      </c>
      <c r="L400" s="57">
        <f t="shared" si="30"/>
        <v>1864483000</v>
      </c>
      <c r="M400" s="57">
        <f t="shared" si="31"/>
        <v>948470000</v>
      </c>
      <c r="N400" s="57">
        <f t="shared" si="32"/>
        <v>916013000</v>
      </c>
      <c r="O400" s="57">
        <f t="shared" si="33"/>
        <v>0.59116245006829982</v>
      </c>
      <c r="P400" s="57">
        <f t="shared" si="34"/>
        <v>0.39484697526077417</v>
      </c>
    </row>
    <row r="401" spans="1:16" ht="19.95" customHeight="1">
      <c r="A401" s="49">
        <v>426</v>
      </c>
      <c r="B401" s="50" t="s">
        <v>275</v>
      </c>
      <c r="C401" s="51" t="s">
        <v>18</v>
      </c>
      <c r="D401" s="51" t="s">
        <v>19</v>
      </c>
      <c r="E401" s="52">
        <v>2660147000</v>
      </c>
      <c r="F401" s="52">
        <v>538374000</v>
      </c>
      <c r="G401" s="52">
        <v>204161000</v>
      </c>
      <c r="H401" s="52" t="s">
        <v>757</v>
      </c>
      <c r="I401" s="52">
        <v>986812000</v>
      </c>
      <c r="J401" s="51" t="s">
        <v>116</v>
      </c>
      <c r="K401" s="51" t="s">
        <v>117</v>
      </c>
      <c r="L401" s="41">
        <f t="shared" si="30"/>
        <v>2121773000</v>
      </c>
      <c r="M401" s="41">
        <f t="shared" si="31"/>
        <v>1190973000</v>
      </c>
      <c r="N401" s="41">
        <f t="shared" si="32"/>
        <v>930800000</v>
      </c>
      <c r="O401" s="41">
        <f t="shared" si="33"/>
        <v>0.5522905313127433</v>
      </c>
      <c r="P401" s="41">
        <f t="shared" si="34"/>
        <v>0.3499054751485538</v>
      </c>
    </row>
    <row r="402" spans="1:16" ht="19.95" customHeight="1">
      <c r="A402" s="49">
        <v>427</v>
      </c>
      <c r="B402" s="50" t="s">
        <v>275</v>
      </c>
      <c r="C402" s="51" t="s">
        <v>20</v>
      </c>
      <c r="D402" s="51" t="s">
        <v>21</v>
      </c>
      <c r="E402" s="52">
        <v>1803573000</v>
      </c>
      <c r="F402" s="52">
        <v>541359000</v>
      </c>
      <c r="G402" s="52">
        <v>230734000</v>
      </c>
      <c r="H402" s="52" t="s">
        <v>757</v>
      </c>
      <c r="I402" s="52">
        <v>1230853000</v>
      </c>
      <c r="J402" s="51" t="s">
        <v>116</v>
      </c>
      <c r="K402" s="51" t="s">
        <v>117</v>
      </c>
      <c r="L402" s="41">
        <f t="shared" si="30"/>
        <v>1262214000</v>
      </c>
      <c r="M402" s="41">
        <f t="shared" si="31"/>
        <v>1461587000</v>
      </c>
      <c r="N402" s="41">
        <f t="shared" si="32"/>
        <v>-199373000</v>
      </c>
      <c r="O402" s="41">
        <f t="shared" si="33"/>
        <v>0.18961583479016375</v>
      </c>
      <c r="P402" s="41">
        <f t="shared" si="34"/>
        <v>-0.11054334922955711</v>
      </c>
    </row>
    <row r="403" spans="1:16" ht="19.95" customHeight="1">
      <c r="A403" s="49">
        <v>428</v>
      </c>
      <c r="B403" s="50" t="s">
        <v>276</v>
      </c>
      <c r="C403" s="51" t="s">
        <v>11</v>
      </c>
      <c r="D403" s="51" t="s">
        <v>12</v>
      </c>
      <c r="E403" s="52">
        <v>12835000000</v>
      </c>
      <c r="F403" s="52">
        <v>8300000000</v>
      </c>
      <c r="G403" s="52">
        <v>550000000</v>
      </c>
      <c r="H403" s="52" t="s">
        <v>757</v>
      </c>
      <c r="I403" s="52">
        <v>1127000000</v>
      </c>
      <c r="J403" s="51" t="s">
        <v>70</v>
      </c>
      <c r="K403" s="51" t="s">
        <v>73</v>
      </c>
      <c r="L403" s="41">
        <f t="shared" si="30"/>
        <v>4535000000</v>
      </c>
      <c r="M403" s="41">
        <f t="shared" si="31"/>
        <v>1677000000</v>
      </c>
      <c r="N403" s="41">
        <f t="shared" si="32"/>
        <v>2858000000</v>
      </c>
      <c r="O403" s="41">
        <f t="shared" si="33"/>
        <v>0.86934164394234514</v>
      </c>
      <c r="P403" s="41">
        <f t="shared" si="34"/>
        <v>0.22267238021036229</v>
      </c>
    </row>
    <row r="404" spans="1:16" ht="19.95" customHeight="1">
      <c r="A404" s="49">
        <v>429</v>
      </c>
      <c r="B404" s="50" t="s">
        <v>276</v>
      </c>
      <c r="C404" s="51" t="s">
        <v>16</v>
      </c>
      <c r="D404" s="51" t="s">
        <v>17</v>
      </c>
      <c r="E404" s="52">
        <v>13120000000</v>
      </c>
      <c r="F404" s="52">
        <v>8033000000</v>
      </c>
      <c r="G404" s="52">
        <v>563000000</v>
      </c>
      <c r="H404" s="52" t="s">
        <v>757</v>
      </c>
      <c r="I404" s="52">
        <v>1208000000</v>
      </c>
      <c r="J404" s="51" t="s">
        <v>70</v>
      </c>
      <c r="K404" s="51" t="s">
        <v>73</v>
      </c>
      <c r="L404" s="41">
        <f t="shared" si="30"/>
        <v>5087000000</v>
      </c>
      <c r="M404" s="41">
        <f t="shared" si="31"/>
        <v>1771000000</v>
      </c>
      <c r="N404" s="41">
        <f t="shared" si="32"/>
        <v>3316000000</v>
      </c>
      <c r="O404" s="41">
        <f t="shared" si="33"/>
        <v>0.865015243902439</v>
      </c>
      <c r="P404" s="41">
        <f t="shared" si="34"/>
        <v>0.25274390243902439</v>
      </c>
    </row>
    <row r="405" spans="1:16" ht="19.95" customHeight="1">
      <c r="A405" s="49">
        <v>430</v>
      </c>
      <c r="B405" s="50" t="s">
        <v>276</v>
      </c>
      <c r="C405" s="51" t="s">
        <v>18</v>
      </c>
      <c r="D405" s="51" t="s">
        <v>19</v>
      </c>
      <c r="E405" s="52">
        <v>12436000000</v>
      </c>
      <c r="F405" s="52">
        <v>7881000000</v>
      </c>
      <c r="G405" s="52">
        <v>542000000</v>
      </c>
      <c r="H405" s="52" t="s">
        <v>757</v>
      </c>
      <c r="I405" s="52">
        <v>1292000000</v>
      </c>
      <c r="J405" s="51" t="s">
        <v>70</v>
      </c>
      <c r="K405" s="51" t="s">
        <v>73</v>
      </c>
      <c r="L405" s="41">
        <f t="shared" si="30"/>
        <v>4555000000</v>
      </c>
      <c r="M405" s="41">
        <f t="shared" si="31"/>
        <v>1834000000</v>
      </c>
      <c r="N405" s="41">
        <f t="shared" si="32"/>
        <v>2721000000</v>
      </c>
      <c r="O405" s="41">
        <f t="shared" si="33"/>
        <v>0.85252492762946286</v>
      </c>
      <c r="P405" s="41">
        <f t="shared" si="34"/>
        <v>0.21880025731746541</v>
      </c>
    </row>
    <row r="406" spans="1:16" ht="19.95" customHeight="1">
      <c r="A406" s="49">
        <v>431</v>
      </c>
      <c r="B406" s="50" t="s">
        <v>276</v>
      </c>
      <c r="C406" s="51" t="s">
        <v>20</v>
      </c>
      <c r="D406" s="51" t="s">
        <v>21</v>
      </c>
      <c r="E406" s="52">
        <v>11683000000</v>
      </c>
      <c r="F406" s="52">
        <v>6201000000</v>
      </c>
      <c r="G406" s="52">
        <v>551000000</v>
      </c>
      <c r="H406" s="52" t="s">
        <v>757</v>
      </c>
      <c r="I406" s="52">
        <v>1395000000</v>
      </c>
      <c r="J406" s="51" t="s">
        <v>70</v>
      </c>
      <c r="K406" s="51" t="s">
        <v>73</v>
      </c>
      <c r="L406" s="41">
        <f t="shared" si="30"/>
        <v>5482000000</v>
      </c>
      <c r="M406" s="41">
        <f t="shared" si="31"/>
        <v>1946000000</v>
      </c>
      <c r="N406" s="41">
        <f t="shared" si="32"/>
        <v>3536000000</v>
      </c>
      <c r="O406" s="41">
        <f t="shared" si="33"/>
        <v>0.83343319352905931</v>
      </c>
      <c r="P406" s="41">
        <f t="shared" si="34"/>
        <v>0.30266198750320977</v>
      </c>
    </row>
    <row r="407" spans="1:16" ht="19.95" customHeight="1">
      <c r="A407" s="49">
        <v>432</v>
      </c>
      <c r="B407" s="50" t="s">
        <v>277</v>
      </c>
      <c r="C407" s="51" t="s">
        <v>11</v>
      </c>
      <c r="D407" s="51" t="s">
        <v>17</v>
      </c>
      <c r="E407" s="52">
        <v>37773000000</v>
      </c>
      <c r="F407" s="52">
        <v>20964000000</v>
      </c>
      <c r="G407" s="52">
        <v>11349000000</v>
      </c>
      <c r="H407" s="52" t="s">
        <v>757</v>
      </c>
      <c r="I407" s="52">
        <v>1658000000</v>
      </c>
      <c r="J407" s="51" t="s">
        <v>14</v>
      </c>
      <c r="K407" s="51" t="s">
        <v>15</v>
      </c>
      <c r="L407" s="41">
        <f t="shared" si="30"/>
        <v>16809000000</v>
      </c>
      <c r="M407" s="41">
        <f t="shared" si="31"/>
        <v>13007000000</v>
      </c>
      <c r="N407" s="41">
        <f t="shared" si="32"/>
        <v>3802000000</v>
      </c>
      <c r="O407" s="41">
        <f t="shared" si="33"/>
        <v>0.65565350912027109</v>
      </c>
      <c r="P407" s="41">
        <f t="shared" si="34"/>
        <v>0.10065390622931723</v>
      </c>
    </row>
    <row r="408" spans="1:16" ht="19.95" customHeight="1">
      <c r="A408" s="49">
        <v>433</v>
      </c>
      <c r="B408" s="50" t="s">
        <v>277</v>
      </c>
      <c r="C408" s="51" t="s">
        <v>16</v>
      </c>
      <c r="D408" s="51" t="s">
        <v>19</v>
      </c>
      <c r="E408" s="52">
        <v>40362000000</v>
      </c>
      <c r="F408" s="52">
        <v>22967000000</v>
      </c>
      <c r="G408" s="52">
        <v>12702000000</v>
      </c>
      <c r="H408" s="52" t="s">
        <v>757</v>
      </c>
      <c r="I408" s="52">
        <v>1771000000</v>
      </c>
      <c r="J408" s="51" t="s">
        <v>14</v>
      </c>
      <c r="K408" s="51" t="s">
        <v>15</v>
      </c>
      <c r="L408" s="41">
        <f t="shared" si="30"/>
        <v>17395000000</v>
      </c>
      <c r="M408" s="41">
        <f t="shared" si="31"/>
        <v>14473000000</v>
      </c>
      <c r="N408" s="41">
        <f t="shared" si="32"/>
        <v>2922000000</v>
      </c>
      <c r="O408" s="41">
        <f t="shared" si="33"/>
        <v>0.64142014766364408</v>
      </c>
      <c r="P408" s="41">
        <f t="shared" si="34"/>
        <v>7.2394826817303401E-2</v>
      </c>
    </row>
    <row r="409" spans="1:16" ht="19.95" customHeight="1">
      <c r="A409" s="49">
        <v>434</v>
      </c>
      <c r="B409" s="50" t="s">
        <v>277</v>
      </c>
      <c r="C409" s="51" t="s">
        <v>18</v>
      </c>
      <c r="D409" s="51" t="s">
        <v>21</v>
      </c>
      <c r="E409" s="52">
        <v>40704000000</v>
      </c>
      <c r="F409" s="52">
        <v>17096000000</v>
      </c>
      <c r="G409" s="52">
        <v>13936000000</v>
      </c>
      <c r="H409" s="52" t="s">
        <v>757</v>
      </c>
      <c r="I409" s="52">
        <v>1835000000</v>
      </c>
      <c r="J409" s="51" t="s">
        <v>14</v>
      </c>
      <c r="K409" s="51" t="s">
        <v>15</v>
      </c>
      <c r="L409" s="41">
        <f t="shared" si="30"/>
        <v>23608000000</v>
      </c>
      <c r="M409" s="41">
        <f t="shared" si="31"/>
        <v>15771000000</v>
      </c>
      <c r="N409" s="41">
        <f t="shared" si="32"/>
        <v>7837000000</v>
      </c>
      <c r="O409" s="41">
        <f t="shared" si="33"/>
        <v>0.61254422169811318</v>
      </c>
      <c r="P409" s="41">
        <f t="shared" si="34"/>
        <v>0.19253636006289307</v>
      </c>
    </row>
    <row r="410" spans="1:16" ht="19.95" customHeight="1">
      <c r="A410" s="49">
        <v>435</v>
      </c>
      <c r="B410" s="50" t="s">
        <v>277</v>
      </c>
      <c r="C410" s="51" t="s">
        <v>20</v>
      </c>
      <c r="D410" s="51" t="s">
        <v>84</v>
      </c>
      <c r="E410" s="52">
        <v>39639000000</v>
      </c>
      <c r="F410" s="52">
        <v>15940000000</v>
      </c>
      <c r="G410" s="52">
        <v>14845000000</v>
      </c>
      <c r="H410" s="52" t="s">
        <v>757</v>
      </c>
      <c r="I410" s="52">
        <v>1902000000</v>
      </c>
      <c r="J410" s="51" t="s">
        <v>14</v>
      </c>
      <c r="K410" s="51" t="s">
        <v>15</v>
      </c>
      <c r="L410" s="41">
        <f t="shared" si="30"/>
        <v>23699000000</v>
      </c>
      <c r="M410" s="41">
        <f t="shared" si="31"/>
        <v>16747000000</v>
      </c>
      <c r="N410" s="41">
        <f t="shared" si="32"/>
        <v>6952000000</v>
      </c>
      <c r="O410" s="41">
        <f t="shared" si="33"/>
        <v>0.57751204621710939</v>
      </c>
      <c r="P410" s="41">
        <f t="shared" si="34"/>
        <v>0.17538283004112112</v>
      </c>
    </row>
    <row r="411" spans="1:16" ht="19.95" customHeight="1">
      <c r="A411" s="49">
        <v>436</v>
      </c>
      <c r="B411" s="50" t="s">
        <v>278</v>
      </c>
      <c r="C411" s="51" t="s">
        <v>11</v>
      </c>
      <c r="D411" s="51" t="s">
        <v>17</v>
      </c>
      <c r="E411" s="52">
        <v>28998000000</v>
      </c>
      <c r="F411" s="52">
        <v>17642000000</v>
      </c>
      <c r="G411" s="52">
        <v>6564000000</v>
      </c>
      <c r="H411" s="52">
        <v>2037000000</v>
      </c>
      <c r="I411" s="52" t="s">
        <v>757</v>
      </c>
      <c r="J411" s="51" t="s">
        <v>88</v>
      </c>
      <c r="K411" s="51" t="s">
        <v>279</v>
      </c>
      <c r="L411" s="41">
        <f t="shared" si="30"/>
        <v>11356000000</v>
      </c>
      <c r="M411" s="41">
        <f t="shared" si="31"/>
        <v>8601000000</v>
      </c>
      <c r="N411" s="41">
        <f t="shared" si="32"/>
        <v>2755000000</v>
      </c>
      <c r="O411" s="41">
        <f t="shared" si="33"/>
        <v>0.70339333747154975</v>
      </c>
      <c r="P411" s="41">
        <f t="shared" si="34"/>
        <v>9.5006552176012143E-2</v>
      </c>
    </row>
    <row r="412" spans="1:16" ht="19.95" customHeight="1">
      <c r="A412" s="49">
        <v>437</v>
      </c>
      <c r="B412" s="50" t="s">
        <v>278</v>
      </c>
      <c r="C412" s="51" t="s">
        <v>16</v>
      </c>
      <c r="D412" s="51" t="s">
        <v>19</v>
      </c>
      <c r="E412" s="52">
        <v>28406000000</v>
      </c>
      <c r="F412" s="52">
        <v>17023000000</v>
      </c>
      <c r="G412" s="52">
        <v>5536000000</v>
      </c>
      <c r="H412" s="52">
        <v>1958000000</v>
      </c>
      <c r="I412" s="52" t="s">
        <v>757</v>
      </c>
      <c r="J412" s="51" t="s">
        <v>88</v>
      </c>
      <c r="K412" s="51" t="s">
        <v>279</v>
      </c>
      <c r="L412" s="41">
        <f t="shared" si="30"/>
        <v>11383000000</v>
      </c>
      <c r="M412" s="41">
        <f t="shared" si="31"/>
        <v>7494000000</v>
      </c>
      <c r="N412" s="41">
        <f t="shared" si="32"/>
        <v>3889000000</v>
      </c>
      <c r="O412" s="41">
        <f t="shared" si="33"/>
        <v>0.73618249665563606</v>
      </c>
      <c r="P412" s="41">
        <f t="shared" si="34"/>
        <v>0.13690769555727664</v>
      </c>
    </row>
    <row r="413" spans="1:16" ht="19.95" customHeight="1">
      <c r="A413" s="49">
        <v>438</v>
      </c>
      <c r="B413" s="50" t="s">
        <v>278</v>
      </c>
      <c r="C413" s="51" t="s">
        <v>18</v>
      </c>
      <c r="D413" s="51" t="s">
        <v>21</v>
      </c>
      <c r="E413" s="52">
        <v>25130000000</v>
      </c>
      <c r="F413" s="52">
        <v>15112000000</v>
      </c>
      <c r="G413" s="52">
        <v>5074000000</v>
      </c>
      <c r="H413" s="52">
        <v>1898000000</v>
      </c>
      <c r="I413" s="52" t="s">
        <v>757</v>
      </c>
      <c r="J413" s="51" t="s">
        <v>88</v>
      </c>
      <c r="K413" s="51" t="s">
        <v>279</v>
      </c>
      <c r="L413" s="41">
        <f t="shared" si="30"/>
        <v>10018000000</v>
      </c>
      <c r="M413" s="41">
        <f t="shared" si="31"/>
        <v>6972000000</v>
      </c>
      <c r="N413" s="41">
        <f t="shared" si="32"/>
        <v>3046000000</v>
      </c>
      <c r="O413" s="41">
        <f t="shared" si="33"/>
        <v>0.72256267409470754</v>
      </c>
      <c r="P413" s="41">
        <f t="shared" si="34"/>
        <v>0.12120970951054516</v>
      </c>
    </row>
    <row r="414" spans="1:16" ht="19.95" customHeight="1">
      <c r="A414" s="49">
        <v>439</v>
      </c>
      <c r="B414" s="50" t="s">
        <v>278</v>
      </c>
      <c r="C414" s="51" t="s">
        <v>20</v>
      </c>
      <c r="D414" s="51" t="s">
        <v>84</v>
      </c>
      <c r="E414" s="52">
        <v>24594000000</v>
      </c>
      <c r="F414" s="52">
        <v>14469000000</v>
      </c>
      <c r="G414" s="52">
        <v>5005000000</v>
      </c>
      <c r="H414" s="52">
        <v>1641000000</v>
      </c>
      <c r="I414" s="52" t="s">
        <v>757</v>
      </c>
      <c r="J414" s="51" t="s">
        <v>88</v>
      </c>
      <c r="K414" s="51" t="s">
        <v>279</v>
      </c>
      <c r="L414" s="41">
        <f t="shared" si="30"/>
        <v>10125000000</v>
      </c>
      <c r="M414" s="41">
        <f t="shared" si="31"/>
        <v>6646000000</v>
      </c>
      <c r="N414" s="41">
        <f t="shared" si="32"/>
        <v>3479000000</v>
      </c>
      <c r="O414" s="41">
        <f t="shared" si="33"/>
        <v>0.72977148898105226</v>
      </c>
      <c r="P414" s="41">
        <f t="shared" si="34"/>
        <v>0.14145726599983735</v>
      </c>
    </row>
    <row r="415" spans="1:16" ht="19.95" customHeight="1">
      <c r="A415" s="49">
        <v>440</v>
      </c>
      <c r="B415" s="50" t="s">
        <v>280</v>
      </c>
      <c r="C415" s="51" t="s">
        <v>11</v>
      </c>
      <c r="D415" s="51" t="s">
        <v>226</v>
      </c>
      <c r="E415" s="52">
        <v>37795400000</v>
      </c>
      <c r="F415" s="52">
        <v>25667300000</v>
      </c>
      <c r="G415" s="52">
        <v>4426100000</v>
      </c>
      <c r="H415" s="52">
        <v>1477300000</v>
      </c>
      <c r="I415" s="52" t="s">
        <v>757</v>
      </c>
      <c r="J415" s="51" t="s">
        <v>14</v>
      </c>
      <c r="K415" s="51" t="s">
        <v>183</v>
      </c>
      <c r="L415" s="41">
        <f t="shared" si="30"/>
        <v>12128100000</v>
      </c>
      <c r="M415" s="41">
        <f t="shared" si="31"/>
        <v>5903400000</v>
      </c>
      <c r="N415" s="41">
        <f t="shared" si="32"/>
        <v>6224700000</v>
      </c>
      <c r="O415" s="41">
        <f t="shared" si="33"/>
        <v>0.84380638913730244</v>
      </c>
      <c r="P415" s="41">
        <f t="shared" si="34"/>
        <v>0.16469464538012563</v>
      </c>
    </row>
    <row r="416" spans="1:16" ht="19.95" customHeight="1">
      <c r="A416" s="49">
        <v>441</v>
      </c>
      <c r="B416" s="50" t="s">
        <v>280</v>
      </c>
      <c r="C416" s="51" t="s">
        <v>16</v>
      </c>
      <c r="D416" s="51" t="s">
        <v>228</v>
      </c>
      <c r="E416" s="52">
        <v>36066900000</v>
      </c>
      <c r="F416" s="52">
        <v>24775800000</v>
      </c>
      <c r="G416" s="52">
        <v>4377700000</v>
      </c>
      <c r="H416" s="52">
        <v>1452000000</v>
      </c>
      <c r="I416" s="52" t="s">
        <v>757</v>
      </c>
      <c r="J416" s="51" t="s">
        <v>14</v>
      </c>
      <c r="K416" s="51" t="s">
        <v>183</v>
      </c>
      <c r="L416" s="41">
        <f t="shared" si="30"/>
        <v>11291100000</v>
      </c>
      <c r="M416" s="41">
        <f t="shared" si="31"/>
        <v>5829700000</v>
      </c>
      <c r="N416" s="41">
        <f t="shared" si="32"/>
        <v>5461400000</v>
      </c>
      <c r="O416" s="41">
        <f t="shared" si="33"/>
        <v>0.83836426196873037</v>
      </c>
      <c r="P416" s="41">
        <f t="shared" si="34"/>
        <v>0.15142415899342609</v>
      </c>
    </row>
    <row r="417" spans="1:16" ht="19.95" customHeight="1">
      <c r="A417" s="49">
        <v>442</v>
      </c>
      <c r="B417" s="50" t="s">
        <v>280</v>
      </c>
      <c r="C417" s="51" t="s">
        <v>18</v>
      </c>
      <c r="D417" s="51" t="s">
        <v>57</v>
      </c>
      <c r="E417" s="52">
        <v>28862800000</v>
      </c>
      <c r="F417" s="52">
        <v>20143200000</v>
      </c>
      <c r="G417" s="52">
        <v>3834400000</v>
      </c>
      <c r="H417" s="52">
        <v>1425100000</v>
      </c>
      <c r="I417" s="52" t="s">
        <v>757</v>
      </c>
      <c r="J417" s="51" t="s">
        <v>14</v>
      </c>
      <c r="K417" s="51" t="s">
        <v>183</v>
      </c>
      <c r="L417" s="41">
        <f t="shared" si="30"/>
        <v>8719600000</v>
      </c>
      <c r="M417" s="41">
        <f t="shared" si="31"/>
        <v>5259500000</v>
      </c>
      <c r="N417" s="41">
        <f t="shared" si="32"/>
        <v>3460100000</v>
      </c>
      <c r="O417" s="41">
        <f t="shared" si="33"/>
        <v>0.81777582216555567</v>
      </c>
      <c r="P417" s="41">
        <f t="shared" si="34"/>
        <v>0.11988095403079396</v>
      </c>
    </row>
    <row r="418" spans="1:16" ht="19.95" customHeight="1">
      <c r="A418" s="49">
        <v>443</v>
      </c>
      <c r="B418" s="50" t="s">
        <v>280</v>
      </c>
      <c r="C418" s="51" t="s">
        <v>20</v>
      </c>
      <c r="D418" s="51" t="s">
        <v>229</v>
      </c>
      <c r="E418" s="52">
        <v>26644000000</v>
      </c>
      <c r="F418" s="52">
        <v>18248900000</v>
      </c>
      <c r="G418" s="52">
        <v>4018300000</v>
      </c>
      <c r="H418" s="52">
        <v>1389100000</v>
      </c>
      <c r="I418" s="52" t="s">
        <v>757</v>
      </c>
      <c r="J418" s="51" t="s">
        <v>14</v>
      </c>
      <c r="K418" s="51" t="s">
        <v>183</v>
      </c>
      <c r="L418" s="41">
        <f t="shared" si="30"/>
        <v>8395100000</v>
      </c>
      <c r="M418" s="41">
        <f t="shared" si="31"/>
        <v>5407400000</v>
      </c>
      <c r="N418" s="41">
        <f t="shared" si="32"/>
        <v>2987700000</v>
      </c>
      <c r="O418" s="41">
        <f t="shared" si="33"/>
        <v>0.79704999249361963</v>
      </c>
      <c r="P418" s="41">
        <f t="shared" si="34"/>
        <v>0.11213406395436121</v>
      </c>
    </row>
    <row r="419" spans="1:16" ht="19.95" customHeight="1">
      <c r="A419" s="49">
        <v>444</v>
      </c>
      <c r="B419" s="50" t="s">
        <v>281</v>
      </c>
      <c r="C419" s="51" t="s">
        <v>11</v>
      </c>
      <c r="D419" s="51" t="s">
        <v>282</v>
      </c>
      <c r="E419" s="52">
        <v>8984000000</v>
      </c>
      <c r="F419" s="52">
        <v>845000000</v>
      </c>
      <c r="G419" s="52">
        <v>3052000000</v>
      </c>
      <c r="H419" s="52" t="s">
        <v>757</v>
      </c>
      <c r="I419" s="52">
        <v>848000000</v>
      </c>
      <c r="J419" s="51" t="s">
        <v>75</v>
      </c>
      <c r="K419" s="51" t="s">
        <v>134</v>
      </c>
      <c r="L419" s="41">
        <f t="shared" si="30"/>
        <v>8139000000</v>
      </c>
      <c r="M419" s="41">
        <f t="shared" si="31"/>
        <v>3900000000</v>
      </c>
      <c r="N419" s="41">
        <f t="shared" si="32"/>
        <v>4239000000</v>
      </c>
      <c r="O419" s="41">
        <f t="shared" si="33"/>
        <v>0.56589492430988431</v>
      </c>
      <c r="P419" s="41">
        <f t="shared" si="34"/>
        <v>0.47183882457702581</v>
      </c>
    </row>
    <row r="420" spans="1:16" ht="19.95" customHeight="1">
      <c r="A420" s="53">
        <v>445</v>
      </c>
      <c r="B420" s="54" t="s">
        <v>281</v>
      </c>
      <c r="C420" s="55" t="s">
        <v>16</v>
      </c>
      <c r="D420" s="55" t="s">
        <v>17</v>
      </c>
      <c r="E420" s="56">
        <v>9370000000</v>
      </c>
      <c r="F420" s="56">
        <v>698000000</v>
      </c>
      <c r="G420" s="56">
        <v>3194000000</v>
      </c>
      <c r="H420" s="56" t="s">
        <v>757</v>
      </c>
      <c r="I420" s="56">
        <v>1086000000</v>
      </c>
      <c r="J420" s="55" t="s">
        <v>75</v>
      </c>
      <c r="K420" s="55" t="s">
        <v>134</v>
      </c>
      <c r="L420" s="57">
        <f t="shared" si="30"/>
        <v>8672000000</v>
      </c>
      <c r="M420" s="57">
        <f t="shared" si="31"/>
        <v>4280000000</v>
      </c>
      <c r="N420" s="57">
        <f t="shared" si="32"/>
        <v>4392000000</v>
      </c>
      <c r="O420" s="57">
        <f t="shared" si="33"/>
        <v>0.54322305229455714</v>
      </c>
      <c r="P420" s="57">
        <f t="shared" si="34"/>
        <v>0.46872998932764143</v>
      </c>
    </row>
    <row r="421" spans="1:16" ht="19.95" customHeight="1">
      <c r="A421" s="49">
        <v>446</v>
      </c>
      <c r="B421" s="50" t="s">
        <v>281</v>
      </c>
      <c r="C421" s="51" t="s">
        <v>18</v>
      </c>
      <c r="D421" s="51" t="s">
        <v>19</v>
      </c>
      <c r="E421" s="52">
        <v>9611000000</v>
      </c>
      <c r="F421" s="52">
        <v>614000000</v>
      </c>
      <c r="G421" s="52">
        <v>3340000000</v>
      </c>
      <c r="H421" s="52" t="s">
        <v>757</v>
      </c>
      <c r="I421" s="52">
        <v>1443000000</v>
      </c>
      <c r="J421" s="51" t="s">
        <v>75</v>
      </c>
      <c r="K421" s="51" t="s">
        <v>134</v>
      </c>
      <c r="L421" s="41">
        <f t="shared" si="30"/>
        <v>8997000000</v>
      </c>
      <c r="M421" s="41">
        <f t="shared" si="31"/>
        <v>4783000000</v>
      </c>
      <c r="N421" s="41">
        <f t="shared" si="32"/>
        <v>4214000000</v>
      </c>
      <c r="O421" s="41">
        <f t="shared" si="33"/>
        <v>0.5023410675267922</v>
      </c>
      <c r="P421" s="41">
        <f t="shared" si="34"/>
        <v>0.43845593590677351</v>
      </c>
    </row>
    <row r="422" spans="1:16" ht="19.95" customHeight="1">
      <c r="A422" s="49">
        <v>447</v>
      </c>
      <c r="B422" s="50" t="s">
        <v>281</v>
      </c>
      <c r="C422" s="51" t="s">
        <v>20</v>
      </c>
      <c r="D422" s="51" t="s">
        <v>21</v>
      </c>
      <c r="E422" s="52">
        <v>10002000000</v>
      </c>
      <c r="F422" s="52">
        <v>623000000</v>
      </c>
      <c r="G422" s="52">
        <v>3615000000</v>
      </c>
      <c r="H422" s="52" t="s">
        <v>757</v>
      </c>
      <c r="I422" s="52">
        <v>1512000000</v>
      </c>
      <c r="J422" s="51" t="s">
        <v>75</v>
      </c>
      <c r="K422" s="51" t="s">
        <v>134</v>
      </c>
      <c r="L422" s="41">
        <f t="shared" si="30"/>
        <v>9379000000</v>
      </c>
      <c r="M422" s="41">
        <f t="shared" si="31"/>
        <v>5127000000</v>
      </c>
      <c r="N422" s="41">
        <f t="shared" si="32"/>
        <v>4252000000</v>
      </c>
      <c r="O422" s="41">
        <f t="shared" si="33"/>
        <v>0.48740251949610081</v>
      </c>
      <c r="P422" s="41">
        <f t="shared" si="34"/>
        <v>0.4251149770045991</v>
      </c>
    </row>
    <row r="423" spans="1:16" ht="19.95" customHeight="1">
      <c r="A423" s="49">
        <v>448</v>
      </c>
      <c r="B423" s="50" t="s">
        <v>283</v>
      </c>
      <c r="C423" s="51" t="s">
        <v>11</v>
      </c>
      <c r="D423" s="51" t="s">
        <v>284</v>
      </c>
      <c r="E423" s="52">
        <v>16022128000</v>
      </c>
      <c r="F423" s="52">
        <v>10936727000</v>
      </c>
      <c r="G423" s="52">
        <v>3430125000</v>
      </c>
      <c r="H423" s="52" t="s">
        <v>757</v>
      </c>
      <c r="I423" s="52" t="s">
        <v>757</v>
      </c>
      <c r="J423" s="51" t="s">
        <v>24</v>
      </c>
      <c r="K423" s="51" t="s">
        <v>285</v>
      </c>
      <c r="L423" s="41">
        <f t="shared" si="30"/>
        <v>5085401000</v>
      </c>
      <c r="M423" s="41">
        <f t="shared" si="31"/>
        <v>3430125000</v>
      </c>
      <c r="N423" s="41">
        <f t="shared" si="32"/>
        <v>1655276000</v>
      </c>
      <c r="O423" s="41">
        <f t="shared" si="33"/>
        <v>0.78591326944835294</v>
      </c>
      <c r="P423" s="41">
        <f t="shared" si="34"/>
        <v>0.10331186968422672</v>
      </c>
    </row>
    <row r="424" spans="1:16" ht="19.95" customHeight="1">
      <c r="A424" s="49">
        <v>449</v>
      </c>
      <c r="B424" s="50" t="s">
        <v>283</v>
      </c>
      <c r="C424" s="51" t="s">
        <v>16</v>
      </c>
      <c r="D424" s="51" t="s">
        <v>66</v>
      </c>
      <c r="E424" s="52">
        <v>17504167000</v>
      </c>
      <c r="F424" s="52">
        <v>12068425000</v>
      </c>
      <c r="G424" s="52">
        <v>3699557000</v>
      </c>
      <c r="H424" s="52" t="s">
        <v>757</v>
      </c>
      <c r="I424" s="52" t="s">
        <v>757</v>
      </c>
      <c r="J424" s="51" t="s">
        <v>24</v>
      </c>
      <c r="K424" s="51" t="s">
        <v>285</v>
      </c>
      <c r="L424" s="41">
        <f t="shared" si="30"/>
        <v>5435742000</v>
      </c>
      <c r="M424" s="41">
        <f t="shared" si="31"/>
        <v>3699557000</v>
      </c>
      <c r="N424" s="41">
        <f t="shared" si="32"/>
        <v>1736185000</v>
      </c>
      <c r="O424" s="41">
        <f t="shared" si="33"/>
        <v>0.78864706900933934</v>
      </c>
      <c r="P424" s="41">
        <f t="shared" si="34"/>
        <v>9.918695359796327E-2</v>
      </c>
    </row>
    <row r="425" spans="1:16" ht="19.95" customHeight="1">
      <c r="A425" s="49">
        <v>450</v>
      </c>
      <c r="B425" s="50" t="s">
        <v>283</v>
      </c>
      <c r="C425" s="51" t="s">
        <v>18</v>
      </c>
      <c r="D425" s="51" t="s">
        <v>286</v>
      </c>
      <c r="E425" s="52">
        <v>18909588000</v>
      </c>
      <c r="F425" s="52">
        <v>13107081000</v>
      </c>
      <c r="G425" s="52">
        <v>4033414000</v>
      </c>
      <c r="H425" s="52" t="s">
        <v>757</v>
      </c>
      <c r="I425" s="52" t="s">
        <v>757</v>
      </c>
      <c r="J425" s="51" t="s">
        <v>24</v>
      </c>
      <c r="K425" s="51" t="s">
        <v>285</v>
      </c>
      <c r="L425" s="41">
        <f t="shared" si="30"/>
        <v>5802507000</v>
      </c>
      <c r="M425" s="41">
        <f t="shared" si="31"/>
        <v>4033414000</v>
      </c>
      <c r="N425" s="41">
        <f t="shared" si="32"/>
        <v>1769093000</v>
      </c>
      <c r="O425" s="41">
        <f t="shared" si="33"/>
        <v>0.78670005925036546</v>
      </c>
      <c r="P425" s="41">
        <f t="shared" si="34"/>
        <v>9.3555343458567156E-2</v>
      </c>
    </row>
    <row r="426" spans="1:16" ht="19.95" customHeight="1">
      <c r="A426" s="49">
        <v>451</v>
      </c>
      <c r="B426" s="50" t="s">
        <v>283</v>
      </c>
      <c r="C426" s="51" t="s">
        <v>20</v>
      </c>
      <c r="D426" s="51" t="s">
        <v>287</v>
      </c>
      <c r="E426" s="52">
        <v>20368562000</v>
      </c>
      <c r="F426" s="52">
        <v>14062471000</v>
      </c>
      <c r="G426" s="52">
        <v>4365797000</v>
      </c>
      <c r="H426" s="52" t="s">
        <v>757</v>
      </c>
      <c r="I426" s="52" t="s">
        <v>757</v>
      </c>
      <c r="J426" s="51" t="s">
        <v>24</v>
      </c>
      <c r="K426" s="51" t="s">
        <v>285</v>
      </c>
      <c r="L426" s="41">
        <f t="shared" si="30"/>
        <v>6306091000</v>
      </c>
      <c r="M426" s="41">
        <f t="shared" si="31"/>
        <v>4365797000</v>
      </c>
      <c r="N426" s="41">
        <f t="shared" si="32"/>
        <v>1940294000</v>
      </c>
      <c r="O426" s="41">
        <f t="shared" si="33"/>
        <v>0.78566002843008753</v>
      </c>
      <c r="P426" s="41">
        <f t="shared" si="34"/>
        <v>9.5259252960518279E-2</v>
      </c>
    </row>
    <row r="427" spans="1:16" ht="19.95" customHeight="1">
      <c r="A427" s="49">
        <v>452</v>
      </c>
      <c r="B427" s="50" t="s">
        <v>288</v>
      </c>
      <c r="C427" s="51" t="s">
        <v>11</v>
      </c>
      <c r="D427" s="51" t="s">
        <v>12</v>
      </c>
      <c r="E427" s="52">
        <v>7383000000</v>
      </c>
      <c r="F427" s="52">
        <v>4365000000</v>
      </c>
      <c r="G427" s="52">
        <v>1742000000</v>
      </c>
      <c r="H427" s="52" t="s">
        <v>757</v>
      </c>
      <c r="I427" s="52">
        <v>75000000</v>
      </c>
      <c r="J427" s="51" t="s">
        <v>37</v>
      </c>
      <c r="K427" s="51" t="s">
        <v>289</v>
      </c>
      <c r="L427" s="41">
        <f t="shared" si="30"/>
        <v>3018000000</v>
      </c>
      <c r="M427" s="41">
        <f t="shared" si="31"/>
        <v>1817000000</v>
      </c>
      <c r="N427" s="41">
        <f t="shared" si="32"/>
        <v>1201000000</v>
      </c>
      <c r="O427" s="41">
        <f t="shared" si="33"/>
        <v>0.75389408099688471</v>
      </c>
      <c r="P427" s="41">
        <f t="shared" si="34"/>
        <v>0.16267100094812406</v>
      </c>
    </row>
    <row r="428" spans="1:16" ht="19.95" customHeight="1">
      <c r="A428" s="49">
        <v>453</v>
      </c>
      <c r="B428" s="50" t="s">
        <v>288</v>
      </c>
      <c r="C428" s="51" t="s">
        <v>16</v>
      </c>
      <c r="D428" s="51" t="s">
        <v>17</v>
      </c>
      <c r="E428" s="52">
        <v>7146000000</v>
      </c>
      <c r="F428" s="52">
        <v>4326000000</v>
      </c>
      <c r="G428" s="52">
        <v>1740000000</v>
      </c>
      <c r="H428" s="52" t="s">
        <v>757</v>
      </c>
      <c r="I428" s="52">
        <v>79000000</v>
      </c>
      <c r="J428" s="51" t="s">
        <v>37</v>
      </c>
      <c r="K428" s="51" t="s">
        <v>289</v>
      </c>
      <c r="L428" s="41">
        <f t="shared" si="30"/>
        <v>2820000000</v>
      </c>
      <c r="M428" s="41">
        <f t="shared" si="31"/>
        <v>1819000000</v>
      </c>
      <c r="N428" s="41">
        <f t="shared" si="32"/>
        <v>1001000000</v>
      </c>
      <c r="O428" s="41">
        <f t="shared" si="33"/>
        <v>0.74545200111950738</v>
      </c>
      <c r="P428" s="41">
        <f t="shared" si="34"/>
        <v>0.14007836551917158</v>
      </c>
    </row>
    <row r="429" spans="1:16" ht="19.95" customHeight="1">
      <c r="A429" s="49">
        <v>454</v>
      </c>
      <c r="B429" s="50" t="s">
        <v>288</v>
      </c>
      <c r="C429" s="51" t="s">
        <v>18</v>
      </c>
      <c r="D429" s="51" t="s">
        <v>19</v>
      </c>
      <c r="E429" s="52">
        <v>7435000000</v>
      </c>
      <c r="F429" s="52">
        <v>4637000000</v>
      </c>
      <c r="G429" s="52">
        <v>1721000000</v>
      </c>
      <c r="H429" s="52" t="s">
        <v>757</v>
      </c>
      <c r="I429" s="52">
        <v>94000000</v>
      </c>
      <c r="J429" s="51" t="s">
        <v>37</v>
      </c>
      <c r="K429" s="51" t="s">
        <v>289</v>
      </c>
      <c r="L429" s="41">
        <f t="shared" si="30"/>
        <v>2798000000</v>
      </c>
      <c r="M429" s="41">
        <f t="shared" si="31"/>
        <v>1815000000</v>
      </c>
      <c r="N429" s="41">
        <f t="shared" si="32"/>
        <v>983000000</v>
      </c>
      <c r="O429" s="41">
        <f t="shared" si="33"/>
        <v>0.75588433086751849</v>
      </c>
      <c r="P429" s="41">
        <f t="shared" si="34"/>
        <v>0.13221250840618695</v>
      </c>
    </row>
    <row r="430" spans="1:16" ht="19.95" customHeight="1">
      <c r="A430" s="49">
        <v>455</v>
      </c>
      <c r="B430" s="50" t="s">
        <v>288</v>
      </c>
      <c r="C430" s="51" t="s">
        <v>20</v>
      </c>
      <c r="D430" s="51" t="s">
        <v>21</v>
      </c>
      <c r="E430" s="52">
        <v>7493000000</v>
      </c>
      <c r="F430" s="52">
        <v>4657000000</v>
      </c>
      <c r="G430" s="52">
        <v>1356000000</v>
      </c>
      <c r="H430" s="52" t="s">
        <v>757</v>
      </c>
      <c r="I430" s="52">
        <v>81000000</v>
      </c>
      <c r="J430" s="51" t="s">
        <v>37</v>
      </c>
      <c r="K430" s="51" t="s">
        <v>289</v>
      </c>
      <c r="L430" s="41">
        <f t="shared" si="30"/>
        <v>2836000000</v>
      </c>
      <c r="M430" s="41">
        <f t="shared" si="31"/>
        <v>1437000000</v>
      </c>
      <c r="N430" s="41">
        <f t="shared" si="32"/>
        <v>1399000000</v>
      </c>
      <c r="O430" s="41">
        <f t="shared" si="33"/>
        <v>0.80822100627252103</v>
      </c>
      <c r="P430" s="41">
        <f t="shared" si="34"/>
        <v>0.18670759375417056</v>
      </c>
    </row>
    <row r="431" spans="1:16" ht="19.95" customHeight="1">
      <c r="A431" s="49">
        <v>456</v>
      </c>
      <c r="B431" s="50" t="s">
        <v>290</v>
      </c>
      <c r="C431" s="51" t="s">
        <v>11</v>
      </c>
      <c r="D431" s="51" t="s">
        <v>40</v>
      </c>
      <c r="E431" s="52">
        <v>6259300000</v>
      </c>
      <c r="F431" s="52">
        <v>4853500000</v>
      </c>
      <c r="G431" s="52">
        <v>649900000</v>
      </c>
      <c r="H431" s="52" t="s">
        <v>757</v>
      </c>
      <c r="I431" s="52" t="s">
        <v>757</v>
      </c>
      <c r="J431" s="51" t="s">
        <v>24</v>
      </c>
      <c r="K431" s="51" t="s">
        <v>291</v>
      </c>
      <c r="L431" s="41">
        <f t="shared" si="30"/>
        <v>1405800000</v>
      </c>
      <c r="M431" s="41">
        <f t="shared" si="31"/>
        <v>649900000</v>
      </c>
      <c r="N431" s="41">
        <f t="shared" si="32"/>
        <v>755900000</v>
      </c>
      <c r="O431" s="41">
        <f t="shared" si="33"/>
        <v>0.89617049829853179</v>
      </c>
      <c r="P431" s="41">
        <f t="shared" si="34"/>
        <v>0.12076430271755628</v>
      </c>
    </row>
    <row r="432" spans="1:16" ht="19.95" customHeight="1">
      <c r="A432" s="49">
        <v>457</v>
      </c>
      <c r="B432" s="50" t="s">
        <v>290</v>
      </c>
      <c r="C432" s="51" t="s">
        <v>16</v>
      </c>
      <c r="D432" s="51" t="s">
        <v>42</v>
      </c>
      <c r="E432" s="52">
        <v>8024900000</v>
      </c>
      <c r="F432" s="52">
        <v>6268600000</v>
      </c>
      <c r="G432" s="52">
        <v>826900000</v>
      </c>
      <c r="H432" s="52" t="s">
        <v>757</v>
      </c>
      <c r="I432" s="52" t="s">
        <v>757</v>
      </c>
      <c r="J432" s="51" t="s">
        <v>24</v>
      </c>
      <c r="K432" s="51" t="s">
        <v>291</v>
      </c>
      <c r="L432" s="41">
        <f t="shared" si="30"/>
        <v>1756300000</v>
      </c>
      <c r="M432" s="41">
        <f t="shared" si="31"/>
        <v>826900000</v>
      </c>
      <c r="N432" s="41">
        <f t="shared" si="32"/>
        <v>929400000</v>
      </c>
      <c r="O432" s="41">
        <f t="shared" si="33"/>
        <v>0.89695821754788219</v>
      </c>
      <c r="P432" s="41">
        <f t="shared" si="34"/>
        <v>0.11581452728382909</v>
      </c>
    </row>
    <row r="433" spans="1:16" ht="19.95" customHeight="1">
      <c r="A433" s="49">
        <v>458</v>
      </c>
      <c r="B433" s="50" t="s">
        <v>290</v>
      </c>
      <c r="C433" s="51" t="s">
        <v>18</v>
      </c>
      <c r="D433" s="51" t="s">
        <v>43</v>
      </c>
      <c r="E433" s="52">
        <v>10824000000</v>
      </c>
      <c r="F433" s="52">
        <v>8535700000</v>
      </c>
      <c r="G433" s="52">
        <v>1003000000</v>
      </c>
      <c r="H433" s="52" t="s">
        <v>757</v>
      </c>
      <c r="I433" s="52" t="s">
        <v>757</v>
      </c>
      <c r="J433" s="51" t="s">
        <v>24</v>
      </c>
      <c r="K433" s="51" t="s">
        <v>291</v>
      </c>
      <c r="L433" s="41">
        <f t="shared" si="30"/>
        <v>2288300000</v>
      </c>
      <c r="M433" s="41">
        <f t="shared" si="31"/>
        <v>1003000000</v>
      </c>
      <c r="N433" s="41">
        <f t="shared" si="32"/>
        <v>1285300000</v>
      </c>
      <c r="O433" s="41">
        <f t="shared" si="33"/>
        <v>0.90733555062823357</v>
      </c>
      <c r="P433" s="41">
        <f t="shared" si="34"/>
        <v>0.11874538063562454</v>
      </c>
    </row>
    <row r="434" spans="1:16" ht="19.95" customHeight="1">
      <c r="A434" s="49">
        <v>459</v>
      </c>
      <c r="B434" s="50" t="s">
        <v>290</v>
      </c>
      <c r="C434" s="51" t="s">
        <v>20</v>
      </c>
      <c r="D434" s="51" t="s">
        <v>44</v>
      </c>
      <c r="E434" s="52">
        <v>12157400000</v>
      </c>
      <c r="F434" s="52">
        <v>9502600000</v>
      </c>
      <c r="G434" s="52">
        <v>1100300000</v>
      </c>
      <c r="H434" s="52" t="s">
        <v>757</v>
      </c>
      <c r="I434" s="52" t="s">
        <v>757</v>
      </c>
      <c r="J434" s="51" t="s">
        <v>24</v>
      </c>
      <c r="K434" s="51" t="s">
        <v>291</v>
      </c>
      <c r="L434" s="41">
        <f t="shared" si="30"/>
        <v>2654800000</v>
      </c>
      <c r="M434" s="41">
        <f t="shared" si="31"/>
        <v>1100300000</v>
      </c>
      <c r="N434" s="41">
        <f t="shared" si="32"/>
        <v>1554500000</v>
      </c>
      <c r="O434" s="41">
        <f t="shared" si="33"/>
        <v>0.90949545133005416</v>
      </c>
      <c r="P434" s="41">
        <f t="shared" si="34"/>
        <v>0.12786451050389064</v>
      </c>
    </row>
    <row r="435" spans="1:16" ht="19.95" customHeight="1">
      <c r="A435" s="49">
        <v>460</v>
      </c>
      <c r="B435" s="50" t="s">
        <v>292</v>
      </c>
      <c r="C435" s="51" t="s">
        <v>11</v>
      </c>
      <c r="D435" s="51" t="s">
        <v>12</v>
      </c>
      <c r="E435" s="52">
        <v>18260400000</v>
      </c>
      <c r="F435" s="52">
        <v>8846100000</v>
      </c>
      <c r="G435" s="52">
        <v>5181200000</v>
      </c>
      <c r="H435" s="52">
        <v>1137900000</v>
      </c>
      <c r="I435" s="52" t="s">
        <v>757</v>
      </c>
      <c r="J435" s="51" t="s">
        <v>14</v>
      </c>
      <c r="K435" s="51" t="s">
        <v>224</v>
      </c>
      <c r="L435" s="41">
        <f t="shared" si="30"/>
        <v>9414300000</v>
      </c>
      <c r="M435" s="41">
        <f t="shared" si="31"/>
        <v>6319100000</v>
      </c>
      <c r="N435" s="41">
        <f t="shared" si="32"/>
        <v>3095200000</v>
      </c>
      <c r="O435" s="41">
        <f t="shared" si="33"/>
        <v>0.65394514906573786</v>
      </c>
      <c r="P435" s="41">
        <f t="shared" si="34"/>
        <v>0.1695034062780662</v>
      </c>
    </row>
    <row r="436" spans="1:16" ht="19.95" customHeight="1">
      <c r="A436" s="49">
        <v>461</v>
      </c>
      <c r="B436" s="50" t="s">
        <v>292</v>
      </c>
      <c r="C436" s="51" t="s">
        <v>16</v>
      </c>
      <c r="D436" s="51" t="s">
        <v>17</v>
      </c>
      <c r="E436" s="52">
        <v>18283100000</v>
      </c>
      <c r="F436" s="52">
        <v>8941100000</v>
      </c>
      <c r="G436" s="52">
        <v>5117100000</v>
      </c>
      <c r="H436" s="52">
        <v>1104400000</v>
      </c>
      <c r="I436" s="52" t="s">
        <v>757</v>
      </c>
      <c r="J436" s="51" t="s">
        <v>14</v>
      </c>
      <c r="K436" s="51" t="s">
        <v>224</v>
      </c>
      <c r="L436" s="41">
        <f t="shared" si="30"/>
        <v>9342000000</v>
      </c>
      <c r="M436" s="41">
        <f t="shared" si="31"/>
        <v>6221500000</v>
      </c>
      <c r="N436" s="41">
        <f t="shared" si="32"/>
        <v>3120500000</v>
      </c>
      <c r="O436" s="41">
        <f t="shared" si="33"/>
        <v>0.65971306835274102</v>
      </c>
      <c r="P436" s="41">
        <f t="shared" si="34"/>
        <v>0.17067674519091403</v>
      </c>
    </row>
    <row r="437" spans="1:16" ht="19.95" customHeight="1">
      <c r="A437" s="49">
        <v>462</v>
      </c>
      <c r="B437" s="50" t="s">
        <v>292</v>
      </c>
      <c r="C437" s="51" t="s">
        <v>18</v>
      </c>
      <c r="D437" s="51" t="s">
        <v>19</v>
      </c>
      <c r="E437" s="52">
        <v>19154000000</v>
      </c>
      <c r="F437" s="52">
        <v>9261400000</v>
      </c>
      <c r="G437" s="52">
        <v>5389000000</v>
      </c>
      <c r="H437" s="52">
        <v>1157000000</v>
      </c>
      <c r="I437" s="52" t="s">
        <v>757</v>
      </c>
      <c r="J437" s="51" t="s">
        <v>14</v>
      </c>
      <c r="K437" s="51" t="s">
        <v>224</v>
      </c>
      <c r="L437" s="41">
        <f t="shared" si="30"/>
        <v>9892600000</v>
      </c>
      <c r="M437" s="41">
        <f t="shared" si="31"/>
        <v>6546000000</v>
      </c>
      <c r="N437" s="41">
        <f t="shared" si="32"/>
        <v>3346600000</v>
      </c>
      <c r="O437" s="41">
        <f t="shared" si="33"/>
        <v>0.65824370888587236</v>
      </c>
      <c r="P437" s="41">
        <f t="shared" si="34"/>
        <v>0.17472068497441787</v>
      </c>
    </row>
    <row r="438" spans="1:16" ht="19.95" customHeight="1">
      <c r="A438" s="49">
        <v>463</v>
      </c>
      <c r="B438" s="50" t="s">
        <v>292</v>
      </c>
      <c r="C438" s="51" t="s">
        <v>20</v>
      </c>
      <c r="D438" s="51" t="s">
        <v>21</v>
      </c>
      <c r="E438" s="52">
        <v>20563100000</v>
      </c>
      <c r="F438" s="52">
        <v>9800600000</v>
      </c>
      <c r="G438" s="52">
        <v>6054300000</v>
      </c>
      <c r="H438" s="52">
        <v>1239100000</v>
      </c>
      <c r="I438" s="52" t="s">
        <v>757</v>
      </c>
      <c r="J438" s="51" t="s">
        <v>14</v>
      </c>
      <c r="K438" s="51" t="s">
        <v>224</v>
      </c>
      <c r="L438" s="41">
        <f t="shared" si="30"/>
        <v>10762500000</v>
      </c>
      <c r="M438" s="41">
        <f t="shared" si="31"/>
        <v>7293400000</v>
      </c>
      <c r="N438" s="41">
        <f t="shared" si="32"/>
        <v>3469100000</v>
      </c>
      <c r="O438" s="41">
        <f t="shared" si="33"/>
        <v>0.64531612451429987</v>
      </c>
      <c r="P438" s="41">
        <f t="shared" si="34"/>
        <v>0.16870510769290623</v>
      </c>
    </row>
    <row r="439" spans="1:16" ht="19.95" customHeight="1">
      <c r="A439" s="49">
        <v>464</v>
      </c>
      <c r="B439" s="50" t="s">
        <v>293</v>
      </c>
      <c r="C439" s="51" t="s">
        <v>11</v>
      </c>
      <c r="D439" s="51" t="s">
        <v>30</v>
      </c>
      <c r="E439" s="52">
        <v>45041000000</v>
      </c>
      <c r="F439" s="52">
        <v>25034000000</v>
      </c>
      <c r="G439" s="52">
        <v>8365000000</v>
      </c>
      <c r="H439" s="52" t="s">
        <v>757</v>
      </c>
      <c r="I439" s="52">
        <v>2192000000</v>
      </c>
      <c r="J439" s="51" t="s">
        <v>24</v>
      </c>
      <c r="K439" s="51" t="s">
        <v>294</v>
      </c>
      <c r="L439" s="41">
        <f t="shared" si="30"/>
        <v>20007000000</v>
      </c>
      <c r="M439" s="41">
        <f t="shared" si="31"/>
        <v>10557000000</v>
      </c>
      <c r="N439" s="41">
        <f t="shared" si="32"/>
        <v>9450000000</v>
      </c>
      <c r="O439" s="41">
        <f t="shared" si="33"/>
        <v>0.76561355209697834</v>
      </c>
      <c r="P439" s="41">
        <f t="shared" si="34"/>
        <v>0.20980884083390688</v>
      </c>
    </row>
    <row r="440" spans="1:16" ht="19.95" customHeight="1">
      <c r="A440" s="49">
        <v>465</v>
      </c>
      <c r="B440" s="50" t="s">
        <v>293</v>
      </c>
      <c r="C440" s="51" t="s">
        <v>16</v>
      </c>
      <c r="D440" s="51" t="s">
        <v>33</v>
      </c>
      <c r="E440" s="52">
        <v>48813000000</v>
      </c>
      <c r="F440" s="52">
        <v>26420000000</v>
      </c>
      <c r="G440" s="52">
        <v>8565000000</v>
      </c>
      <c r="H440" s="52" t="s">
        <v>757</v>
      </c>
      <c r="I440" s="52">
        <v>2288000000</v>
      </c>
      <c r="J440" s="51" t="s">
        <v>24</v>
      </c>
      <c r="K440" s="51" t="s">
        <v>294</v>
      </c>
      <c r="L440" s="41">
        <f t="shared" si="30"/>
        <v>22393000000</v>
      </c>
      <c r="M440" s="41">
        <f t="shared" si="31"/>
        <v>10853000000</v>
      </c>
      <c r="N440" s="41">
        <f t="shared" si="32"/>
        <v>11540000000</v>
      </c>
      <c r="O440" s="41">
        <f t="shared" si="33"/>
        <v>0.77766168848462502</v>
      </c>
      <c r="P440" s="41">
        <f t="shared" si="34"/>
        <v>0.23641243111466209</v>
      </c>
    </row>
    <row r="441" spans="1:16" ht="19.95" customHeight="1">
      <c r="A441" s="49">
        <v>466</v>
      </c>
      <c r="B441" s="50" t="s">
        <v>293</v>
      </c>
      <c r="C441" s="51" t="s">
        <v>18</v>
      </c>
      <c r="D441" s="51" t="s">
        <v>295</v>
      </c>
      <c r="E441" s="52">
        <v>52465000000</v>
      </c>
      <c r="F441" s="52">
        <v>28364000000</v>
      </c>
      <c r="G441" s="52">
        <v>8523000000</v>
      </c>
      <c r="H441" s="52" t="s">
        <v>757</v>
      </c>
      <c r="I441" s="52">
        <v>2354000000</v>
      </c>
      <c r="J441" s="51" t="s">
        <v>24</v>
      </c>
      <c r="K441" s="51" t="s">
        <v>294</v>
      </c>
      <c r="L441" s="41">
        <f t="shared" si="30"/>
        <v>24101000000</v>
      </c>
      <c r="M441" s="41">
        <f t="shared" si="31"/>
        <v>10877000000</v>
      </c>
      <c r="N441" s="41">
        <f t="shared" si="32"/>
        <v>13224000000</v>
      </c>
      <c r="O441" s="41">
        <f t="shared" si="33"/>
        <v>0.79268083484227581</v>
      </c>
      <c r="P441" s="41">
        <f t="shared" si="34"/>
        <v>0.25205375011912706</v>
      </c>
    </row>
    <row r="442" spans="1:16" ht="19.95" customHeight="1">
      <c r="A442" s="49">
        <v>467</v>
      </c>
      <c r="B442" s="50" t="s">
        <v>293</v>
      </c>
      <c r="C442" s="51" t="s">
        <v>20</v>
      </c>
      <c r="D442" s="51" t="s">
        <v>296</v>
      </c>
      <c r="E442" s="52">
        <v>55632000000</v>
      </c>
      <c r="F442" s="52">
        <v>29993000000</v>
      </c>
      <c r="G442" s="52">
        <v>8754000000</v>
      </c>
      <c r="H442" s="52" t="s">
        <v>757</v>
      </c>
      <c r="I442" s="52">
        <v>2527000000</v>
      </c>
      <c r="J442" s="51" t="s">
        <v>24</v>
      </c>
      <c r="K442" s="51" t="s">
        <v>294</v>
      </c>
      <c r="L442" s="41">
        <f t="shared" si="30"/>
        <v>25639000000</v>
      </c>
      <c r="M442" s="41">
        <f t="shared" si="31"/>
        <v>11281000000</v>
      </c>
      <c r="N442" s="41">
        <f t="shared" si="32"/>
        <v>14358000000</v>
      </c>
      <c r="O442" s="41">
        <f t="shared" si="33"/>
        <v>0.79722102387115323</v>
      </c>
      <c r="P442" s="41">
        <f t="shared" si="34"/>
        <v>0.25808886971527178</v>
      </c>
    </row>
    <row r="443" spans="1:16" ht="19.95" customHeight="1">
      <c r="A443" s="49">
        <v>468</v>
      </c>
      <c r="B443" s="50" t="s">
        <v>297</v>
      </c>
      <c r="C443" s="51" t="s">
        <v>11</v>
      </c>
      <c r="D443" s="51" t="s">
        <v>17</v>
      </c>
      <c r="E443" s="52">
        <v>5535000000</v>
      </c>
      <c r="F443" s="52">
        <v>1689000000</v>
      </c>
      <c r="G443" s="52">
        <v>1598000000</v>
      </c>
      <c r="H443" s="52" t="s">
        <v>757</v>
      </c>
      <c r="I443" s="52">
        <v>276000000</v>
      </c>
      <c r="J443" s="51" t="s">
        <v>24</v>
      </c>
      <c r="K443" s="51" t="s">
        <v>208</v>
      </c>
      <c r="L443" s="41">
        <f t="shared" si="30"/>
        <v>3846000000</v>
      </c>
      <c r="M443" s="41">
        <f t="shared" si="31"/>
        <v>1874000000</v>
      </c>
      <c r="N443" s="41">
        <f t="shared" si="32"/>
        <v>1972000000</v>
      </c>
      <c r="O443" s="41">
        <f t="shared" si="33"/>
        <v>0.66142728093947611</v>
      </c>
      <c r="P443" s="41">
        <f t="shared" si="34"/>
        <v>0.35627822944896115</v>
      </c>
    </row>
    <row r="444" spans="1:16" ht="19.95" customHeight="1">
      <c r="A444" s="49">
        <v>469</v>
      </c>
      <c r="B444" s="50" t="s">
        <v>297</v>
      </c>
      <c r="C444" s="51" t="s">
        <v>16</v>
      </c>
      <c r="D444" s="51" t="s">
        <v>19</v>
      </c>
      <c r="E444" s="52">
        <v>6265000000</v>
      </c>
      <c r="F444" s="52">
        <v>2124000000</v>
      </c>
      <c r="G444" s="52">
        <v>1692000000</v>
      </c>
      <c r="H444" s="52" t="s">
        <v>757</v>
      </c>
      <c r="I444" s="52">
        <v>329000000</v>
      </c>
      <c r="J444" s="51" t="s">
        <v>24</v>
      </c>
      <c r="K444" s="51" t="s">
        <v>208</v>
      </c>
      <c r="L444" s="41">
        <f t="shared" si="30"/>
        <v>4141000000</v>
      </c>
      <c r="M444" s="41">
        <f t="shared" si="31"/>
        <v>2021000000</v>
      </c>
      <c r="N444" s="41">
        <f t="shared" si="32"/>
        <v>2120000000</v>
      </c>
      <c r="O444" s="41">
        <f t="shared" si="33"/>
        <v>0.67741420590582602</v>
      </c>
      <c r="P444" s="41">
        <f t="shared" si="34"/>
        <v>0.33838786911412611</v>
      </c>
    </row>
    <row r="445" spans="1:16" ht="19.95" customHeight="1">
      <c r="A445" s="49">
        <v>470</v>
      </c>
      <c r="B445" s="50" t="s">
        <v>297</v>
      </c>
      <c r="C445" s="51" t="s">
        <v>18</v>
      </c>
      <c r="D445" s="51" t="s">
        <v>21</v>
      </c>
      <c r="E445" s="52">
        <v>6394000000</v>
      </c>
      <c r="F445" s="52">
        <v>2343000000</v>
      </c>
      <c r="G445" s="52">
        <v>1669000000</v>
      </c>
      <c r="H445" s="52" t="s">
        <v>757</v>
      </c>
      <c r="I445" s="52">
        <v>330000000</v>
      </c>
      <c r="J445" s="51" t="s">
        <v>24</v>
      </c>
      <c r="K445" s="51" t="s">
        <v>208</v>
      </c>
      <c r="L445" s="41">
        <f t="shared" si="30"/>
        <v>4051000000</v>
      </c>
      <c r="M445" s="41">
        <f t="shared" si="31"/>
        <v>1999000000</v>
      </c>
      <c r="N445" s="41">
        <f t="shared" si="32"/>
        <v>2052000000</v>
      </c>
      <c r="O445" s="41">
        <f t="shared" si="33"/>
        <v>0.68736315295589612</v>
      </c>
      <c r="P445" s="41">
        <f t="shared" si="34"/>
        <v>0.32092586800125117</v>
      </c>
    </row>
    <row r="446" spans="1:16" ht="19.95" customHeight="1">
      <c r="A446" s="49">
        <v>471</v>
      </c>
      <c r="B446" s="50" t="s">
        <v>297</v>
      </c>
      <c r="C446" s="51" t="s">
        <v>20</v>
      </c>
      <c r="D446" s="51" t="s">
        <v>84</v>
      </c>
      <c r="E446" s="52">
        <v>6497000000</v>
      </c>
      <c r="F446" s="52">
        <v>2432000000</v>
      </c>
      <c r="G446" s="52">
        <v>1690000000</v>
      </c>
      <c r="H446" s="52" t="s">
        <v>757</v>
      </c>
      <c r="I446" s="52">
        <v>322000000</v>
      </c>
      <c r="J446" s="51" t="s">
        <v>24</v>
      </c>
      <c r="K446" s="51" t="s">
        <v>208</v>
      </c>
      <c r="L446" s="41">
        <f t="shared" si="30"/>
        <v>4065000000</v>
      </c>
      <c r="M446" s="41">
        <f t="shared" si="31"/>
        <v>2012000000</v>
      </c>
      <c r="N446" s="41">
        <f t="shared" si="32"/>
        <v>2053000000</v>
      </c>
      <c r="O446" s="41">
        <f t="shared" si="33"/>
        <v>0.6903186085885793</v>
      </c>
      <c r="P446" s="41">
        <f t="shared" si="34"/>
        <v>0.3159919963059874</v>
      </c>
    </row>
    <row r="447" spans="1:16" ht="19.95" customHeight="1">
      <c r="A447" s="49">
        <v>472</v>
      </c>
      <c r="B447" s="50" t="s">
        <v>298</v>
      </c>
      <c r="C447" s="51" t="s">
        <v>11</v>
      </c>
      <c r="D447" s="51" t="s">
        <v>17</v>
      </c>
      <c r="E447" s="52">
        <v>5535000000</v>
      </c>
      <c r="F447" s="52">
        <v>1689000000</v>
      </c>
      <c r="G447" s="52">
        <v>1598000000</v>
      </c>
      <c r="H447" s="52" t="s">
        <v>757</v>
      </c>
      <c r="I447" s="52">
        <v>276000000</v>
      </c>
      <c r="J447" s="51" t="s">
        <v>24</v>
      </c>
      <c r="K447" s="51" t="s">
        <v>208</v>
      </c>
      <c r="L447" s="41">
        <f t="shared" si="30"/>
        <v>3846000000</v>
      </c>
      <c r="M447" s="41">
        <f t="shared" si="31"/>
        <v>1874000000</v>
      </c>
      <c r="N447" s="41">
        <f t="shared" si="32"/>
        <v>1972000000</v>
      </c>
      <c r="O447" s="41">
        <f t="shared" si="33"/>
        <v>0.66142728093947611</v>
      </c>
      <c r="P447" s="41">
        <f t="shared" si="34"/>
        <v>0.35627822944896115</v>
      </c>
    </row>
    <row r="448" spans="1:16" ht="19.95" customHeight="1">
      <c r="A448" s="49">
        <v>473</v>
      </c>
      <c r="B448" s="50" t="s">
        <v>298</v>
      </c>
      <c r="C448" s="51" t="s">
        <v>16</v>
      </c>
      <c r="D448" s="51" t="s">
        <v>19</v>
      </c>
      <c r="E448" s="52">
        <v>6265000000</v>
      </c>
      <c r="F448" s="52">
        <v>2124000000</v>
      </c>
      <c r="G448" s="52">
        <v>1692000000</v>
      </c>
      <c r="H448" s="52" t="s">
        <v>757</v>
      </c>
      <c r="I448" s="52">
        <v>329000000</v>
      </c>
      <c r="J448" s="51" t="s">
        <v>24</v>
      </c>
      <c r="K448" s="51" t="s">
        <v>208</v>
      </c>
      <c r="L448" s="41">
        <f t="shared" si="30"/>
        <v>4141000000</v>
      </c>
      <c r="M448" s="41">
        <f t="shared" si="31"/>
        <v>2021000000</v>
      </c>
      <c r="N448" s="41">
        <f t="shared" si="32"/>
        <v>2120000000</v>
      </c>
      <c r="O448" s="41">
        <f t="shared" si="33"/>
        <v>0.67741420590582602</v>
      </c>
      <c r="P448" s="41">
        <f t="shared" si="34"/>
        <v>0.33838786911412611</v>
      </c>
    </row>
    <row r="449" spans="1:16" ht="19.95" customHeight="1">
      <c r="A449" s="49">
        <v>474</v>
      </c>
      <c r="B449" s="50" t="s">
        <v>298</v>
      </c>
      <c r="C449" s="51" t="s">
        <v>18</v>
      </c>
      <c r="D449" s="51" t="s">
        <v>21</v>
      </c>
      <c r="E449" s="52">
        <v>6394000000</v>
      </c>
      <c r="F449" s="52">
        <v>2343000000</v>
      </c>
      <c r="G449" s="52">
        <v>1669000000</v>
      </c>
      <c r="H449" s="52" t="s">
        <v>757</v>
      </c>
      <c r="I449" s="52">
        <v>330000000</v>
      </c>
      <c r="J449" s="51" t="s">
        <v>24</v>
      </c>
      <c r="K449" s="51" t="s">
        <v>208</v>
      </c>
      <c r="L449" s="41">
        <f t="shared" si="30"/>
        <v>4051000000</v>
      </c>
      <c r="M449" s="41">
        <f t="shared" si="31"/>
        <v>1999000000</v>
      </c>
      <c r="N449" s="41">
        <f t="shared" si="32"/>
        <v>2052000000</v>
      </c>
      <c r="O449" s="41">
        <f t="shared" si="33"/>
        <v>0.68736315295589612</v>
      </c>
      <c r="P449" s="41">
        <f t="shared" si="34"/>
        <v>0.32092586800125117</v>
      </c>
    </row>
    <row r="450" spans="1:16" ht="19.95" customHeight="1">
      <c r="A450" s="49">
        <v>475</v>
      </c>
      <c r="B450" s="50" t="s">
        <v>298</v>
      </c>
      <c r="C450" s="51" t="s">
        <v>20</v>
      </c>
      <c r="D450" s="51" t="s">
        <v>84</v>
      </c>
      <c r="E450" s="52">
        <v>6497000000</v>
      </c>
      <c r="F450" s="52">
        <v>2432000000</v>
      </c>
      <c r="G450" s="52">
        <v>1690000000</v>
      </c>
      <c r="H450" s="52" t="s">
        <v>757</v>
      </c>
      <c r="I450" s="52">
        <v>322000000</v>
      </c>
      <c r="J450" s="51" t="s">
        <v>24</v>
      </c>
      <c r="K450" s="51" t="s">
        <v>208</v>
      </c>
      <c r="L450" s="41">
        <f t="shared" si="30"/>
        <v>4065000000</v>
      </c>
      <c r="M450" s="41">
        <f t="shared" si="31"/>
        <v>2012000000</v>
      </c>
      <c r="N450" s="41">
        <f t="shared" si="32"/>
        <v>2053000000</v>
      </c>
      <c r="O450" s="41">
        <f t="shared" si="33"/>
        <v>0.6903186085885793</v>
      </c>
      <c r="P450" s="41">
        <f t="shared" si="34"/>
        <v>0.3159919963059874</v>
      </c>
    </row>
    <row r="451" spans="1:16" ht="19.95" customHeight="1">
      <c r="A451" s="49">
        <v>476</v>
      </c>
      <c r="B451" s="50" t="s">
        <v>299</v>
      </c>
      <c r="C451" s="51" t="s">
        <v>11</v>
      </c>
      <c r="D451" s="51" t="s">
        <v>17</v>
      </c>
      <c r="E451" s="52">
        <v>15051000000</v>
      </c>
      <c r="F451" s="52">
        <v>12274000000</v>
      </c>
      <c r="G451" s="52">
        <v>916000000</v>
      </c>
      <c r="H451" s="52" t="s">
        <v>757</v>
      </c>
      <c r="I451" s="52">
        <v>97000000</v>
      </c>
      <c r="J451" s="51" t="s">
        <v>24</v>
      </c>
      <c r="K451" s="51" t="s">
        <v>169</v>
      </c>
      <c r="L451" s="41">
        <f t="shared" ref="L451:L514" si="35">Total_Revenue-COGS</f>
        <v>2777000000</v>
      </c>
      <c r="M451" s="41">
        <f t="shared" ref="M451:M514" si="36">SGAA+RandD+OOI</f>
        <v>1013000000</v>
      </c>
      <c r="N451" s="41">
        <f t="shared" ref="N451:N514" si="37">Gross_Profit-Total_Operating_Expenses</f>
        <v>1764000000</v>
      </c>
      <c r="O451" s="41">
        <f t="shared" ref="O451:O514" si="38">1-(Total_Operating_Expenses/Total_Revenue)</f>
        <v>0.93269550196000262</v>
      </c>
      <c r="P451" s="41">
        <f t="shared" ref="P451:P514" si="39">Operating_Profit/Total_Revenue</f>
        <v>0.11720151484951166</v>
      </c>
    </row>
    <row r="452" spans="1:16" ht="19.95" customHeight="1">
      <c r="A452" s="49">
        <v>477</v>
      </c>
      <c r="B452" s="50" t="s">
        <v>299</v>
      </c>
      <c r="C452" s="51" t="s">
        <v>16</v>
      </c>
      <c r="D452" s="51" t="s">
        <v>19</v>
      </c>
      <c r="E452" s="52">
        <v>15499000000</v>
      </c>
      <c r="F452" s="52">
        <v>12471000000</v>
      </c>
      <c r="G452" s="52">
        <v>1036000000</v>
      </c>
      <c r="H452" s="52" t="s">
        <v>757</v>
      </c>
      <c r="I452" s="52">
        <v>94000000</v>
      </c>
      <c r="J452" s="51" t="s">
        <v>24</v>
      </c>
      <c r="K452" s="51" t="s">
        <v>169</v>
      </c>
      <c r="L452" s="41">
        <f t="shared" si="35"/>
        <v>3028000000</v>
      </c>
      <c r="M452" s="41">
        <f t="shared" si="36"/>
        <v>1130000000</v>
      </c>
      <c r="N452" s="41">
        <f t="shared" si="37"/>
        <v>1898000000</v>
      </c>
      <c r="O452" s="41">
        <f t="shared" si="38"/>
        <v>0.92709207045615849</v>
      </c>
      <c r="P452" s="41">
        <f t="shared" si="39"/>
        <v>0.1224595135170011</v>
      </c>
    </row>
    <row r="453" spans="1:16" ht="19.95" customHeight="1">
      <c r="A453" s="49">
        <v>478</v>
      </c>
      <c r="B453" s="50" t="s">
        <v>299</v>
      </c>
      <c r="C453" s="51" t="s">
        <v>18</v>
      </c>
      <c r="D453" s="51" t="s">
        <v>21</v>
      </c>
      <c r="E453" s="52">
        <v>15165000000</v>
      </c>
      <c r="F453" s="52">
        <v>12155000000</v>
      </c>
      <c r="G453" s="52">
        <v>1017000000</v>
      </c>
      <c r="H453" s="52" t="s">
        <v>757</v>
      </c>
      <c r="I453" s="52">
        <v>93000000</v>
      </c>
      <c r="J453" s="51" t="s">
        <v>24</v>
      </c>
      <c r="K453" s="51" t="s">
        <v>169</v>
      </c>
      <c r="L453" s="41">
        <f t="shared" si="35"/>
        <v>3010000000</v>
      </c>
      <c r="M453" s="41">
        <f t="shared" si="36"/>
        <v>1110000000</v>
      </c>
      <c r="N453" s="41">
        <f t="shared" si="37"/>
        <v>1900000000</v>
      </c>
      <c r="O453" s="41">
        <f t="shared" si="38"/>
        <v>0.92680514342235409</v>
      </c>
      <c r="P453" s="41">
        <f t="shared" si="39"/>
        <v>0.12528849324101549</v>
      </c>
    </row>
    <row r="454" spans="1:16" ht="19.95" customHeight="1">
      <c r="A454" s="49">
        <v>479</v>
      </c>
      <c r="B454" s="50" t="s">
        <v>299</v>
      </c>
      <c r="C454" s="51" t="s">
        <v>20</v>
      </c>
      <c r="D454" s="51" t="s">
        <v>84</v>
      </c>
      <c r="E454" s="52">
        <v>16661000000</v>
      </c>
      <c r="F454" s="52">
        <v>13107000000</v>
      </c>
      <c r="G454" s="52">
        <v>1145000000</v>
      </c>
      <c r="H454" s="52" t="s">
        <v>757</v>
      </c>
      <c r="I454" s="52">
        <v>134000000</v>
      </c>
      <c r="J454" s="51" t="s">
        <v>24</v>
      </c>
      <c r="K454" s="51" t="s">
        <v>169</v>
      </c>
      <c r="L454" s="41">
        <f t="shared" si="35"/>
        <v>3554000000</v>
      </c>
      <c r="M454" s="41">
        <f t="shared" si="36"/>
        <v>1279000000</v>
      </c>
      <c r="N454" s="41">
        <f t="shared" si="37"/>
        <v>2275000000</v>
      </c>
      <c r="O454" s="41">
        <f t="shared" si="38"/>
        <v>0.92323389952583879</v>
      </c>
      <c r="P454" s="41">
        <f t="shared" si="39"/>
        <v>0.13654642578476683</v>
      </c>
    </row>
    <row r="455" spans="1:16" ht="19.95" customHeight="1">
      <c r="A455" s="49">
        <v>480</v>
      </c>
      <c r="B455" s="50" t="s">
        <v>300</v>
      </c>
      <c r="C455" s="51" t="s">
        <v>11</v>
      </c>
      <c r="D455" s="51" t="s">
        <v>12</v>
      </c>
      <c r="E455" s="52">
        <v>1279067000</v>
      </c>
      <c r="F455" s="52">
        <v>461898000</v>
      </c>
      <c r="G455" s="52">
        <v>68538000</v>
      </c>
      <c r="H455" s="52" t="s">
        <v>757</v>
      </c>
      <c r="I455" s="52">
        <v>382553000</v>
      </c>
      <c r="J455" s="51" t="s">
        <v>80</v>
      </c>
      <c r="K455" s="51" t="s">
        <v>108</v>
      </c>
      <c r="L455" s="41">
        <f t="shared" si="35"/>
        <v>817169000</v>
      </c>
      <c r="M455" s="41">
        <f t="shared" si="36"/>
        <v>451091000</v>
      </c>
      <c r="N455" s="41">
        <f t="shared" si="37"/>
        <v>366078000</v>
      </c>
      <c r="O455" s="41">
        <f t="shared" si="38"/>
        <v>0.6473280914916888</v>
      </c>
      <c r="P455" s="41">
        <f t="shared" si="39"/>
        <v>0.2862070556116294</v>
      </c>
    </row>
    <row r="456" spans="1:16" ht="19.95" customHeight="1">
      <c r="A456" s="49">
        <v>481</v>
      </c>
      <c r="B456" s="50" t="s">
        <v>300</v>
      </c>
      <c r="C456" s="51" t="s">
        <v>16</v>
      </c>
      <c r="D456" s="51" t="s">
        <v>17</v>
      </c>
      <c r="E456" s="52">
        <v>1482259000</v>
      </c>
      <c r="F456" s="52">
        <v>555660000</v>
      </c>
      <c r="G456" s="52">
        <v>69323000</v>
      </c>
      <c r="H456" s="52" t="s">
        <v>757</v>
      </c>
      <c r="I456" s="52">
        <v>475464000</v>
      </c>
      <c r="J456" s="51" t="s">
        <v>80</v>
      </c>
      <c r="K456" s="51" t="s">
        <v>108</v>
      </c>
      <c r="L456" s="41">
        <f t="shared" si="35"/>
        <v>926599000</v>
      </c>
      <c r="M456" s="41">
        <f t="shared" si="36"/>
        <v>544787000</v>
      </c>
      <c r="N456" s="41">
        <f t="shared" si="37"/>
        <v>381812000</v>
      </c>
      <c r="O456" s="41">
        <f t="shared" si="38"/>
        <v>0.63246166830493189</v>
      </c>
      <c r="P456" s="41">
        <f t="shared" si="39"/>
        <v>0.2575879114243867</v>
      </c>
    </row>
    <row r="457" spans="1:16" ht="19.95" customHeight="1">
      <c r="A457" s="49">
        <v>482</v>
      </c>
      <c r="B457" s="50" t="s">
        <v>300</v>
      </c>
      <c r="C457" s="51" t="s">
        <v>18</v>
      </c>
      <c r="D457" s="51" t="s">
        <v>19</v>
      </c>
      <c r="E457" s="52">
        <v>1616438000</v>
      </c>
      <c r="F457" s="52">
        <v>603321000</v>
      </c>
      <c r="G457" s="52">
        <v>89468000</v>
      </c>
      <c r="H457" s="52" t="s">
        <v>757</v>
      </c>
      <c r="I457" s="52">
        <v>538513000</v>
      </c>
      <c r="J457" s="51" t="s">
        <v>80</v>
      </c>
      <c r="K457" s="51" t="s">
        <v>108</v>
      </c>
      <c r="L457" s="41">
        <f t="shared" si="35"/>
        <v>1013117000</v>
      </c>
      <c r="M457" s="41">
        <f t="shared" si="36"/>
        <v>627981000</v>
      </c>
      <c r="N457" s="41">
        <f t="shared" si="37"/>
        <v>385136000</v>
      </c>
      <c r="O457" s="41">
        <f t="shared" si="38"/>
        <v>0.61150319406002573</v>
      </c>
      <c r="P457" s="41">
        <f t="shared" si="39"/>
        <v>0.238262154193356</v>
      </c>
    </row>
    <row r="458" spans="1:16" ht="19.95" customHeight="1">
      <c r="A458" s="49">
        <v>483</v>
      </c>
      <c r="B458" s="50" t="s">
        <v>300</v>
      </c>
      <c r="C458" s="51" t="s">
        <v>20</v>
      </c>
      <c r="D458" s="51" t="s">
        <v>21</v>
      </c>
      <c r="E458" s="52">
        <v>1763336000</v>
      </c>
      <c r="F458" s="52">
        <v>651282000</v>
      </c>
      <c r="G458" s="52">
        <v>139616000</v>
      </c>
      <c r="H458" s="52" t="s">
        <v>757</v>
      </c>
      <c r="I458" s="52">
        <v>570527000</v>
      </c>
      <c r="J458" s="51" t="s">
        <v>80</v>
      </c>
      <c r="K458" s="51" t="s">
        <v>108</v>
      </c>
      <c r="L458" s="41">
        <f t="shared" si="35"/>
        <v>1112054000</v>
      </c>
      <c r="M458" s="41">
        <f t="shared" si="36"/>
        <v>710143000</v>
      </c>
      <c r="N458" s="41">
        <f t="shared" si="37"/>
        <v>401911000</v>
      </c>
      <c r="O458" s="41">
        <f t="shared" si="38"/>
        <v>0.59727300979507025</v>
      </c>
      <c r="P458" s="41">
        <f t="shared" si="39"/>
        <v>0.22792649840983228</v>
      </c>
    </row>
    <row r="459" spans="1:16" ht="19.95" customHeight="1">
      <c r="A459" s="49">
        <v>484</v>
      </c>
      <c r="B459" s="50" t="s">
        <v>301</v>
      </c>
      <c r="C459" s="51" t="s">
        <v>11</v>
      </c>
      <c r="D459" s="51" t="s">
        <v>302</v>
      </c>
      <c r="E459" s="52">
        <v>7394500000</v>
      </c>
      <c r="F459" s="52">
        <v>4741800000</v>
      </c>
      <c r="G459" s="52">
        <v>1732600000</v>
      </c>
      <c r="H459" s="52" t="s">
        <v>757</v>
      </c>
      <c r="I459" s="52" t="s">
        <v>757</v>
      </c>
      <c r="J459" s="51" t="s">
        <v>24</v>
      </c>
      <c r="K459" s="51" t="s">
        <v>285</v>
      </c>
      <c r="L459" s="41">
        <f t="shared" si="35"/>
        <v>2652700000</v>
      </c>
      <c r="M459" s="41">
        <f t="shared" si="36"/>
        <v>1732600000</v>
      </c>
      <c r="N459" s="41">
        <f t="shared" si="37"/>
        <v>920100000</v>
      </c>
      <c r="O459" s="41">
        <f t="shared" si="38"/>
        <v>0.76569071607275674</v>
      </c>
      <c r="P459" s="41">
        <f t="shared" si="39"/>
        <v>0.12443031983230779</v>
      </c>
    </row>
    <row r="460" spans="1:16" ht="19.95" customHeight="1">
      <c r="A460" s="49">
        <v>485</v>
      </c>
      <c r="B460" s="50" t="s">
        <v>301</v>
      </c>
      <c r="C460" s="51" t="s">
        <v>16</v>
      </c>
      <c r="D460" s="51" t="s">
        <v>157</v>
      </c>
      <c r="E460" s="52">
        <v>7840300000</v>
      </c>
      <c r="F460" s="52">
        <v>5050500000</v>
      </c>
      <c r="G460" s="52">
        <v>1819500000</v>
      </c>
      <c r="H460" s="52" t="s">
        <v>757</v>
      </c>
      <c r="I460" s="52" t="s">
        <v>757</v>
      </c>
      <c r="J460" s="51" t="s">
        <v>24</v>
      </c>
      <c r="K460" s="51" t="s">
        <v>285</v>
      </c>
      <c r="L460" s="41">
        <f t="shared" si="35"/>
        <v>2789800000</v>
      </c>
      <c r="M460" s="41">
        <f t="shared" si="36"/>
        <v>1819500000</v>
      </c>
      <c r="N460" s="41">
        <f t="shared" si="37"/>
        <v>970300000</v>
      </c>
      <c r="O460" s="41">
        <f t="shared" si="38"/>
        <v>0.76792979860464516</v>
      </c>
      <c r="P460" s="41">
        <f t="shared" si="39"/>
        <v>0.12375801946354094</v>
      </c>
    </row>
    <row r="461" spans="1:16" ht="19.95" customHeight="1">
      <c r="A461" s="49">
        <v>486</v>
      </c>
      <c r="B461" s="50" t="s">
        <v>301</v>
      </c>
      <c r="C461" s="51" t="s">
        <v>18</v>
      </c>
      <c r="D461" s="51" t="s">
        <v>67</v>
      </c>
      <c r="E461" s="52">
        <v>8602200000</v>
      </c>
      <c r="F461" s="52">
        <v>5568200000</v>
      </c>
      <c r="G461" s="52">
        <v>1993800000</v>
      </c>
      <c r="H461" s="52" t="s">
        <v>757</v>
      </c>
      <c r="I461" s="52" t="s">
        <v>757</v>
      </c>
      <c r="J461" s="51" t="s">
        <v>24</v>
      </c>
      <c r="K461" s="51" t="s">
        <v>285</v>
      </c>
      <c r="L461" s="41">
        <f t="shared" si="35"/>
        <v>3034000000</v>
      </c>
      <c r="M461" s="41">
        <f t="shared" si="36"/>
        <v>1993800000</v>
      </c>
      <c r="N461" s="41">
        <f t="shared" si="37"/>
        <v>1040200000</v>
      </c>
      <c r="O461" s="41">
        <f t="shared" si="38"/>
        <v>0.76822208272302439</v>
      </c>
      <c r="P461" s="41">
        <f t="shared" si="39"/>
        <v>0.12092255469531051</v>
      </c>
    </row>
    <row r="462" spans="1:16" ht="19.95" customHeight="1">
      <c r="A462" s="49">
        <v>487</v>
      </c>
      <c r="B462" s="50" t="s">
        <v>301</v>
      </c>
      <c r="C462" s="51" t="s">
        <v>20</v>
      </c>
      <c r="D462" s="51" t="s">
        <v>158</v>
      </c>
      <c r="E462" s="52">
        <v>15498400000</v>
      </c>
      <c r="F462" s="52">
        <v>10841700000</v>
      </c>
      <c r="G462" s="52">
        <v>3607000000</v>
      </c>
      <c r="H462" s="52" t="s">
        <v>757</v>
      </c>
      <c r="I462" s="52" t="s">
        <v>757</v>
      </c>
      <c r="J462" s="51" t="s">
        <v>24</v>
      </c>
      <c r="K462" s="51" t="s">
        <v>285</v>
      </c>
      <c r="L462" s="41">
        <f t="shared" si="35"/>
        <v>4656700000</v>
      </c>
      <c r="M462" s="41">
        <f t="shared" si="36"/>
        <v>3607000000</v>
      </c>
      <c r="N462" s="41">
        <f t="shared" si="37"/>
        <v>1049700000</v>
      </c>
      <c r="O462" s="41">
        <f t="shared" si="38"/>
        <v>0.76726629845661487</v>
      </c>
      <c r="P462" s="41">
        <f t="shared" si="39"/>
        <v>6.7729572084860371E-2</v>
      </c>
    </row>
    <row r="463" spans="1:16" ht="19.95" customHeight="1">
      <c r="A463" s="49">
        <v>488</v>
      </c>
      <c r="B463" s="50" t="s">
        <v>303</v>
      </c>
      <c r="C463" s="51" t="s">
        <v>11</v>
      </c>
      <c r="D463" s="51" t="s">
        <v>12</v>
      </c>
      <c r="E463" s="52">
        <v>1663000000</v>
      </c>
      <c r="F463" s="52" t="s">
        <v>757</v>
      </c>
      <c r="G463" s="52">
        <v>1123200000</v>
      </c>
      <c r="H463" s="52" t="s">
        <v>757</v>
      </c>
      <c r="I463" s="52">
        <v>78300000</v>
      </c>
      <c r="J463" s="51" t="s">
        <v>14</v>
      </c>
      <c r="K463" s="51" t="s">
        <v>304</v>
      </c>
      <c r="L463" s="41">
        <f t="shared" si="35"/>
        <v>1663000000</v>
      </c>
      <c r="M463" s="41">
        <f t="shared" si="36"/>
        <v>1201500000</v>
      </c>
      <c r="N463" s="41">
        <f t="shared" si="37"/>
        <v>461500000</v>
      </c>
      <c r="O463" s="41">
        <f t="shared" si="38"/>
        <v>0.27751052315093205</v>
      </c>
      <c r="P463" s="41">
        <f t="shared" si="39"/>
        <v>0.27751052315093205</v>
      </c>
    </row>
    <row r="464" spans="1:16" ht="19.95" customHeight="1">
      <c r="A464" s="49">
        <v>489</v>
      </c>
      <c r="B464" s="50" t="s">
        <v>303</v>
      </c>
      <c r="C464" s="51" t="s">
        <v>16</v>
      </c>
      <c r="D464" s="51" t="s">
        <v>17</v>
      </c>
      <c r="E464" s="52">
        <v>1558400000</v>
      </c>
      <c r="F464" s="52" t="s">
        <v>757</v>
      </c>
      <c r="G464" s="52">
        <v>1058000000</v>
      </c>
      <c r="H464" s="52" t="s">
        <v>757</v>
      </c>
      <c r="I464" s="52">
        <v>60400000</v>
      </c>
      <c r="J464" s="51" t="s">
        <v>14</v>
      </c>
      <c r="K464" s="51" t="s">
        <v>304</v>
      </c>
      <c r="L464" s="41">
        <f t="shared" si="35"/>
        <v>1558400000</v>
      </c>
      <c r="M464" s="41">
        <f t="shared" si="36"/>
        <v>1118400000</v>
      </c>
      <c r="N464" s="41">
        <f t="shared" si="37"/>
        <v>440000000</v>
      </c>
      <c r="O464" s="41">
        <f t="shared" si="38"/>
        <v>0.28234086242299794</v>
      </c>
      <c r="P464" s="41">
        <f t="shared" si="39"/>
        <v>0.28234086242299794</v>
      </c>
    </row>
    <row r="465" spans="1:16" ht="19.95" customHeight="1">
      <c r="A465" s="49">
        <v>490</v>
      </c>
      <c r="B465" s="50" t="s">
        <v>303</v>
      </c>
      <c r="C465" s="51" t="s">
        <v>18</v>
      </c>
      <c r="D465" s="51" t="s">
        <v>19</v>
      </c>
      <c r="E465" s="52">
        <v>1584500000</v>
      </c>
      <c r="F465" s="52" t="s">
        <v>757</v>
      </c>
      <c r="G465" s="52">
        <v>1105700000</v>
      </c>
      <c r="H465" s="52" t="s">
        <v>757</v>
      </c>
      <c r="I465" s="52">
        <v>52500000</v>
      </c>
      <c r="J465" s="51" t="s">
        <v>14</v>
      </c>
      <c r="K465" s="51" t="s">
        <v>304</v>
      </c>
      <c r="L465" s="41">
        <f t="shared" si="35"/>
        <v>1584500000</v>
      </c>
      <c r="M465" s="41">
        <f t="shared" si="36"/>
        <v>1158200000</v>
      </c>
      <c r="N465" s="41">
        <f t="shared" si="37"/>
        <v>426300000</v>
      </c>
      <c r="O465" s="41">
        <f t="shared" si="38"/>
        <v>0.26904386241716627</v>
      </c>
      <c r="P465" s="41">
        <f t="shared" si="39"/>
        <v>0.26904386241716632</v>
      </c>
    </row>
    <row r="466" spans="1:16" ht="19.95" customHeight="1">
      <c r="A466" s="49">
        <v>491</v>
      </c>
      <c r="B466" s="50" t="s">
        <v>303</v>
      </c>
      <c r="C466" s="51" t="s">
        <v>20</v>
      </c>
      <c r="D466" s="51" t="s">
        <v>21</v>
      </c>
      <c r="E466" s="52">
        <v>1637100000</v>
      </c>
      <c r="F466" s="52" t="s">
        <v>757</v>
      </c>
      <c r="G466" s="52">
        <v>1209100000</v>
      </c>
      <c r="H466" s="52" t="s">
        <v>757</v>
      </c>
      <c r="I466" s="52">
        <v>58700000</v>
      </c>
      <c r="J466" s="51" t="s">
        <v>14</v>
      </c>
      <c r="K466" s="51" t="s">
        <v>304</v>
      </c>
      <c r="L466" s="41">
        <f t="shared" si="35"/>
        <v>1637100000</v>
      </c>
      <c r="M466" s="41">
        <f t="shared" si="36"/>
        <v>1267800000</v>
      </c>
      <c r="N466" s="41">
        <f t="shared" si="37"/>
        <v>369300000</v>
      </c>
      <c r="O466" s="41">
        <f t="shared" si="38"/>
        <v>0.22558182151365214</v>
      </c>
      <c r="P466" s="41">
        <f t="shared" si="39"/>
        <v>0.22558182151365219</v>
      </c>
    </row>
    <row r="467" spans="1:16" ht="19.95" customHeight="1">
      <c r="A467" s="49">
        <v>492</v>
      </c>
      <c r="B467" s="50" t="s">
        <v>305</v>
      </c>
      <c r="C467" s="51" t="s">
        <v>11</v>
      </c>
      <c r="D467" s="51" t="s">
        <v>17</v>
      </c>
      <c r="E467" s="52">
        <v>7155096000</v>
      </c>
      <c r="F467" s="52">
        <v>4376505000</v>
      </c>
      <c r="G467" s="52">
        <v>1616921000</v>
      </c>
      <c r="H467" s="52" t="s">
        <v>757</v>
      </c>
      <c r="I467" s="52" t="s">
        <v>757</v>
      </c>
      <c r="J467" s="51" t="s">
        <v>14</v>
      </c>
      <c r="K467" s="51" t="s">
        <v>217</v>
      </c>
      <c r="L467" s="41">
        <f t="shared" si="35"/>
        <v>2778591000</v>
      </c>
      <c r="M467" s="41">
        <f t="shared" si="36"/>
        <v>1616921000</v>
      </c>
      <c r="N467" s="41">
        <f t="shared" si="37"/>
        <v>1161670000</v>
      </c>
      <c r="O467" s="41">
        <f t="shared" si="38"/>
        <v>0.7740182661420616</v>
      </c>
      <c r="P467" s="41">
        <f t="shared" si="39"/>
        <v>0.16235561339777971</v>
      </c>
    </row>
    <row r="468" spans="1:16" ht="19.95" customHeight="1">
      <c r="A468" s="49">
        <v>493</v>
      </c>
      <c r="B468" s="50" t="s">
        <v>305</v>
      </c>
      <c r="C468" s="51" t="s">
        <v>16</v>
      </c>
      <c r="D468" s="51" t="s">
        <v>19</v>
      </c>
      <c r="E468" s="52">
        <v>7752728000</v>
      </c>
      <c r="F468" s="52">
        <v>4778479000</v>
      </c>
      <c r="G468" s="52">
        <v>1758765000</v>
      </c>
      <c r="H468" s="52" t="s">
        <v>757</v>
      </c>
      <c r="I468" s="52" t="s">
        <v>757</v>
      </c>
      <c r="J468" s="51" t="s">
        <v>14</v>
      </c>
      <c r="K468" s="51" t="s">
        <v>217</v>
      </c>
      <c r="L468" s="41">
        <f t="shared" si="35"/>
        <v>2974249000</v>
      </c>
      <c r="M468" s="41">
        <f t="shared" si="36"/>
        <v>1758765000</v>
      </c>
      <c r="N468" s="41">
        <f t="shared" si="37"/>
        <v>1215484000</v>
      </c>
      <c r="O468" s="41">
        <f t="shared" si="38"/>
        <v>0.7731424345082144</v>
      </c>
      <c r="P468" s="41">
        <f t="shared" si="39"/>
        <v>0.15678145808804334</v>
      </c>
    </row>
    <row r="469" spans="1:16" ht="19.95" customHeight="1">
      <c r="A469" s="49">
        <v>494</v>
      </c>
      <c r="B469" s="50" t="s">
        <v>305</v>
      </c>
      <c r="C469" s="51" t="s">
        <v>18</v>
      </c>
      <c r="D469" s="51" t="s">
        <v>21</v>
      </c>
      <c r="E469" s="52">
        <v>6956311000</v>
      </c>
      <c r="F469" s="52">
        <v>4388167000</v>
      </c>
      <c r="G469" s="52">
        <v>1647382000</v>
      </c>
      <c r="H469" s="52" t="s">
        <v>757</v>
      </c>
      <c r="I469" s="52" t="s">
        <v>757</v>
      </c>
      <c r="J469" s="51" t="s">
        <v>14</v>
      </c>
      <c r="K469" s="51" t="s">
        <v>217</v>
      </c>
      <c r="L469" s="41">
        <f t="shared" si="35"/>
        <v>2568144000</v>
      </c>
      <c r="M469" s="41">
        <f t="shared" si="36"/>
        <v>1647382000</v>
      </c>
      <c r="N469" s="41">
        <f t="shared" si="37"/>
        <v>920762000</v>
      </c>
      <c r="O469" s="41">
        <f t="shared" si="38"/>
        <v>0.76318166338451521</v>
      </c>
      <c r="P469" s="41">
        <f t="shared" si="39"/>
        <v>0.13236354728821068</v>
      </c>
    </row>
    <row r="470" spans="1:16" ht="19.95" customHeight="1">
      <c r="A470" s="49">
        <v>495</v>
      </c>
      <c r="B470" s="50" t="s">
        <v>305</v>
      </c>
      <c r="C470" s="51" t="s">
        <v>20</v>
      </c>
      <c r="D470" s="51" t="s">
        <v>84</v>
      </c>
      <c r="E470" s="52">
        <v>6794342000</v>
      </c>
      <c r="F470" s="52">
        <v>4322373000</v>
      </c>
      <c r="G470" s="52">
        <v>1757523000</v>
      </c>
      <c r="H470" s="52" t="s">
        <v>757</v>
      </c>
      <c r="I470" s="52" t="s">
        <v>757</v>
      </c>
      <c r="J470" s="51" t="s">
        <v>14</v>
      </c>
      <c r="K470" s="51" t="s">
        <v>217</v>
      </c>
      <c r="L470" s="41">
        <f t="shared" si="35"/>
        <v>2471969000</v>
      </c>
      <c r="M470" s="41">
        <f t="shared" si="36"/>
        <v>1757523000</v>
      </c>
      <c r="N470" s="41">
        <f t="shared" si="37"/>
        <v>714446000</v>
      </c>
      <c r="O470" s="41">
        <f t="shared" si="38"/>
        <v>0.74132550289638055</v>
      </c>
      <c r="P470" s="41">
        <f t="shared" si="39"/>
        <v>0.10515308178481449</v>
      </c>
    </row>
    <row r="471" spans="1:16" ht="19.95" customHeight="1">
      <c r="A471" s="49">
        <v>496</v>
      </c>
      <c r="B471" s="50" t="s">
        <v>306</v>
      </c>
      <c r="C471" s="51" t="s">
        <v>11</v>
      </c>
      <c r="D471" s="51" t="s">
        <v>17</v>
      </c>
      <c r="E471" s="52">
        <v>5997000000</v>
      </c>
      <c r="F471" s="52">
        <v>2499000000</v>
      </c>
      <c r="G471" s="52">
        <v>2337000000</v>
      </c>
      <c r="H471" s="52" t="s">
        <v>757</v>
      </c>
      <c r="I471" s="52">
        <v>115000000</v>
      </c>
      <c r="J471" s="51" t="s">
        <v>60</v>
      </c>
      <c r="K471" s="51" t="s">
        <v>307</v>
      </c>
      <c r="L471" s="41">
        <f t="shared" si="35"/>
        <v>3498000000</v>
      </c>
      <c r="M471" s="41">
        <f t="shared" si="36"/>
        <v>2452000000</v>
      </c>
      <c r="N471" s="41">
        <f t="shared" si="37"/>
        <v>1046000000</v>
      </c>
      <c r="O471" s="41">
        <f t="shared" si="38"/>
        <v>0.59112889778222444</v>
      </c>
      <c r="P471" s="41">
        <f t="shared" si="39"/>
        <v>0.1744205436051359</v>
      </c>
    </row>
    <row r="472" spans="1:16" ht="19.95" customHeight="1">
      <c r="A472" s="49">
        <v>497</v>
      </c>
      <c r="B472" s="50" t="s">
        <v>306</v>
      </c>
      <c r="C472" s="51" t="s">
        <v>16</v>
      </c>
      <c r="D472" s="51" t="s">
        <v>19</v>
      </c>
      <c r="E472" s="52">
        <v>6121000000</v>
      </c>
      <c r="F472" s="52">
        <v>2491000000</v>
      </c>
      <c r="G472" s="52">
        <v>2335000000</v>
      </c>
      <c r="H472" s="52" t="s">
        <v>757</v>
      </c>
      <c r="I472" s="52">
        <v>115000000</v>
      </c>
      <c r="J472" s="51" t="s">
        <v>60</v>
      </c>
      <c r="K472" s="51" t="s">
        <v>307</v>
      </c>
      <c r="L472" s="41">
        <f t="shared" si="35"/>
        <v>3630000000</v>
      </c>
      <c r="M472" s="41">
        <f t="shared" si="36"/>
        <v>2450000000</v>
      </c>
      <c r="N472" s="41">
        <f t="shared" si="37"/>
        <v>1180000000</v>
      </c>
      <c r="O472" s="41">
        <f t="shared" si="38"/>
        <v>0.59973860480313679</v>
      </c>
      <c r="P472" s="41">
        <f t="shared" si="39"/>
        <v>0.19277895768665251</v>
      </c>
    </row>
    <row r="473" spans="1:16" ht="19.95" customHeight="1">
      <c r="A473" s="49">
        <v>498</v>
      </c>
      <c r="B473" s="50" t="s">
        <v>306</v>
      </c>
      <c r="C473" s="51" t="s">
        <v>18</v>
      </c>
      <c r="D473" s="51" t="s">
        <v>21</v>
      </c>
      <c r="E473" s="52">
        <v>6282000000</v>
      </c>
      <c r="F473" s="52">
        <v>2559000000</v>
      </c>
      <c r="G473" s="52">
        <v>2320000000</v>
      </c>
      <c r="H473" s="52" t="s">
        <v>757</v>
      </c>
      <c r="I473" s="52">
        <v>105000000</v>
      </c>
      <c r="J473" s="51" t="s">
        <v>60</v>
      </c>
      <c r="K473" s="51" t="s">
        <v>307</v>
      </c>
      <c r="L473" s="41">
        <f t="shared" si="35"/>
        <v>3723000000</v>
      </c>
      <c r="M473" s="41">
        <f t="shared" si="36"/>
        <v>2425000000</v>
      </c>
      <c r="N473" s="41">
        <f t="shared" si="37"/>
        <v>1298000000</v>
      </c>
      <c r="O473" s="41">
        <f t="shared" si="38"/>
        <v>0.61397644062400514</v>
      </c>
      <c r="P473" s="41">
        <f t="shared" si="39"/>
        <v>0.20662209487424388</v>
      </c>
    </row>
    <row r="474" spans="1:16" ht="19.95" customHeight="1">
      <c r="A474" s="49">
        <v>499</v>
      </c>
      <c r="B474" s="50" t="s">
        <v>306</v>
      </c>
      <c r="C474" s="51" t="s">
        <v>20</v>
      </c>
      <c r="D474" s="51" t="s">
        <v>84</v>
      </c>
      <c r="E474" s="52">
        <v>6440000000</v>
      </c>
      <c r="F474" s="52">
        <v>2582000000</v>
      </c>
      <c r="G474" s="52">
        <v>2326000000</v>
      </c>
      <c r="H474" s="52" t="s">
        <v>757</v>
      </c>
      <c r="I474" s="52">
        <v>99000000</v>
      </c>
      <c r="J474" s="51" t="s">
        <v>60</v>
      </c>
      <c r="K474" s="51" t="s">
        <v>307</v>
      </c>
      <c r="L474" s="41">
        <f t="shared" si="35"/>
        <v>3858000000</v>
      </c>
      <c r="M474" s="41">
        <f t="shared" si="36"/>
        <v>2425000000</v>
      </c>
      <c r="N474" s="41">
        <f t="shared" si="37"/>
        <v>1433000000</v>
      </c>
      <c r="O474" s="41">
        <f t="shared" si="38"/>
        <v>0.62344720496894412</v>
      </c>
      <c r="P474" s="41">
        <f t="shared" si="39"/>
        <v>0.22251552795031057</v>
      </c>
    </row>
    <row r="475" spans="1:16" ht="19.95" customHeight="1">
      <c r="A475" s="49">
        <v>500</v>
      </c>
      <c r="B475" s="50" t="s">
        <v>308</v>
      </c>
      <c r="C475" s="51" t="s">
        <v>11</v>
      </c>
      <c r="D475" s="51" t="s">
        <v>172</v>
      </c>
      <c r="E475" s="52">
        <v>5921000000</v>
      </c>
      <c r="F475" s="52">
        <v>4616600000</v>
      </c>
      <c r="G475" s="52">
        <v>625200000</v>
      </c>
      <c r="H475" s="52" t="s">
        <v>757</v>
      </c>
      <c r="I475" s="52">
        <v>278300000</v>
      </c>
      <c r="J475" s="51" t="s">
        <v>24</v>
      </c>
      <c r="K475" s="51" t="s">
        <v>215</v>
      </c>
      <c r="L475" s="41">
        <f t="shared" si="35"/>
        <v>1304400000</v>
      </c>
      <c r="M475" s="41">
        <f t="shared" si="36"/>
        <v>903500000</v>
      </c>
      <c r="N475" s="41">
        <f t="shared" si="37"/>
        <v>400900000</v>
      </c>
      <c r="O475" s="41">
        <f t="shared" si="38"/>
        <v>0.84740753251140011</v>
      </c>
      <c r="P475" s="41">
        <f t="shared" si="39"/>
        <v>6.7708157405843614E-2</v>
      </c>
    </row>
    <row r="476" spans="1:16" ht="19.95" customHeight="1">
      <c r="A476" s="49">
        <v>501</v>
      </c>
      <c r="B476" s="50" t="s">
        <v>308</v>
      </c>
      <c r="C476" s="51" t="s">
        <v>16</v>
      </c>
      <c r="D476" s="51" t="s">
        <v>174</v>
      </c>
      <c r="E476" s="52">
        <v>6285600000</v>
      </c>
      <c r="F476" s="52">
        <v>4990500000</v>
      </c>
      <c r="G476" s="52">
        <v>665400000</v>
      </c>
      <c r="H476" s="52" t="s">
        <v>757</v>
      </c>
      <c r="I476" s="52">
        <v>304400000</v>
      </c>
      <c r="J476" s="51" t="s">
        <v>24</v>
      </c>
      <c r="K476" s="51" t="s">
        <v>215</v>
      </c>
      <c r="L476" s="41">
        <f t="shared" si="35"/>
        <v>1295100000</v>
      </c>
      <c r="M476" s="41">
        <f t="shared" si="36"/>
        <v>969800000</v>
      </c>
      <c r="N476" s="41">
        <f t="shared" si="37"/>
        <v>325300000</v>
      </c>
      <c r="O476" s="41">
        <f t="shared" si="38"/>
        <v>0.84571083110602008</v>
      </c>
      <c r="P476" s="41">
        <f t="shared" si="39"/>
        <v>5.175321369479445E-2</v>
      </c>
    </row>
    <row r="477" spans="1:16" ht="19.95" customHeight="1">
      <c r="A477" s="49">
        <v>502</v>
      </c>
      <c r="B477" s="50" t="s">
        <v>308</v>
      </c>
      <c r="C477" s="51" t="s">
        <v>18</v>
      </c>
      <c r="D477" s="51" t="s">
        <v>175</v>
      </c>
      <c r="E477" s="52">
        <v>6764000000</v>
      </c>
      <c r="F477" s="52">
        <v>5341500000</v>
      </c>
      <c r="G477" s="52">
        <v>673500000</v>
      </c>
      <c r="H477" s="52" t="s">
        <v>757</v>
      </c>
      <c r="I477" s="52">
        <v>319300000</v>
      </c>
      <c r="J477" s="51" t="s">
        <v>24</v>
      </c>
      <c r="K477" s="51" t="s">
        <v>215</v>
      </c>
      <c r="L477" s="41">
        <f t="shared" si="35"/>
        <v>1422500000</v>
      </c>
      <c r="M477" s="41">
        <f t="shared" si="36"/>
        <v>992800000</v>
      </c>
      <c r="N477" s="41">
        <f t="shared" si="37"/>
        <v>429700000</v>
      </c>
      <c r="O477" s="41">
        <f t="shared" si="38"/>
        <v>0.85322294500295681</v>
      </c>
      <c r="P477" s="41">
        <f t="shared" si="39"/>
        <v>6.352749852158486E-2</v>
      </c>
    </row>
    <row r="478" spans="1:16" ht="19.95" customHeight="1">
      <c r="A478" s="49">
        <v>503</v>
      </c>
      <c r="B478" s="50" t="s">
        <v>308</v>
      </c>
      <c r="C478" s="51" t="s">
        <v>20</v>
      </c>
      <c r="D478" s="51" t="s">
        <v>176</v>
      </c>
      <c r="E478" s="52">
        <v>6933500000</v>
      </c>
      <c r="F478" s="52">
        <v>5392400000</v>
      </c>
      <c r="G478" s="52">
        <v>622900000</v>
      </c>
      <c r="H478" s="52" t="s">
        <v>757</v>
      </c>
      <c r="I478" s="52">
        <v>290200000</v>
      </c>
      <c r="J478" s="51" t="s">
        <v>24</v>
      </c>
      <c r="K478" s="51" t="s">
        <v>215</v>
      </c>
      <c r="L478" s="41">
        <f t="shared" si="35"/>
        <v>1541100000</v>
      </c>
      <c r="M478" s="41">
        <f t="shared" si="36"/>
        <v>913100000</v>
      </c>
      <c r="N478" s="41">
        <f t="shared" si="37"/>
        <v>628000000</v>
      </c>
      <c r="O478" s="41">
        <f t="shared" si="38"/>
        <v>0.86830605033532848</v>
      </c>
      <c r="P478" s="41">
        <f t="shared" si="39"/>
        <v>9.0574745799379824E-2</v>
      </c>
    </row>
    <row r="479" spans="1:16" ht="19.95" customHeight="1">
      <c r="A479" s="49">
        <v>504</v>
      </c>
      <c r="B479" s="50" t="s">
        <v>309</v>
      </c>
      <c r="C479" s="51" t="s">
        <v>11</v>
      </c>
      <c r="D479" s="51" t="s">
        <v>12</v>
      </c>
      <c r="E479" s="52">
        <v>17912000000</v>
      </c>
      <c r="F479" s="52">
        <v>11235000000</v>
      </c>
      <c r="G479" s="52">
        <v>965000000</v>
      </c>
      <c r="H479" s="52" t="s">
        <v>757</v>
      </c>
      <c r="I479" s="52">
        <v>2145000000</v>
      </c>
      <c r="J479" s="51" t="s">
        <v>70</v>
      </c>
      <c r="K479" s="51" t="s">
        <v>73</v>
      </c>
      <c r="L479" s="41">
        <f t="shared" si="35"/>
        <v>6677000000</v>
      </c>
      <c r="M479" s="41">
        <f t="shared" si="36"/>
        <v>3110000000</v>
      </c>
      <c r="N479" s="41">
        <f t="shared" si="37"/>
        <v>3567000000</v>
      </c>
      <c r="O479" s="41">
        <f t="shared" si="38"/>
        <v>0.82637338097364899</v>
      </c>
      <c r="P479" s="41">
        <f t="shared" si="39"/>
        <v>0.19914024117909782</v>
      </c>
    </row>
    <row r="480" spans="1:16" ht="19.95" customHeight="1">
      <c r="A480" s="49">
        <v>505</v>
      </c>
      <c r="B480" s="50" t="s">
        <v>309</v>
      </c>
      <c r="C480" s="51" t="s">
        <v>16</v>
      </c>
      <c r="D480" s="51" t="s">
        <v>17</v>
      </c>
      <c r="E480" s="52">
        <v>22756000000</v>
      </c>
      <c r="F480" s="52">
        <v>13545000000</v>
      </c>
      <c r="G480" s="52">
        <v>1274000000</v>
      </c>
      <c r="H480" s="52" t="s">
        <v>757</v>
      </c>
      <c r="I480" s="52">
        <v>2668000000</v>
      </c>
      <c r="J480" s="51" t="s">
        <v>70</v>
      </c>
      <c r="K480" s="51" t="s">
        <v>73</v>
      </c>
      <c r="L480" s="41">
        <f t="shared" si="35"/>
        <v>9211000000</v>
      </c>
      <c r="M480" s="41">
        <f t="shared" si="36"/>
        <v>3942000000</v>
      </c>
      <c r="N480" s="41">
        <f t="shared" si="37"/>
        <v>5269000000</v>
      </c>
      <c r="O480" s="41">
        <f t="shared" si="38"/>
        <v>0.82677096150465812</v>
      </c>
      <c r="P480" s="41">
        <f t="shared" si="39"/>
        <v>0.23154332923185095</v>
      </c>
    </row>
    <row r="481" spans="1:16" ht="19.95" customHeight="1">
      <c r="A481" s="49">
        <v>506</v>
      </c>
      <c r="B481" s="50" t="s">
        <v>309</v>
      </c>
      <c r="C481" s="51" t="s">
        <v>18</v>
      </c>
      <c r="D481" s="51" t="s">
        <v>19</v>
      </c>
      <c r="E481" s="52">
        <v>23925000000</v>
      </c>
      <c r="F481" s="52">
        <v>14323000000</v>
      </c>
      <c r="G481" s="52">
        <v>1213000000</v>
      </c>
      <c r="H481" s="52" t="s">
        <v>757</v>
      </c>
      <c r="I481" s="52">
        <v>3066000000</v>
      </c>
      <c r="J481" s="51" t="s">
        <v>70</v>
      </c>
      <c r="K481" s="51" t="s">
        <v>73</v>
      </c>
      <c r="L481" s="41">
        <f t="shared" si="35"/>
        <v>9602000000</v>
      </c>
      <c r="M481" s="41">
        <f t="shared" si="36"/>
        <v>4279000000</v>
      </c>
      <c r="N481" s="41">
        <f t="shared" si="37"/>
        <v>5323000000</v>
      </c>
      <c r="O481" s="41">
        <f t="shared" si="38"/>
        <v>0.82114942528735635</v>
      </c>
      <c r="P481" s="41">
        <f t="shared" si="39"/>
        <v>0.22248693834900732</v>
      </c>
    </row>
    <row r="482" spans="1:16" ht="19.95" customHeight="1">
      <c r="A482" s="49">
        <v>507</v>
      </c>
      <c r="B482" s="50" t="s">
        <v>309</v>
      </c>
      <c r="C482" s="51" t="s">
        <v>20</v>
      </c>
      <c r="D482" s="51" t="s">
        <v>21</v>
      </c>
      <c r="E482" s="52">
        <v>23459000000</v>
      </c>
      <c r="F482" s="52">
        <v>13728000000</v>
      </c>
      <c r="G482" s="52">
        <v>1135000000</v>
      </c>
      <c r="H482" s="52" t="s">
        <v>757</v>
      </c>
      <c r="I482" s="52">
        <v>3144000000</v>
      </c>
      <c r="J482" s="51" t="s">
        <v>70</v>
      </c>
      <c r="K482" s="51" t="s">
        <v>73</v>
      </c>
      <c r="L482" s="41">
        <f t="shared" si="35"/>
        <v>9731000000</v>
      </c>
      <c r="M482" s="41">
        <f t="shared" si="36"/>
        <v>4279000000</v>
      </c>
      <c r="N482" s="41">
        <f t="shared" si="37"/>
        <v>5452000000</v>
      </c>
      <c r="O482" s="41">
        <f t="shared" si="38"/>
        <v>0.81759665799906223</v>
      </c>
      <c r="P482" s="41">
        <f t="shared" si="39"/>
        <v>0.23240547337908693</v>
      </c>
    </row>
    <row r="483" spans="1:16" ht="19.95" customHeight="1">
      <c r="A483" s="49">
        <v>508</v>
      </c>
      <c r="B483" s="50" t="s">
        <v>310</v>
      </c>
      <c r="C483" s="51" t="s">
        <v>11</v>
      </c>
      <c r="D483" s="51" t="s">
        <v>12</v>
      </c>
      <c r="E483" s="52">
        <v>8186280000</v>
      </c>
      <c r="F483" s="52">
        <v>5583549000</v>
      </c>
      <c r="G483" s="52">
        <v>889879000</v>
      </c>
      <c r="H483" s="52" t="s">
        <v>757</v>
      </c>
      <c r="I483" s="52">
        <v>341969000</v>
      </c>
      <c r="J483" s="51" t="s">
        <v>37</v>
      </c>
      <c r="K483" s="51" t="s">
        <v>289</v>
      </c>
      <c r="L483" s="41">
        <f t="shared" si="35"/>
        <v>2602731000</v>
      </c>
      <c r="M483" s="41">
        <f t="shared" si="36"/>
        <v>1231848000</v>
      </c>
      <c r="N483" s="41">
        <f t="shared" si="37"/>
        <v>1370883000</v>
      </c>
      <c r="O483" s="41">
        <f t="shared" si="38"/>
        <v>0.84952286020023748</v>
      </c>
      <c r="P483" s="41">
        <f t="shared" si="39"/>
        <v>0.16746104457702399</v>
      </c>
    </row>
    <row r="484" spans="1:16" ht="19.95" customHeight="1">
      <c r="A484" s="49">
        <v>509</v>
      </c>
      <c r="B484" s="50" t="s">
        <v>310</v>
      </c>
      <c r="C484" s="51" t="s">
        <v>16</v>
      </c>
      <c r="D484" s="51" t="s">
        <v>17</v>
      </c>
      <c r="E484" s="52">
        <v>11764050000</v>
      </c>
      <c r="F484" s="52">
        <v>8198377000</v>
      </c>
      <c r="G484" s="52">
        <v>1516508000</v>
      </c>
      <c r="H484" s="52" t="s">
        <v>757</v>
      </c>
      <c r="I484" s="52">
        <v>528737000</v>
      </c>
      <c r="J484" s="51" t="s">
        <v>37</v>
      </c>
      <c r="K484" s="51" t="s">
        <v>289</v>
      </c>
      <c r="L484" s="41">
        <f t="shared" si="35"/>
        <v>3565673000</v>
      </c>
      <c r="M484" s="41">
        <f t="shared" si="36"/>
        <v>2045245000</v>
      </c>
      <c r="N484" s="41">
        <f t="shared" si="37"/>
        <v>1520428000</v>
      </c>
      <c r="O484" s="41">
        <f t="shared" si="38"/>
        <v>0.82614448255490247</v>
      </c>
      <c r="P484" s="41">
        <f t="shared" si="39"/>
        <v>0.12924358532988214</v>
      </c>
    </row>
    <row r="485" spans="1:16" ht="19.95" customHeight="1">
      <c r="A485" s="49">
        <v>510</v>
      </c>
      <c r="B485" s="50" t="s">
        <v>310</v>
      </c>
      <c r="C485" s="51" t="s">
        <v>18</v>
      </c>
      <c r="D485" s="51" t="s">
        <v>19</v>
      </c>
      <c r="E485" s="52">
        <v>12795106000</v>
      </c>
      <c r="F485" s="52">
        <v>9119305000</v>
      </c>
      <c r="G485" s="52">
        <v>1278506000</v>
      </c>
      <c r="H485" s="52" t="s">
        <v>757</v>
      </c>
      <c r="I485" s="52">
        <v>590935000</v>
      </c>
      <c r="J485" s="51" t="s">
        <v>37</v>
      </c>
      <c r="K485" s="51" t="s">
        <v>289</v>
      </c>
      <c r="L485" s="41">
        <f t="shared" si="35"/>
        <v>3675801000</v>
      </c>
      <c r="M485" s="41">
        <f t="shared" si="36"/>
        <v>1869441000</v>
      </c>
      <c r="N485" s="41">
        <f t="shared" si="37"/>
        <v>1806360000</v>
      </c>
      <c r="O485" s="41">
        <f t="shared" si="38"/>
        <v>0.85389405918169026</v>
      </c>
      <c r="P485" s="41">
        <f t="shared" si="39"/>
        <v>0.14117585270493266</v>
      </c>
    </row>
    <row r="486" spans="1:16" ht="19.95" customHeight="1">
      <c r="A486" s="49">
        <v>511</v>
      </c>
      <c r="B486" s="50" t="s">
        <v>310</v>
      </c>
      <c r="C486" s="51" t="s">
        <v>20</v>
      </c>
      <c r="D486" s="51" t="s">
        <v>21</v>
      </c>
      <c r="E486" s="52">
        <v>13781837000</v>
      </c>
      <c r="F486" s="52">
        <v>9824834000</v>
      </c>
      <c r="G486" s="52">
        <v>1947135000</v>
      </c>
      <c r="H486" s="52" t="s">
        <v>757</v>
      </c>
      <c r="I486" s="52">
        <v>638024000</v>
      </c>
      <c r="J486" s="51" t="s">
        <v>37</v>
      </c>
      <c r="K486" s="51" t="s">
        <v>289</v>
      </c>
      <c r="L486" s="41">
        <f t="shared" si="35"/>
        <v>3957003000</v>
      </c>
      <c r="M486" s="41">
        <f t="shared" si="36"/>
        <v>2585159000</v>
      </c>
      <c r="N486" s="41">
        <f t="shared" si="37"/>
        <v>1371844000</v>
      </c>
      <c r="O486" s="41">
        <f t="shared" si="38"/>
        <v>0.8124227561246008</v>
      </c>
      <c r="P486" s="41">
        <f t="shared" si="39"/>
        <v>9.9539996010691467E-2</v>
      </c>
    </row>
    <row r="487" spans="1:16" ht="19.95" customHeight="1">
      <c r="A487" s="49">
        <v>512</v>
      </c>
      <c r="B487" s="50" t="s">
        <v>311</v>
      </c>
      <c r="C487" s="51" t="s">
        <v>11</v>
      </c>
      <c r="D487" s="51" t="s">
        <v>17</v>
      </c>
      <c r="E487" s="52">
        <v>10397000000</v>
      </c>
      <c r="F487" s="52">
        <v>2268000000</v>
      </c>
      <c r="G487" s="52">
        <v>2743000000</v>
      </c>
      <c r="H487" s="52" t="s">
        <v>757</v>
      </c>
      <c r="I487" s="52">
        <v>2780000000</v>
      </c>
      <c r="J487" s="51" t="s">
        <v>116</v>
      </c>
      <c r="K487" s="51" t="s">
        <v>117</v>
      </c>
      <c r="L487" s="41">
        <f t="shared" si="35"/>
        <v>8129000000</v>
      </c>
      <c r="M487" s="41">
        <f t="shared" si="36"/>
        <v>5523000000</v>
      </c>
      <c r="N487" s="41">
        <f t="shared" si="37"/>
        <v>2606000000</v>
      </c>
      <c r="O487" s="41">
        <f t="shared" si="38"/>
        <v>0.46878907377128021</v>
      </c>
      <c r="P487" s="41">
        <f t="shared" si="39"/>
        <v>0.2506492257381937</v>
      </c>
    </row>
    <row r="488" spans="1:16" ht="19.95" customHeight="1">
      <c r="A488" s="53">
        <v>513</v>
      </c>
      <c r="B488" s="54" t="s">
        <v>311</v>
      </c>
      <c r="C488" s="55" t="s">
        <v>16</v>
      </c>
      <c r="D488" s="55" t="s">
        <v>19</v>
      </c>
      <c r="E488" s="56">
        <v>20638000000</v>
      </c>
      <c r="F488" s="56">
        <v>2332000000</v>
      </c>
      <c r="G488" s="56">
        <v>8290000000</v>
      </c>
      <c r="H488" s="56" t="s">
        <v>757</v>
      </c>
      <c r="I488" s="56">
        <v>3319000000</v>
      </c>
      <c r="J488" s="55" t="s">
        <v>116</v>
      </c>
      <c r="K488" s="55" t="s">
        <v>117</v>
      </c>
      <c r="L488" s="57">
        <f t="shared" si="35"/>
        <v>18306000000</v>
      </c>
      <c r="M488" s="57">
        <f t="shared" si="36"/>
        <v>11609000000</v>
      </c>
      <c r="N488" s="57">
        <f t="shared" si="37"/>
        <v>6697000000</v>
      </c>
      <c r="O488" s="57">
        <f t="shared" si="38"/>
        <v>0.43749394321155155</v>
      </c>
      <c r="P488" s="57">
        <f t="shared" si="39"/>
        <v>0.32449849791646479</v>
      </c>
    </row>
    <row r="489" spans="1:16" ht="19.95" customHeight="1">
      <c r="A489" s="49">
        <v>514</v>
      </c>
      <c r="B489" s="50" t="s">
        <v>311</v>
      </c>
      <c r="C489" s="51" t="s">
        <v>18</v>
      </c>
      <c r="D489" s="51" t="s">
        <v>21</v>
      </c>
      <c r="E489" s="52">
        <v>13145000000</v>
      </c>
      <c r="F489" s="52">
        <v>2104000000</v>
      </c>
      <c r="G489" s="52">
        <v>7741000000</v>
      </c>
      <c r="H489" s="52" t="s">
        <v>757</v>
      </c>
      <c r="I489" s="52">
        <v>3129000000</v>
      </c>
      <c r="J489" s="51" t="s">
        <v>116</v>
      </c>
      <c r="K489" s="51" t="s">
        <v>117</v>
      </c>
      <c r="L489" s="41">
        <f t="shared" si="35"/>
        <v>11041000000</v>
      </c>
      <c r="M489" s="41">
        <f t="shared" si="36"/>
        <v>10870000000</v>
      </c>
      <c r="N489" s="41">
        <f t="shared" si="37"/>
        <v>171000000</v>
      </c>
      <c r="O489" s="41">
        <f t="shared" si="38"/>
        <v>0.17306960821605177</v>
      </c>
      <c r="P489" s="41">
        <f t="shared" si="39"/>
        <v>1.300874857360213E-2</v>
      </c>
    </row>
    <row r="490" spans="1:16" ht="19.95" customHeight="1">
      <c r="A490" s="49">
        <v>515</v>
      </c>
      <c r="B490" s="50" t="s">
        <v>311</v>
      </c>
      <c r="C490" s="51" t="s">
        <v>20</v>
      </c>
      <c r="D490" s="51" t="s">
        <v>84</v>
      </c>
      <c r="E490" s="52">
        <v>12197000000</v>
      </c>
      <c r="F490" s="52">
        <v>1582000000</v>
      </c>
      <c r="G490" s="52">
        <v>6476000000</v>
      </c>
      <c r="H490" s="52" t="s">
        <v>757</v>
      </c>
      <c r="I490" s="52">
        <v>1792000000</v>
      </c>
      <c r="J490" s="51" t="s">
        <v>116</v>
      </c>
      <c r="K490" s="51" t="s">
        <v>117</v>
      </c>
      <c r="L490" s="41">
        <f t="shared" si="35"/>
        <v>10615000000</v>
      </c>
      <c r="M490" s="41">
        <f t="shared" si="36"/>
        <v>8268000000</v>
      </c>
      <c r="N490" s="41">
        <f t="shared" si="37"/>
        <v>2347000000</v>
      </c>
      <c r="O490" s="41">
        <f t="shared" si="38"/>
        <v>0.32212839222759693</v>
      </c>
      <c r="P490" s="41">
        <f t="shared" si="39"/>
        <v>0.19242436664753629</v>
      </c>
    </row>
    <row r="491" spans="1:16" ht="19.95" customHeight="1">
      <c r="A491" s="49">
        <v>516</v>
      </c>
      <c r="B491" s="50" t="s">
        <v>312</v>
      </c>
      <c r="C491" s="51" t="s">
        <v>11</v>
      </c>
      <c r="D491" s="51" t="s">
        <v>313</v>
      </c>
      <c r="E491" s="52">
        <v>3797000000</v>
      </c>
      <c r="F491" s="52">
        <v>1388000000</v>
      </c>
      <c r="G491" s="52">
        <v>1078000000</v>
      </c>
      <c r="H491" s="52">
        <v>1153000000</v>
      </c>
      <c r="I491" s="52">
        <v>30000000</v>
      </c>
      <c r="J491" s="51" t="s">
        <v>31</v>
      </c>
      <c r="K491" s="51" t="s">
        <v>126</v>
      </c>
      <c r="L491" s="41">
        <f t="shared" si="35"/>
        <v>2409000000</v>
      </c>
      <c r="M491" s="41">
        <f t="shared" si="36"/>
        <v>2261000000</v>
      </c>
      <c r="N491" s="41">
        <f t="shared" si="37"/>
        <v>148000000</v>
      </c>
      <c r="O491" s="41">
        <f t="shared" si="38"/>
        <v>0.40452989202001577</v>
      </c>
      <c r="P491" s="41">
        <f t="shared" si="39"/>
        <v>3.8978140637345275E-2</v>
      </c>
    </row>
    <row r="492" spans="1:16" ht="19.95" customHeight="1">
      <c r="A492" s="49">
        <v>517</v>
      </c>
      <c r="B492" s="50" t="s">
        <v>312</v>
      </c>
      <c r="C492" s="51" t="s">
        <v>16</v>
      </c>
      <c r="D492" s="51" t="s">
        <v>314</v>
      </c>
      <c r="E492" s="52">
        <v>3575000000</v>
      </c>
      <c r="F492" s="52">
        <v>1347000000</v>
      </c>
      <c r="G492" s="52">
        <v>1055000000</v>
      </c>
      <c r="H492" s="52">
        <v>1125000000</v>
      </c>
      <c r="I492" s="52">
        <v>16000000</v>
      </c>
      <c r="J492" s="51" t="s">
        <v>31</v>
      </c>
      <c r="K492" s="51" t="s">
        <v>126</v>
      </c>
      <c r="L492" s="41">
        <f t="shared" si="35"/>
        <v>2228000000</v>
      </c>
      <c r="M492" s="41">
        <f t="shared" si="36"/>
        <v>2196000000</v>
      </c>
      <c r="N492" s="41">
        <f t="shared" si="37"/>
        <v>32000000</v>
      </c>
      <c r="O492" s="41">
        <f t="shared" si="38"/>
        <v>0.38573426573426572</v>
      </c>
      <c r="P492" s="41">
        <f t="shared" si="39"/>
        <v>8.951048951048951E-3</v>
      </c>
    </row>
    <row r="493" spans="1:16" ht="19.95" customHeight="1">
      <c r="A493" s="49">
        <v>518</v>
      </c>
      <c r="B493" s="50" t="s">
        <v>312</v>
      </c>
      <c r="C493" s="51" t="s">
        <v>18</v>
      </c>
      <c r="D493" s="51" t="s">
        <v>315</v>
      </c>
      <c r="E493" s="52">
        <v>4515000000</v>
      </c>
      <c r="F493" s="52">
        <v>1429000000</v>
      </c>
      <c r="G493" s="52">
        <v>1030000000</v>
      </c>
      <c r="H493" s="52">
        <v>1094000000</v>
      </c>
      <c r="I493" s="52">
        <v>14000000</v>
      </c>
      <c r="J493" s="51" t="s">
        <v>31</v>
      </c>
      <c r="K493" s="51" t="s">
        <v>126</v>
      </c>
      <c r="L493" s="41">
        <f t="shared" si="35"/>
        <v>3086000000</v>
      </c>
      <c r="M493" s="41">
        <f t="shared" si="36"/>
        <v>2138000000</v>
      </c>
      <c r="N493" s="41">
        <f t="shared" si="37"/>
        <v>948000000</v>
      </c>
      <c r="O493" s="41">
        <f t="shared" si="38"/>
        <v>0.52646733111849398</v>
      </c>
      <c r="P493" s="41">
        <f t="shared" si="39"/>
        <v>0.20996677740863787</v>
      </c>
    </row>
    <row r="494" spans="1:16" ht="19.95" customHeight="1">
      <c r="A494" s="49">
        <v>519</v>
      </c>
      <c r="B494" s="50" t="s">
        <v>312</v>
      </c>
      <c r="C494" s="51" t="s">
        <v>20</v>
      </c>
      <c r="D494" s="51" t="s">
        <v>316</v>
      </c>
      <c r="E494" s="52">
        <v>4396000000</v>
      </c>
      <c r="F494" s="52">
        <v>1354000000</v>
      </c>
      <c r="G494" s="52">
        <v>1028000000</v>
      </c>
      <c r="H494" s="52">
        <v>1109000000</v>
      </c>
      <c r="I494" s="52">
        <v>7000000</v>
      </c>
      <c r="J494" s="51" t="s">
        <v>31</v>
      </c>
      <c r="K494" s="51" t="s">
        <v>126</v>
      </c>
      <c r="L494" s="41">
        <f t="shared" si="35"/>
        <v>3042000000</v>
      </c>
      <c r="M494" s="41">
        <f t="shared" si="36"/>
        <v>2144000000</v>
      </c>
      <c r="N494" s="41">
        <f t="shared" si="37"/>
        <v>898000000</v>
      </c>
      <c r="O494" s="41">
        <f t="shared" si="38"/>
        <v>0.51228389444949962</v>
      </c>
      <c r="P494" s="41">
        <f t="shared" si="39"/>
        <v>0.20427661510464057</v>
      </c>
    </row>
    <row r="495" spans="1:16" ht="19.95" customHeight="1">
      <c r="A495" s="49">
        <v>520</v>
      </c>
      <c r="B495" s="50" t="s">
        <v>317</v>
      </c>
      <c r="C495" s="51" t="s">
        <v>11</v>
      </c>
      <c r="D495" s="51" t="s">
        <v>17</v>
      </c>
      <c r="E495" s="52">
        <v>8257000000</v>
      </c>
      <c r="F495" s="52">
        <v>1492000000</v>
      </c>
      <c r="G495" s="52">
        <v>3260000000</v>
      </c>
      <c r="H495" s="52">
        <v>915000000</v>
      </c>
      <c r="I495" s="52">
        <v>136000000</v>
      </c>
      <c r="J495" s="51" t="s">
        <v>31</v>
      </c>
      <c r="K495" s="51" t="s">
        <v>86</v>
      </c>
      <c r="L495" s="41">
        <f t="shared" si="35"/>
        <v>6765000000</v>
      </c>
      <c r="M495" s="41">
        <f t="shared" si="36"/>
        <v>4311000000</v>
      </c>
      <c r="N495" s="41">
        <f t="shared" si="37"/>
        <v>2454000000</v>
      </c>
      <c r="O495" s="41">
        <f t="shared" si="38"/>
        <v>0.47789754147995644</v>
      </c>
      <c r="P495" s="41">
        <f t="shared" si="39"/>
        <v>0.29720237374349034</v>
      </c>
    </row>
    <row r="496" spans="1:16" ht="19.95" customHeight="1">
      <c r="A496" s="49">
        <v>521</v>
      </c>
      <c r="B496" s="50" t="s">
        <v>317</v>
      </c>
      <c r="C496" s="51" t="s">
        <v>16</v>
      </c>
      <c r="D496" s="51" t="s">
        <v>19</v>
      </c>
      <c r="E496" s="52">
        <v>8790000000</v>
      </c>
      <c r="F496" s="52">
        <v>1663000000</v>
      </c>
      <c r="G496" s="52">
        <v>3593000000</v>
      </c>
      <c r="H496" s="52">
        <v>983000000</v>
      </c>
      <c r="I496" s="52">
        <v>75000000</v>
      </c>
      <c r="J496" s="51" t="s">
        <v>31</v>
      </c>
      <c r="K496" s="51" t="s">
        <v>86</v>
      </c>
      <c r="L496" s="41">
        <f t="shared" si="35"/>
        <v>7127000000</v>
      </c>
      <c r="M496" s="41">
        <f t="shared" si="36"/>
        <v>4651000000</v>
      </c>
      <c r="N496" s="41">
        <f t="shared" si="37"/>
        <v>2476000000</v>
      </c>
      <c r="O496" s="41">
        <f t="shared" si="38"/>
        <v>0.47087599544937431</v>
      </c>
      <c r="P496" s="41">
        <f t="shared" si="39"/>
        <v>0.28168373151308307</v>
      </c>
    </row>
    <row r="497" spans="1:16" ht="19.95" customHeight="1">
      <c r="A497" s="49">
        <v>522</v>
      </c>
      <c r="B497" s="50" t="s">
        <v>317</v>
      </c>
      <c r="C497" s="51" t="s">
        <v>18</v>
      </c>
      <c r="D497" s="51" t="s">
        <v>21</v>
      </c>
      <c r="E497" s="52">
        <v>8592000000</v>
      </c>
      <c r="F497" s="52">
        <v>1771000000</v>
      </c>
      <c r="G497" s="52">
        <v>3660000000</v>
      </c>
      <c r="H497" s="52">
        <v>923000000</v>
      </c>
      <c r="I497" s="52">
        <v>41000000</v>
      </c>
      <c r="J497" s="51" t="s">
        <v>31</v>
      </c>
      <c r="K497" s="51" t="s">
        <v>86</v>
      </c>
      <c r="L497" s="41">
        <f t="shared" si="35"/>
        <v>6821000000</v>
      </c>
      <c r="M497" s="41">
        <f t="shared" si="36"/>
        <v>4624000000</v>
      </c>
      <c r="N497" s="41">
        <f t="shared" si="37"/>
        <v>2197000000</v>
      </c>
      <c r="O497" s="41">
        <f t="shared" si="38"/>
        <v>0.46182495344506513</v>
      </c>
      <c r="P497" s="41">
        <f t="shared" si="39"/>
        <v>0.25570297951582865</v>
      </c>
    </row>
    <row r="498" spans="1:16" ht="19.95" customHeight="1">
      <c r="A498" s="49">
        <v>523</v>
      </c>
      <c r="B498" s="50" t="s">
        <v>317</v>
      </c>
      <c r="C498" s="51" t="s">
        <v>20</v>
      </c>
      <c r="D498" s="51" t="s">
        <v>84</v>
      </c>
      <c r="E498" s="52">
        <v>8979000000</v>
      </c>
      <c r="F498" s="52">
        <v>2007000000</v>
      </c>
      <c r="G498" s="52">
        <v>3499000000</v>
      </c>
      <c r="H498" s="52">
        <v>1114000000</v>
      </c>
      <c r="I498" s="52">
        <v>34000000</v>
      </c>
      <c r="J498" s="51" t="s">
        <v>31</v>
      </c>
      <c r="K498" s="51" t="s">
        <v>86</v>
      </c>
      <c r="L498" s="41">
        <f t="shared" si="35"/>
        <v>6972000000</v>
      </c>
      <c r="M498" s="41">
        <f t="shared" si="36"/>
        <v>4647000000</v>
      </c>
      <c r="N498" s="41">
        <f t="shared" si="37"/>
        <v>2325000000</v>
      </c>
      <c r="O498" s="41">
        <f t="shared" si="38"/>
        <v>0.48245907116605413</v>
      </c>
      <c r="P498" s="41">
        <f t="shared" si="39"/>
        <v>0.25893752088205813</v>
      </c>
    </row>
    <row r="499" spans="1:16" ht="19.95" customHeight="1">
      <c r="A499" s="49">
        <v>524</v>
      </c>
      <c r="B499" s="50" t="s">
        <v>318</v>
      </c>
      <c r="C499" s="51" t="s">
        <v>11</v>
      </c>
      <c r="D499" s="51" t="s">
        <v>12</v>
      </c>
      <c r="E499" s="52">
        <v>11838700000</v>
      </c>
      <c r="F499" s="52">
        <v>6385400000</v>
      </c>
      <c r="G499" s="52">
        <v>4018300000</v>
      </c>
      <c r="H499" s="52" t="s">
        <v>757</v>
      </c>
      <c r="I499" s="52" t="s">
        <v>757</v>
      </c>
      <c r="J499" s="51" t="s">
        <v>88</v>
      </c>
      <c r="K499" s="51" t="s">
        <v>89</v>
      </c>
      <c r="L499" s="41">
        <f t="shared" si="35"/>
        <v>5453300000</v>
      </c>
      <c r="M499" s="41">
        <f t="shared" si="36"/>
        <v>4018300000</v>
      </c>
      <c r="N499" s="41">
        <f t="shared" si="37"/>
        <v>1435000000</v>
      </c>
      <c r="O499" s="41">
        <f t="shared" si="38"/>
        <v>0.66057928657707343</v>
      </c>
      <c r="P499" s="41">
        <f t="shared" si="39"/>
        <v>0.12121263314384181</v>
      </c>
    </row>
    <row r="500" spans="1:16" ht="19.95" customHeight="1">
      <c r="A500" s="49">
        <v>525</v>
      </c>
      <c r="B500" s="50" t="s">
        <v>318</v>
      </c>
      <c r="C500" s="51" t="s">
        <v>16</v>
      </c>
      <c r="D500" s="51" t="s">
        <v>17</v>
      </c>
      <c r="E500" s="52">
        <v>13253400000</v>
      </c>
      <c r="F500" s="52">
        <v>7161200000</v>
      </c>
      <c r="G500" s="52">
        <v>4360300000</v>
      </c>
      <c r="H500" s="52" t="s">
        <v>757</v>
      </c>
      <c r="I500" s="52" t="s">
        <v>757</v>
      </c>
      <c r="J500" s="51" t="s">
        <v>88</v>
      </c>
      <c r="K500" s="51" t="s">
        <v>89</v>
      </c>
      <c r="L500" s="41">
        <f t="shared" si="35"/>
        <v>6092200000</v>
      </c>
      <c r="M500" s="41">
        <f t="shared" si="36"/>
        <v>4360300000</v>
      </c>
      <c r="N500" s="41">
        <f t="shared" si="37"/>
        <v>1731900000</v>
      </c>
      <c r="O500" s="41">
        <f t="shared" si="38"/>
        <v>0.67100517603030163</v>
      </c>
      <c r="P500" s="41">
        <f t="shared" si="39"/>
        <v>0.13067590203268595</v>
      </c>
    </row>
    <row r="501" spans="1:16" ht="19.95" customHeight="1">
      <c r="A501" s="49">
        <v>526</v>
      </c>
      <c r="B501" s="50" t="s">
        <v>318</v>
      </c>
      <c r="C501" s="51" t="s">
        <v>18</v>
      </c>
      <c r="D501" s="51" t="s">
        <v>19</v>
      </c>
      <c r="E501" s="52">
        <v>14280500000</v>
      </c>
      <c r="F501" s="52">
        <v>7679100000</v>
      </c>
      <c r="G501" s="52">
        <v>4577600000</v>
      </c>
      <c r="H501" s="52" t="s">
        <v>757</v>
      </c>
      <c r="I501" s="52" t="s">
        <v>757</v>
      </c>
      <c r="J501" s="51" t="s">
        <v>88</v>
      </c>
      <c r="K501" s="51" t="s">
        <v>89</v>
      </c>
      <c r="L501" s="41">
        <f t="shared" si="35"/>
        <v>6601400000</v>
      </c>
      <c r="M501" s="41">
        <f t="shared" si="36"/>
        <v>4577600000</v>
      </c>
      <c r="N501" s="41">
        <f t="shared" si="37"/>
        <v>2023800000</v>
      </c>
      <c r="O501" s="41">
        <f t="shared" si="38"/>
        <v>0.67945099961485944</v>
      </c>
      <c r="P501" s="41">
        <f t="shared" si="39"/>
        <v>0.14171772697034418</v>
      </c>
    </row>
    <row r="502" spans="1:16" ht="19.95" customHeight="1">
      <c r="A502" s="49">
        <v>527</v>
      </c>
      <c r="B502" s="50" t="s">
        <v>318</v>
      </c>
      <c r="C502" s="51" t="s">
        <v>20</v>
      </c>
      <c r="D502" s="51" t="s">
        <v>21</v>
      </c>
      <c r="E502" s="52">
        <v>13545100000</v>
      </c>
      <c r="F502" s="52">
        <v>7223500000</v>
      </c>
      <c r="G502" s="52">
        <v>4345500000</v>
      </c>
      <c r="H502" s="52" t="s">
        <v>757</v>
      </c>
      <c r="I502" s="52" t="s">
        <v>757</v>
      </c>
      <c r="J502" s="51" t="s">
        <v>88</v>
      </c>
      <c r="K502" s="51" t="s">
        <v>89</v>
      </c>
      <c r="L502" s="41">
        <f t="shared" si="35"/>
        <v>6321600000</v>
      </c>
      <c r="M502" s="41">
        <f t="shared" si="36"/>
        <v>4345500000</v>
      </c>
      <c r="N502" s="41">
        <f t="shared" si="37"/>
        <v>1976100000</v>
      </c>
      <c r="O502" s="41">
        <f t="shared" si="38"/>
        <v>0.67918287794110044</v>
      </c>
      <c r="P502" s="41">
        <f t="shared" si="39"/>
        <v>0.14589039578888308</v>
      </c>
    </row>
    <row r="503" spans="1:16" ht="19.95" customHeight="1">
      <c r="A503" s="49">
        <v>528</v>
      </c>
      <c r="B503" s="50" t="s">
        <v>319</v>
      </c>
      <c r="C503" s="51" t="s">
        <v>11</v>
      </c>
      <c r="D503" s="51" t="s">
        <v>17</v>
      </c>
      <c r="E503" s="52">
        <v>12354000000</v>
      </c>
      <c r="F503" s="52">
        <v>7191000000</v>
      </c>
      <c r="G503" s="52">
        <v>1895000000</v>
      </c>
      <c r="H503" s="52" t="s">
        <v>757</v>
      </c>
      <c r="I503" s="52">
        <v>1024000000</v>
      </c>
      <c r="J503" s="51" t="s">
        <v>70</v>
      </c>
      <c r="K503" s="51" t="s">
        <v>73</v>
      </c>
      <c r="L503" s="41">
        <f t="shared" si="35"/>
        <v>5163000000</v>
      </c>
      <c r="M503" s="41">
        <f t="shared" si="36"/>
        <v>2919000000</v>
      </c>
      <c r="N503" s="41">
        <f t="shared" si="37"/>
        <v>2244000000</v>
      </c>
      <c r="O503" s="41">
        <f t="shared" si="38"/>
        <v>0.76372025254978149</v>
      </c>
      <c r="P503" s="41">
        <f t="shared" si="39"/>
        <v>0.18164157357940747</v>
      </c>
    </row>
    <row r="504" spans="1:16" ht="19.95" customHeight="1">
      <c r="A504" s="49">
        <v>529</v>
      </c>
      <c r="B504" s="50" t="s">
        <v>319</v>
      </c>
      <c r="C504" s="51" t="s">
        <v>16</v>
      </c>
      <c r="D504" s="51" t="s">
        <v>19</v>
      </c>
      <c r="E504" s="52">
        <v>12919000000</v>
      </c>
      <c r="F504" s="52">
        <v>7807000000</v>
      </c>
      <c r="G504" s="52">
        <v>1877000000</v>
      </c>
      <c r="H504" s="52" t="s">
        <v>757</v>
      </c>
      <c r="I504" s="52">
        <v>1071000000</v>
      </c>
      <c r="J504" s="51" t="s">
        <v>70</v>
      </c>
      <c r="K504" s="51" t="s">
        <v>73</v>
      </c>
      <c r="L504" s="41">
        <f t="shared" si="35"/>
        <v>5112000000</v>
      </c>
      <c r="M504" s="41">
        <f t="shared" si="36"/>
        <v>2948000000</v>
      </c>
      <c r="N504" s="41">
        <f t="shared" si="37"/>
        <v>2164000000</v>
      </c>
      <c r="O504" s="41">
        <f t="shared" si="38"/>
        <v>0.77180896354206985</v>
      </c>
      <c r="P504" s="41">
        <f t="shared" si="39"/>
        <v>0.16750522486260547</v>
      </c>
    </row>
    <row r="505" spans="1:16" ht="19.95" customHeight="1">
      <c r="A505" s="49">
        <v>530</v>
      </c>
      <c r="B505" s="50" t="s">
        <v>319</v>
      </c>
      <c r="C505" s="51" t="s">
        <v>18</v>
      </c>
      <c r="D505" s="51" t="s">
        <v>21</v>
      </c>
      <c r="E505" s="52">
        <v>12554000000</v>
      </c>
      <c r="F505" s="52">
        <v>7060000000</v>
      </c>
      <c r="G505" s="52">
        <v>1937000000</v>
      </c>
      <c r="H505" s="52" t="s">
        <v>757</v>
      </c>
      <c r="I505" s="52">
        <v>1130000000</v>
      </c>
      <c r="J505" s="51" t="s">
        <v>70</v>
      </c>
      <c r="K505" s="51" t="s">
        <v>73</v>
      </c>
      <c r="L505" s="41">
        <f t="shared" si="35"/>
        <v>5494000000</v>
      </c>
      <c r="M505" s="41">
        <f t="shared" si="36"/>
        <v>3067000000</v>
      </c>
      <c r="N505" s="41">
        <f t="shared" si="37"/>
        <v>2427000000</v>
      </c>
      <c r="O505" s="41">
        <f t="shared" si="38"/>
        <v>0.75569539588975632</v>
      </c>
      <c r="P505" s="41">
        <f t="shared" si="39"/>
        <v>0.19332483670543252</v>
      </c>
    </row>
    <row r="506" spans="1:16" ht="19.95" customHeight="1">
      <c r="A506" s="49">
        <v>531</v>
      </c>
      <c r="B506" s="50" t="s">
        <v>319</v>
      </c>
      <c r="C506" s="51" t="s">
        <v>20</v>
      </c>
      <c r="D506" s="51" t="s">
        <v>84</v>
      </c>
      <c r="E506" s="52">
        <v>12075000000</v>
      </c>
      <c r="F506" s="52">
        <v>6357000000</v>
      </c>
      <c r="G506" s="52">
        <v>2031000000</v>
      </c>
      <c r="H506" s="52" t="s">
        <v>757</v>
      </c>
      <c r="I506" s="52">
        <v>1216000000</v>
      </c>
      <c r="J506" s="51" t="s">
        <v>70</v>
      </c>
      <c r="K506" s="51" t="s">
        <v>73</v>
      </c>
      <c r="L506" s="41">
        <f t="shared" si="35"/>
        <v>5718000000</v>
      </c>
      <c r="M506" s="41">
        <f t="shared" si="36"/>
        <v>3247000000</v>
      </c>
      <c r="N506" s="41">
        <f t="shared" si="37"/>
        <v>2471000000</v>
      </c>
      <c r="O506" s="41">
        <f t="shared" si="38"/>
        <v>0.73109730848861276</v>
      </c>
      <c r="P506" s="41">
        <f t="shared" si="39"/>
        <v>0.2046376811594203</v>
      </c>
    </row>
    <row r="507" spans="1:16" ht="19.95" customHeight="1">
      <c r="A507" s="49">
        <v>532</v>
      </c>
      <c r="B507" s="50" t="s">
        <v>320</v>
      </c>
      <c r="C507" s="51" t="s">
        <v>11</v>
      </c>
      <c r="D507" s="51" t="s">
        <v>12</v>
      </c>
      <c r="E507" s="52">
        <v>2073000000</v>
      </c>
      <c r="F507" s="52">
        <v>759500000</v>
      </c>
      <c r="G507" s="52">
        <v>673500000</v>
      </c>
      <c r="H507" s="52" t="s">
        <v>757</v>
      </c>
      <c r="I507" s="52">
        <v>160000000</v>
      </c>
      <c r="J507" s="51" t="s">
        <v>14</v>
      </c>
      <c r="K507" s="51" t="s">
        <v>304</v>
      </c>
      <c r="L507" s="41">
        <f t="shared" si="35"/>
        <v>1313500000</v>
      </c>
      <c r="M507" s="41">
        <f t="shared" si="36"/>
        <v>833500000</v>
      </c>
      <c r="N507" s="41">
        <f t="shared" si="37"/>
        <v>480000000</v>
      </c>
      <c r="O507" s="41">
        <f t="shared" si="38"/>
        <v>0.59792571152918472</v>
      </c>
      <c r="P507" s="41">
        <f t="shared" si="39"/>
        <v>0.23154848046309695</v>
      </c>
    </row>
    <row r="508" spans="1:16" ht="19.95" customHeight="1">
      <c r="A508" s="49">
        <v>533</v>
      </c>
      <c r="B508" s="50" t="s">
        <v>320</v>
      </c>
      <c r="C508" s="51" t="s">
        <v>16</v>
      </c>
      <c r="D508" s="51" t="s">
        <v>17</v>
      </c>
      <c r="E508" s="52">
        <v>2303900000</v>
      </c>
      <c r="F508" s="52">
        <v>787300000</v>
      </c>
      <c r="G508" s="52">
        <v>715800000</v>
      </c>
      <c r="H508" s="52" t="s">
        <v>757</v>
      </c>
      <c r="I508" s="52">
        <v>189600000</v>
      </c>
      <c r="J508" s="51" t="s">
        <v>14</v>
      </c>
      <c r="K508" s="51" t="s">
        <v>304</v>
      </c>
      <c r="L508" s="41">
        <f t="shared" si="35"/>
        <v>1516600000</v>
      </c>
      <c r="M508" s="41">
        <f t="shared" si="36"/>
        <v>905400000</v>
      </c>
      <c r="N508" s="41">
        <f t="shared" si="37"/>
        <v>611200000</v>
      </c>
      <c r="O508" s="41">
        <f t="shared" si="38"/>
        <v>0.60701419332436302</v>
      </c>
      <c r="P508" s="41">
        <f t="shared" si="39"/>
        <v>0.26528929206996832</v>
      </c>
    </row>
    <row r="509" spans="1:16" ht="19.95" customHeight="1">
      <c r="A509" s="49">
        <v>534</v>
      </c>
      <c r="B509" s="50" t="s">
        <v>320</v>
      </c>
      <c r="C509" s="51" t="s">
        <v>18</v>
      </c>
      <c r="D509" s="51" t="s">
        <v>19</v>
      </c>
      <c r="E509" s="52">
        <v>2436400000</v>
      </c>
      <c r="F509" s="52">
        <v>844700000</v>
      </c>
      <c r="G509" s="52">
        <v>751700000</v>
      </c>
      <c r="H509" s="52" t="s">
        <v>757</v>
      </c>
      <c r="I509" s="52">
        <v>201800000</v>
      </c>
      <c r="J509" s="51" t="s">
        <v>14</v>
      </c>
      <c r="K509" s="51" t="s">
        <v>304</v>
      </c>
      <c r="L509" s="41">
        <f t="shared" si="35"/>
        <v>1591700000</v>
      </c>
      <c r="M509" s="41">
        <f t="shared" si="36"/>
        <v>953500000</v>
      </c>
      <c r="N509" s="41">
        <f t="shared" si="37"/>
        <v>638200000</v>
      </c>
      <c r="O509" s="41">
        <f t="shared" si="38"/>
        <v>0.60864390083730091</v>
      </c>
      <c r="P509" s="41">
        <f t="shared" si="39"/>
        <v>0.26194385158430472</v>
      </c>
    </row>
    <row r="510" spans="1:16" ht="19.95" customHeight="1">
      <c r="A510" s="49">
        <v>535</v>
      </c>
      <c r="B510" s="50" t="s">
        <v>320</v>
      </c>
      <c r="C510" s="51" t="s">
        <v>20</v>
      </c>
      <c r="D510" s="51" t="s">
        <v>21</v>
      </c>
      <c r="E510" s="52">
        <v>2663600000</v>
      </c>
      <c r="F510" s="52">
        <v>887400000</v>
      </c>
      <c r="G510" s="52">
        <v>884300000</v>
      </c>
      <c r="H510" s="52" t="s">
        <v>757</v>
      </c>
      <c r="I510" s="52">
        <v>198000000</v>
      </c>
      <c r="J510" s="51" t="s">
        <v>14</v>
      </c>
      <c r="K510" s="51" t="s">
        <v>304</v>
      </c>
      <c r="L510" s="41">
        <f t="shared" si="35"/>
        <v>1776200000</v>
      </c>
      <c r="M510" s="41">
        <f t="shared" si="36"/>
        <v>1082300000</v>
      </c>
      <c r="N510" s="41">
        <f t="shared" si="37"/>
        <v>693900000</v>
      </c>
      <c r="O510" s="41">
        <f t="shared" si="38"/>
        <v>0.59367022075386688</v>
      </c>
      <c r="P510" s="41">
        <f t="shared" si="39"/>
        <v>0.26051208890223759</v>
      </c>
    </row>
    <row r="511" spans="1:16" ht="19.95" customHeight="1">
      <c r="A511" s="49">
        <v>536</v>
      </c>
      <c r="B511" s="50" t="s">
        <v>321</v>
      </c>
      <c r="C511" s="51" t="s">
        <v>11</v>
      </c>
      <c r="D511" s="51" t="s">
        <v>12</v>
      </c>
      <c r="E511" s="52">
        <v>11862000000</v>
      </c>
      <c r="F511" s="52">
        <v>7747000000</v>
      </c>
      <c r="G511" s="52">
        <v>296000000</v>
      </c>
      <c r="H511" s="52" t="s">
        <v>757</v>
      </c>
      <c r="I511" s="52">
        <v>1562000000</v>
      </c>
      <c r="J511" s="51" t="s">
        <v>70</v>
      </c>
      <c r="K511" s="51" t="s">
        <v>73</v>
      </c>
      <c r="L511" s="41">
        <f t="shared" si="35"/>
        <v>4115000000</v>
      </c>
      <c r="M511" s="41">
        <f t="shared" si="36"/>
        <v>1858000000</v>
      </c>
      <c r="N511" s="41">
        <f t="shared" si="37"/>
        <v>2257000000</v>
      </c>
      <c r="O511" s="41">
        <f t="shared" si="38"/>
        <v>0.84336536840330467</v>
      </c>
      <c r="P511" s="41">
        <f t="shared" si="39"/>
        <v>0.19027145506659923</v>
      </c>
    </row>
    <row r="512" spans="1:16" ht="19.95" customHeight="1">
      <c r="A512" s="49">
        <v>537</v>
      </c>
      <c r="B512" s="50" t="s">
        <v>321</v>
      </c>
      <c r="C512" s="51" t="s">
        <v>16</v>
      </c>
      <c r="D512" s="51" t="s">
        <v>17</v>
      </c>
      <c r="E512" s="52">
        <v>12581000000</v>
      </c>
      <c r="F512" s="52">
        <v>8364000000</v>
      </c>
      <c r="G512" s="52">
        <v>309000000</v>
      </c>
      <c r="H512" s="52" t="s">
        <v>757</v>
      </c>
      <c r="I512" s="52">
        <v>1622000000</v>
      </c>
      <c r="J512" s="51" t="s">
        <v>70</v>
      </c>
      <c r="K512" s="51" t="s">
        <v>73</v>
      </c>
      <c r="L512" s="41">
        <f t="shared" si="35"/>
        <v>4217000000</v>
      </c>
      <c r="M512" s="41">
        <f t="shared" si="36"/>
        <v>1931000000</v>
      </c>
      <c r="N512" s="41">
        <f t="shared" si="37"/>
        <v>2286000000</v>
      </c>
      <c r="O512" s="41">
        <f t="shared" si="38"/>
        <v>0.84651458548605041</v>
      </c>
      <c r="P512" s="41">
        <f t="shared" si="39"/>
        <v>0.18170256736348461</v>
      </c>
    </row>
    <row r="513" spans="1:16" ht="19.95" customHeight="1">
      <c r="A513" s="49">
        <v>538</v>
      </c>
      <c r="B513" s="50" t="s">
        <v>321</v>
      </c>
      <c r="C513" s="51" t="s">
        <v>18</v>
      </c>
      <c r="D513" s="51" t="s">
        <v>19</v>
      </c>
      <c r="E513" s="52">
        <v>13413000000</v>
      </c>
      <c r="F513" s="52">
        <v>8742000000</v>
      </c>
      <c r="G513" s="52">
        <v>322000000</v>
      </c>
      <c r="H513" s="52" t="s">
        <v>757</v>
      </c>
      <c r="I513" s="52">
        <v>1720000000</v>
      </c>
      <c r="J513" s="51" t="s">
        <v>70</v>
      </c>
      <c r="K513" s="51" t="s">
        <v>73</v>
      </c>
      <c r="L513" s="41">
        <f t="shared" si="35"/>
        <v>4671000000</v>
      </c>
      <c r="M513" s="41">
        <f t="shared" si="36"/>
        <v>2042000000</v>
      </c>
      <c r="N513" s="41">
        <f t="shared" si="37"/>
        <v>2629000000</v>
      </c>
      <c r="O513" s="41">
        <f t="shared" si="38"/>
        <v>0.84775963617386119</v>
      </c>
      <c r="P513" s="41">
        <f t="shared" si="39"/>
        <v>0.19600387683590548</v>
      </c>
    </row>
    <row r="514" spans="1:16" ht="19.95" customHeight="1">
      <c r="A514" s="49">
        <v>539</v>
      </c>
      <c r="B514" s="50" t="s">
        <v>321</v>
      </c>
      <c r="C514" s="51" t="s">
        <v>20</v>
      </c>
      <c r="D514" s="51" t="s">
        <v>21</v>
      </c>
      <c r="E514" s="52">
        <v>11524000000</v>
      </c>
      <c r="F514" s="52">
        <v>7256000000</v>
      </c>
      <c r="G514" s="52">
        <v>336000000</v>
      </c>
      <c r="H514" s="52" t="s">
        <v>757</v>
      </c>
      <c r="I514" s="52">
        <v>1919000000</v>
      </c>
      <c r="J514" s="51" t="s">
        <v>70</v>
      </c>
      <c r="K514" s="51" t="s">
        <v>73</v>
      </c>
      <c r="L514" s="41">
        <f t="shared" si="35"/>
        <v>4268000000</v>
      </c>
      <c r="M514" s="41">
        <f t="shared" si="36"/>
        <v>2255000000</v>
      </c>
      <c r="N514" s="41">
        <f t="shared" si="37"/>
        <v>2013000000</v>
      </c>
      <c r="O514" s="41">
        <f t="shared" si="38"/>
        <v>0.80432141617493924</v>
      </c>
      <c r="P514" s="41">
        <f t="shared" si="39"/>
        <v>0.17467893092676154</v>
      </c>
    </row>
    <row r="515" spans="1:16" ht="19.95" customHeight="1">
      <c r="A515" s="49">
        <v>540</v>
      </c>
      <c r="B515" s="50" t="s">
        <v>322</v>
      </c>
      <c r="C515" s="51" t="s">
        <v>11</v>
      </c>
      <c r="D515" s="51" t="s">
        <v>178</v>
      </c>
      <c r="E515" s="52">
        <v>10181700000</v>
      </c>
      <c r="F515" s="52">
        <v>2025900000</v>
      </c>
      <c r="G515" s="52">
        <v>6597000000</v>
      </c>
      <c r="H515" s="52" t="s">
        <v>757</v>
      </c>
      <c r="I515" s="52" t="s">
        <v>757</v>
      </c>
      <c r="J515" s="51" t="s">
        <v>60</v>
      </c>
      <c r="K515" s="51" t="s">
        <v>237</v>
      </c>
      <c r="L515" s="41">
        <f t="shared" ref="L515:L578" si="40">Total_Revenue-COGS</f>
        <v>8155800000</v>
      </c>
      <c r="M515" s="41">
        <f t="shared" ref="M515:M578" si="41">SGAA+RandD+OOI</f>
        <v>6597000000</v>
      </c>
      <c r="N515" s="41">
        <f t="shared" ref="N515:N578" si="42">Gross_Profit-Total_Operating_Expenses</f>
        <v>1558800000</v>
      </c>
      <c r="O515" s="41">
        <f t="shared" ref="O515:O578" si="43">1-(Total_Operating_Expenses/Total_Revenue)</f>
        <v>0.35207283655971011</v>
      </c>
      <c r="P515" s="41">
        <f t="shared" ref="P515:P578" si="44">Operating_Profit/Total_Revenue</f>
        <v>0.1530982056041722</v>
      </c>
    </row>
    <row r="516" spans="1:16" ht="19.95" customHeight="1">
      <c r="A516" s="49">
        <v>541</v>
      </c>
      <c r="B516" s="50" t="s">
        <v>322</v>
      </c>
      <c r="C516" s="51" t="s">
        <v>16</v>
      </c>
      <c r="D516" s="51" t="s">
        <v>179</v>
      </c>
      <c r="E516" s="52">
        <v>10968800000</v>
      </c>
      <c r="F516" s="52">
        <v>2158200000</v>
      </c>
      <c r="G516" s="52">
        <v>6985900000</v>
      </c>
      <c r="H516" s="52" t="s">
        <v>757</v>
      </c>
      <c r="I516" s="52" t="s">
        <v>757</v>
      </c>
      <c r="J516" s="51" t="s">
        <v>60</v>
      </c>
      <c r="K516" s="51" t="s">
        <v>237</v>
      </c>
      <c r="L516" s="41">
        <f t="shared" si="40"/>
        <v>8810600000</v>
      </c>
      <c r="M516" s="41">
        <f t="shared" si="41"/>
        <v>6985900000</v>
      </c>
      <c r="N516" s="41">
        <f t="shared" si="42"/>
        <v>1824700000</v>
      </c>
      <c r="O516" s="41">
        <f t="shared" si="43"/>
        <v>0.36311173510320183</v>
      </c>
      <c r="P516" s="41">
        <f t="shared" si="44"/>
        <v>0.16635365764714463</v>
      </c>
    </row>
    <row r="517" spans="1:16" ht="19.95" customHeight="1">
      <c r="A517" s="49">
        <v>542</v>
      </c>
      <c r="B517" s="50" t="s">
        <v>322</v>
      </c>
      <c r="C517" s="51" t="s">
        <v>18</v>
      </c>
      <c r="D517" s="51" t="s">
        <v>180</v>
      </c>
      <c r="E517" s="52">
        <v>10780400000</v>
      </c>
      <c r="F517" s="52">
        <v>2100600000</v>
      </c>
      <c r="G517" s="52">
        <v>7073500000</v>
      </c>
      <c r="H517" s="52" t="s">
        <v>757</v>
      </c>
      <c r="I517" s="52" t="s">
        <v>757</v>
      </c>
      <c r="J517" s="51" t="s">
        <v>60</v>
      </c>
      <c r="K517" s="51" t="s">
        <v>237</v>
      </c>
      <c r="L517" s="41">
        <f t="shared" si="40"/>
        <v>8679800000</v>
      </c>
      <c r="M517" s="41">
        <f t="shared" si="41"/>
        <v>7073500000</v>
      </c>
      <c r="N517" s="41">
        <f t="shared" si="42"/>
        <v>1606300000</v>
      </c>
      <c r="O517" s="41">
        <f t="shared" si="43"/>
        <v>0.34385551556528515</v>
      </c>
      <c r="P517" s="41">
        <f t="shared" si="44"/>
        <v>0.1490018923231049</v>
      </c>
    </row>
    <row r="518" spans="1:16" ht="19.95" customHeight="1">
      <c r="A518" s="49">
        <v>543</v>
      </c>
      <c r="B518" s="50" t="s">
        <v>322</v>
      </c>
      <c r="C518" s="51" t="s">
        <v>20</v>
      </c>
      <c r="D518" s="51" t="s">
        <v>181</v>
      </c>
      <c r="E518" s="52">
        <v>11262300000</v>
      </c>
      <c r="F518" s="52">
        <v>2181100000</v>
      </c>
      <c r="G518" s="52">
        <v>7337800000</v>
      </c>
      <c r="H518" s="52" t="s">
        <v>757</v>
      </c>
      <c r="I518" s="52" t="s">
        <v>757</v>
      </c>
      <c r="J518" s="51" t="s">
        <v>60</v>
      </c>
      <c r="K518" s="51" t="s">
        <v>237</v>
      </c>
      <c r="L518" s="41">
        <f t="shared" si="40"/>
        <v>9081200000</v>
      </c>
      <c r="M518" s="41">
        <f t="shared" si="41"/>
        <v>7337800000</v>
      </c>
      <c r="N518" s="41">
        <f t="shared" si="42"/>
        <v>1743400000</v>
      </c>
      <c r="O518" s="41">
        <f t="shared" si="43"/>
        <v>0.3484634577306589</v>
      </c>
      <c r="P518" s="41">
        <f t="shared" si="44"/>
        <v>0.15479964128108822</v>
      </c>
    </row>
    <row r="519" spans="1:16" ht="19.95" customHeight="1">
      <c r="A519" s="49">
        <v>544</v>
      </c>
      <c r="B519" s="50" t="s">
        <v>323</v>
      </c>
      <c r="C519" s="51" t="s">
        <v>11</v>
      </c>
      <c r="D519" s="51" t="s">
        <v>12</v>
      </c>
      <c r="E519" s="52">
        <v>8102000000</v>
      </c>
      <c r="F519" s="52">
        <v>6340000000</v>
      </c>
      <c r="G519" s="52">
        <v>644000000</v>
      </c>
      <c r="H519" s="52">
        <v>198000000</v>
      </c>
      <c r="I519" s="52" t="s">
        <v>757</v>
      </c>
      <c r="J519" s="51" t="s">
        <v>88</v>
      </c>
      <c r="K519" s="51" t="s">
        <v>279</v>
      </c>
      <c r="L519" s="41">
        <f t="shared" si="40"/>
        <v>1762000000</v>
      </c>
      <c r="M519" s="41">
        <f t="shared" si="41"/>
        <v>842000000</v>
      </c>
      <c r="N519" s="41">
        <f t="shared" si="42"/>
        <v>920000000</v>
      </c>
      <c r="O519" s="41">
        <f t="shared" si="43"/>
        <v>0.89607504319921005</v>
      </c>
      <c r="P519" s="41">
        <f t="shared" si="44"/>
        <v>0.11355220933102937</v>
      </c>
    </row>
    <row r="520" spans="1:16" ht="19.95" customHeight="1">
      <c r="A520" s="49">
        <v>545</v>
      </c>
      <c r="B520" s="50" t="s">
        <v>323</v>
      </c>
      <c r="C520" s="51" t="s">
        <v>16</v>
      </c>
      <c r="D520" s="51" t="s">
        <v>17</v>
      </c>
      <c r="E520" s="52">
        <v>9350000000</v>
      </c>
      <c r="F520" s="52">
        <v>6574000000</v>
      </c>
      <c r="G520" s="52">
        <v>645000000</v>
      </c>
      <c r="H520" s="52">
        <v>193000000</v>
      </c>
      <c r="I520" s="52" t="s">
        <v>757</v>
      </c>
      <c r="J520" s="51" t="s">
        <v>88</v>
      </c>
      <c r="K520" s="51" t="s">
        <v>279</v>
      </c>
      <c r="L520" s="41">
        <f t="shared" si="40"/>
        <v>2776000000</v>
      </c>
      <c r="M520" s="41">
        <f t="shared" si="41"/>
        <v>838000000</v>
      </c>
      <c r="N520" s="41">
        <f t="shared" si="42"/>
        <v>1938000000</v>
      </c>
      <c r="O520" s="41">
        <f t="shared" si="43"/>
        <v>0.91037433155080216</v>
      </c>
      <c r="P520" s="41">
        <f t="shared" si="44"/>
        <v>0.20727272727272728</v>
      </c>
    </row>
    <row r="521" spans="1:16" ht="19.95" customHeight="1">
      <c r="A521" s="49">
        <v>546</v>
      </c>
      <c r="B521" s="50" t="s">
        <v>323</v>
      </c>
      <c r="C521" s="51" t="s">
        <v>18</v>
      </c>
      <c r="D521" s="51" t="s">
        <v>19</v>
      </c>
      <c r="E521" s="52">
        <v>9527000000</v>
      </c>
      <c r="F521" s="52">
        <v>7306000000</v>
      </c>
      <c r="G521" s="52">
        <v>755000000</v>
      </c>
      <c r="H521" s="52">
        <v>227000000</v>
      </c>
      <c r="I521" s="52" t="s">
        <v>757</v>
      </c>
      <c r="J521" s="51" t="s">
        <v>88</v>
      </c>
      <c r="K521" s="51" t="s">
        <v>279</v>
      </c>
      <c r="L521" s="41">
        <f t="shared" si="40"/>
        <v>2221000000</v>
      </c>
      <c r="M521" s="41">
        <f t="shared" si="41"/>
        <v>982000000</v>
      </c>
      <c r="N521" s="41">
        <f t="shared" si="42"/>
        <v>1239000000</v>
      </c>
      <c r="O521" s="41">
        <f t="shared" si="43"/>
        <v>0.89692453028235541</v>
      </c>
      <c r="P521" s="41">
        <f t="shared" si="44"/>
        <v>0.13005143277002204</v>
      </c>
    </row>
    <row r="522" spans="1:16" ht="19.95" customHeight="1">
      <c r="A522" s="49">
        <v>547</v>
      </c>
      <c r="B522" s="50" t="s">
        <v>323</v>
      </c>
      <c r="C522" s="51" t="s">
        <v>20</v>
      </c>
      <c r="D522" s="51" t="s">
        <v>21</v>
      </c>
      <c r="E522" s="52">
        <v>9648000000</v>
      </c>
      <c r="F522" s="52">
        <v>7068000000</v>
      </c>
      <c r="G522" s="52">
        <v>762000000</v>
      </c>
      <c r="H522" s="52">
        <v>251000000</v>
      </c>
      <c r="I522" s="52" t="s">
        <v>757</v>
      </c>
      <c r="J522" s="51" t="s">
        <v>88</v>
      </c>
      <c r="K522" s="51" t="s">
        <v>279</v>
      </c>
      <c r="L522" s="41">
        <f t="shared" si="40"/>
        <v>2580000000</v>
      </c>
      <c r="M522" s="41">
        <f t="shared" si="41"/>
        <v>1013000000</v>
      </c>
      <c r="N522" s="41">
        <f t="shared" si="42"/>
        <v>1567000000</v>
      </c>
      <c r="O522" s="41">
        <f t="shared" si="43"/>
        <v>0.89500414593698174</v>
      </c>
      <c r="P522" s="41">
        <f t="shared" si="44"/>
        <v>0.16241708126036483</v>
      </c>
    </row>
    <row r="523" spans="1:16" ht="19.95" customHeight="1">
      <c r="A523" s="49">
        <v>548</v>
      </c>
      <c r="B523" s="50" t="s">
        <v>324</v>
      </c>
      <c r="C523" s="51" t="s">
        <v>11</v>
      </c>
      <c r="D523" s="51" t="s">
        <v>40</v>
      </c>
      <c r="E523" s="52">
        <v>24669000000</v>
      </c>
      <c r="F523" s="52">
        <v>14717000000</v>
      </c>
      <c r="G523" s="52">
        <v>6010000000</v>
      </c>
      <c r="H523" s="52" t="s">
        <v>757</v>
      </c>
      <c r="I523" s="52" t="s">
        <v>757</v>
      </c>
      <c r="J523" s="51" t="s">
        <v>14</v>
      </c>
      <c r="K523" s="51" t="s">
        <v>224</v>
      </c>
      <c r="L523" s="41">
        <f t="shared" si="40"/>
        <v>9952000000</v>
      </c>
      <c r="M523" s="41">
        <f t="shared" si="41"/>
        <v>6010000000</v>
      </c>
      <c r="N523" s="41">
        <f t="shared" si="42"/>
        <v>3942000000</v>
      </c>
      <c r="O523" s="41">
        <f t="shared" si="43"/>
        <v>0.75637439701649845</v>
      </c>
      <c r="P523" s="41">
        <f t="shared" si="44"/>
        <v>0.15979569500182414</v>
      </c>
    </row>
    <row r="524" spans="1:16" ht="19.95" customHeight="1">
      <c r="A524" s="49">
        <v>549</v>
      </c>
      <c r="B524" s="50" t="s">
        <v>324</v>
      </c>
      <c r="C524" s="51" t="s">
        <v>16</v>
      </c>
      <c r="D524" s="51" t="s">
        <v>42</v>
      </c>
      <c r="E524" s="52">
        <v>17733000000</v>
      </c>
      <c r="F524" s="52">
        <v>9971000000</v>
      </c>
      <c r="G524" s="52">
        <v>4375000000</v>
      </c>
      <c r="H524" s="52" t="s">
        <v>757</v>
      </c>
      <c r="I524" s="52" t="s">
        <v>757</v>
      </c>
      <c r="J524" s="51" t="s">
        <v>14</v>
      </c>
      <c r="K524" s="51" t="s">
        <v>224</v>
      </c>
      <c r="L524" s="41">
        <f t="shared" si="40"/>
        <v>7762000000</v>
      </c>
      <c r="M524" s="41">
        <f t="shared" si="41"/>
        <v>4375000000</v>
      </c>
      <c r="N524" s="41">
        <f t="shared" si="42"/>
        <v>3387000000</v>
      </c>
      <c r="O524" s="41">
        <f t="shared" si="43"/>
        <v>0.75328483618113129</v>
      </c>
      <c r="P524" s="41">
        <f t="shared" si="44"/>
        <v>0.19099983082388766</v>
      </c>
    </row>
    <row r="525" spans="1:16" ht="19.95" customHeight="1">
      <c r="A525" s="49">
        <v>550</v>
      </c>
      <c r="B525" s="50" t="s">
        <v>324</v>
      </c>
      <c r="C525" s="51" t="s">
        <v>18</v>
      </c>
      <c r="D525" s="51" t="s">
        <v>43</v>
      </c>
      <c r="E525" s="52">
        <v>16249000000</v>
      </c>
      <c r="F525" s="52">
        <v>9241000000</v>
      </c>
      <c r="G525" s="52">
        <v>4065000000</v>
      </c>
      <c r="H525" s="52" t="s">
        <v>757</v>
      </c>
      <c r="I525" s="52" t="s">
        <v>757</v>
      </c>
      <c r="J525" s="51" t="s">
        <v>14</v>
      </c>
      <c r="K525" s="51" t="s">
        <v>224</v>
      </c>
      <c r="L525" s="41">
        <f t="shared" si="40"/>
        <v>7008000000</v>
      </c>
      <c r="M525" s="41">
        <f t="shared" si="41"/>
        <v>4065000000</v>
      </c>
      <c r="N525" s="41">
        <f t="shared" si="42"/>
        <v>2943000000</v>
      </c>
      <c r="O525" s="41">
        <f t="shared" si="43"/>
        <v>0.7498307588159272</v>
      </c>
      <c r="P525" s="41">
        <f t="shared" si="44"/>
        <v>0.18111883808234353</v>
      </c>
    </row>
    <row r="526" spans="1:16" ht="19.95" customHeight="1">
      <c r="A526" s="49">
        <v>551</v>
      </c>
      <c r="B526" s="50" t="s">
        <v>324</v>
      </c>
      <c r="C526" s="51" t="s">
        <v>20</v>
      </c>
      <c r="D526" s="51" t="s">
        <v>44</v>
      </c>
      <c r="E526" s="52">
        <v>14522000000</v>
      </c>
      <c r="F526" s="52">
        <v>8260000000</v>
      </c>
      <c r="G526" s="52">
        <v>3758000000</v>
      </c>
      <c r="H526" s="52" t="s">
        <v>757</v>
      </c>
      <c r="I526" s="52" t="s">
        <v>757</v>
      </c>
      <c r="J526" s="51" t="s">
        <v>14</v>
      </c>
      <c r="K526" s="51" t="s">
        <v>224</v>
      </c>
      <c r="L526" s="41">
        <f t="shared" si="40"/>
        <v>6262000000</v>
      </c>
      <c r="M526" s="41">
        <f t="shared" si="41"/>
        <v>3758000000</v>
      </c>
      <c r="N526" s="41">
        <f t="shared" si="42"/>
        <v>2504000000</v>
      </c>
      <c r="O526" s="41">
        <f t="shared" si="43"/>
        <v>0.74122021760088141</v>
      </c>
      <c r="P526" s="41">
        <f t="shared" si="44"/>
        <v>0.17242804021484645</v>
      </c>
    </row>
    <row r="527" spans="1:16" ht="19.95" customHeight="1">
      <c r="A527" s="49">
        <v>552</v>
      </c>
      <c r="B527" s="50" t="s">
        <v>325</v>
      </c>
      <c r="C527" s="51" t="s">
        <v>11</v>
      </c>
      <c r="D527" s="51" t="s">
        <v>12</v>
      </c>
      <c r="E527" s="52">
        <v>11682636000</v>
      </c>
      <c r="F527" s="52">
        <v>1699428000</v>
      </c>
      <c r="G527" s="52">
        <v>3862434000</v>
      </c>
      <c r="H527" s="52" t="s">
        <v>757</v>
      </c>
      <c r="I527" s="52">
        <v>3169703000</v>
      </c>
      <c r="J527" s="51" t="s">
        <v>116</v>
      </c>
      <c r="K527" s="51" t="s">
        <v>117</v>
      </c>
      <c r="L527" s="41">
        <f t="shared" si="40"/>
        <v>9983208000</v>
      </c>
      <c r="M527" s="41">
        <f t="shared" si="41"/>
        <v>7032137000</v>
      </c>
      <c r="N527" s="41">
        <f t="shared" si="42"/>
        <v>2951071000</v>
      </c>
      <c r="O527" s="41">
        <f t="shared" si="43"/>
        <v>0.39806932271107309</v>
      </c>
      <c r="P527" s="41">
        <f t="shared" si="44"/>
        <v>0.25260317962487233</v>
      </c>
    </row>
    <row r="528" spans="1:16" ht="19.95" customHeight="1">
      <c r="A528" s="53">
        <v>553</v>
      </c>
      <c r="B528" s="54" t="s">
        <v>325</v>
      </c>
      <c r="C528" s="55" t="s">
        <v>16</v>
      </c>
      <c r="D528" s="55" t="s">
        <v>17</v>
      </c>
      <c r="E528" s="56">
        <v>14487118000</v>
      </c>
      <c r="F528" s="56">
        <v>2066893000</v>
      </c>
      <c r="G528" s="56">
        <v>4621096000</v>
      </c>
      <c r="H528" s="56" t="s">
        <v>757</v>
      </c>
      <c r="I528" s="56">
        <v>3600976000</v>
      </c>
      <c r="J528" s="55" t="s">
        <v>116</v>
      </c>
      <c r="K528" s="55" t="s">
        <v>117</v>
      </c>
      <c r="L528" s="57">
        <f t="shared" si="40"/>
        <v>12420225000</v>
      </c>
      <c r="M528" s="57">
        <f t="shared" si="41"/>
        <v>8222072000</v>
      </c>
      <c r="N528" s="57">
        <f t="shared" si="42"/>
        <v>4198153000</v>
      </c>
      <c r="O528" s="57">
        <f t="shared" si="43"/>
        <v>0.43245633810672346</v>
      </c>
      <c r="P528" s="57">
        <f t="shared" si="44"/>
        <v>0.28978524230975411</v>
      </c>
    </row>
    <row r="529" spans="1:16" ht="19.95" customHeight="1">
      <c r="A529" s="49">
        <v>554</v>
      </c>
      <c r="B529" s="50" t="s">
        <v>325</v>
      </c>
      <c r="C529" s="51" t="s">
        <v>18</v>
      </c>
      <c r="D529" s="51" t="s">
        <v>19</v>
      </c>
      <c r="E529" s="52">
        <v>18035340000</v>
      </c>
      <c r="F529" s="52">
        <v>2534389000</v>
      </c>
      <c r="G529" s="52">
        <v>5285634000</v>
      </c>
      <c r="H529" s="52" t="s">
        <v>757</v>
      </c>
      <c r="I529" s="52">
        <v>3997041000</v>
      </c>
      <c r="J529" s="51" t="s">
        <v>116</v>
      </c>
      <c r="K529" s="51" t="s">
        <v>117</v>
      </c>
      <c r="L529" s="41">
        <f t="shared" si="40"/>
        <v>15500951000</v>
      </c>
      <c r="M529" s="41">
        <f t="shared" si="41"/>
        <v>9282675000</v>
      </c>
      <c r="N529" s="41">
        <f t="shared" si="42"/>
        <v>6218276000</v>
      </c>
      <c r="O529" s="41">
        <f t="shared" si="43"/>
        <v>0.4853063485357082</v>
      </c>
      <c r="P529" s="41">
        <f t="shared" si="44"/>
        <v>0.34478285410754661</v>
      </c>
    </row>
    <row r="530" spans="1:16" ht="19.95" customHeight="1">
      <c r="A530" s="49">
        <v>555</v>
      </c>
      <c r="B530" s="50" t="s">
        <v>325</v>
      </c>
      <c r="C530" s="51" t="s">
        <v>20</v>
      </c>
      <c r="D530" s="51" t="s">
        <v>21</v>
      </c>
      <c r="E530" s="52">
        <v>8757428000</v>
      </c>
      <c r="F530" s="52">
        <v>2177757000</v>
      </c>
      <c r="G530" s="52">
        <v>3174320000</v>
      </c>
      <c r="H530" s="52" t="s">
        <v>757</v>
      </c>
      <c r="I530" s="52">
        <v>3313644000</v>
      </c>
      <c r="J530" s="51" t="s">
        <v>116</v>
      </c>
      <c r="K530" s="51" t="s">
        <v>117</v>
      </c>
      <c r="L530" s="41">
        <f t="shared" si="40"/>
        <v>6579671000</v>
      </c>
      <c r="M530" s="41">
        <f t="shared" si="41"/>
        <v>6487964000</v>
      </c>
      <c r="N530" s="41">
        <f t="shared" si="42"/>
        <v>91707000</v>
      </c>
      <c r="O530" s="41">
        <f t="shared" si="43"/>
        <v>0.25914732042330235</v>
      </c>
      <c r="P530" s="41">
        <f t="shared" si="44"/>
        <v>1.0471910245793628E-2</v>
      </c>
    </row>
    <row r="531" spans="1:16" ht="19.95" customHeight="1">
      <c r="A531" s="49">
        <v>556</v>
      </c>
      <c r="B531" s="50" t="s">
        <v>326</v>
      </c>
      <c r="C531" s="51" t="s">
        <v>11</v>
      </c>
      <c r="D531" s="51" t="s">
        <v>12</v>
      </c>
      <c r="E531" s="52">
        <v>1887376000</v>
      </c>
      <c r="F531" s="52">
        <v>944617000</v>
      </c>
      <c r="G531" s="52">
        <v>531180000</v>
      </c>
      <c r="H531" s="52" t="s">
        <v>757</v>
      </c>
      <c r="I531" s="52" t="s">
        <v>757</v>
      </c>
      <c r="J531" s="51" t="s">
        <v>80</v>
      </c>
      <c r="K531" s="51" t="s">
        <v>81</v>
      </c>
      <c r="L531" s="41">
        <f t="shared" si="40"/>
        <v>942759000</v>
      </c>
      <c r="M531" s="41">
        <f t="shared" si="41"/>
        <v>531180000</v>
      </c>
      <c r="N531" s="41">
        <f t="shared" si="42"/>
        <v>411579000</v>
      </c>
      <c r="O531" s="41">
        <f t="shared" si="43"/>
        <v>0.71856164325497418</v>
      </c>
      <c r="P531" s="41">
        <f t="shared" si="44"/>
        <v>0.21806942548808506</v>
      </c>
    </row>
    <row r="532" spans="1:16" ht="19.95" customHeight="1">
      <c r="A532" s="49">
        <v>557</v>
      </c>
      <c r="B532" s="50" t="s">
        <v>326</v>
      </c>
      <c r="C532" s="51" t="s">
        <v>16</v>
      </c>
      <c r="D532" s="51" t="s">
        <v>17</v>
      </c>
      <c r="E532" s="52">
        <v>2152766000</v>
      </c>
      <c r="F532" s="52">
        <v>1064403000</v>
      </c>
      <c r="G532" s="52">
        <v>621413000</v>
      </c>
      <c r="H532" s="52" t="s">
        <v>757</v>
      </c>
      <c r="I532" s="52" t="s">
        <v>757</v>
      </c>
      <c r="J532" s="51" t="s">
        <v>80</v>
      </c>
      <c r="K532" s="51" t="s">
        <v>81</v>
      </c>
      <c r="L532" s="41">
        <f t="shared" si="40"/>
        <v>1088363000</v>
      </c>
      <c r="M532" s="41">
        <f t="shared" si="41"/>
        <v>621413000</v>
      </c>
      <c r="N532" s="41">
        <f t="shared" si="42"/>
        <v>466950000</v>
      </c>
      <c r="O532" s="41">
        <f t="shared" si="43"/>
        <v>0.71134205947139639</v>
      </c>
      <c r="P532" s="41">
        <f t="shared" si="44"/>
        <v>0.2169069931427754</v>
      </c>
    </row>
    <row r="533" spans="1:16" ht="19.95" customHeight="1">
      <c r="A533" s="49">
        <v>558</v>
      </c>
      <c r="B533" s="50" t="s">
        <v>326</v>
      </c>
      <c r="C533" s="51" t="s">
        <v>18</v>
      </c>
      <c r="D533" s="51" t="s">
        <v>19</v>
      </c>
      <c r="E533" s="52">
        <v>2443776000</v>
      </c>
      <c r="F533" s="52">
        <v>1197885000</v>
      </c>
      <c r="G533" s="52">
        <v>734119000</v>
      </c>
      <c r="H533" s="52" t="s">
        <v>757</v>
      </c>
      <c r="I533" s="52" t="s">
        <v>757</v>
      </c>
      <c r="J533" s="51" t="s">
        <v>80</v>
      </c>
      <c r="K533" s="51" t="s">
        <v>81</v>
      </c>
      <c r="L533" s="41">
        <f t="shared" si="40"/>
        <v>1245891000</v>
      </c>
      <c r="M533" s="41">
        <f t="shared" si="41"/>
        <v>734119000</v>
      </c>
      <c r="N533" s="41">
        <f t="shared" si="42"/>
        <v>511772000</v>
      </c>
      <c r="O533" s="41">
        <f t="shared" si="43"/>
        <v>0.69959644419128431</v>
      </c>
      <c r="P533" s="41">
        <f t="shared" si="44"/>
        <v>0.20941853917871359</v>
      </c>
    </row>
    <row r="534" spans="1:16" ht="19.95" customHeight="1">
      <c r="A534" s="49">
        <v>559</v>
      </c>
      <c r="B534" s="50" t="s">
        <v>326</v>
      </c>
      <c r="C534" s="51" t="s">
        <v>20</v>
      </c>
      <c r="D534" s="51" t="s">
        <v>21</v>
      </c>
      <c r="E534" s="52">
        <v>2725867000</v>
      </c>
      <c r="F534" s="52">
        <v>1291506000</v>
      </c>
      <c r="G534" s="52">
        <v>825296000</v>
      </c>
      <c r="H534" s="52" t="s">
        <v>757</v>
      </c>
      <c r="I534" s="52" t="s">
        <v>757</v>
      </c>
      <c r="J534" s="51" t="s">
        <v>80</v>
      </c>
      <c r="K534" s="51" t="s">
        <v>81</v>
      </c>
      <c r="L534" s="41">
        <f t="shared" si="40"/>
        <v>1434361000</v>
      </c>
      <c r="M534" s="41">
        <f t="shared" si="41"/>
        <v>825296000</v>
      </c>
      <c r="N534" s="41">
        <f t="shared" si="42"/>
        <v>609065000</v>
      </c>
      <c r="O534" s="41">
        <f t="shared" si="43"/>
        <v>0.69723541170570691</v>
      </c>
      <c r="P534" s="41">
        <f t="shared" si="44"/>
        <v>0.22343900124254046</v>
      </c>
    </row>
    <row r="535" spans="1:16" ht="19.95" customHeight="1">
      <c r="A535" s="49">
        <v>560</v>
      </c>
      <c r="B535" s="50" t="s">
        <v>327</v>
      </c>
      <c r="C535" s="51" t="s">
        <v>11</v>
      </c>
      <c r="D535" s="51" t="s">
        <v>12</v>
      </c>
      <c r="E535" s="52">
        <v>1747502000</v>
      </c>
      <c r="F535" s="52">
        <v>625507000</v>
      </c>
      <c r="G535" s="52">
        <v>47233000</v>
      </c>
      <c r="H535" s="52" t="s">
        <v>757</v>
      </c>
      <c r="I535" s="52">
        <v>560669000</v>
      </c>
      <c r="J535" s="51" t="s">
        <v>80</v>
      </c>
      <c r="K535" s="51" t="s">
        <v>81</v>
      </c>
      <c r="L535" s="41">
        <f t="shared" si="40"/>
        <v>1121995000</v>
      </c>
      <c r="M535" s="41">
        <f t="shared" si="41"/>
        <v>607902000</v>
      </c>
      <c r="N535" s="41">
        <f t="shared" si="42"/>
        <v>514093000</v>
      </c>
      <c r="O535" s="41">
        <f t="shared" si="43"/>
        <v>0.65213087023648608</v>
      </c>
      <c r="P535" s="41">
        <f t="shared" si="44"/>
        <v>0.29418736001446638</v>
      </c>
    </row>
    <row r="536" spans="1:16" ht="19.95" customHeight="1">
      <c r="A536" s="49">
        <v>561</v>
      </c>
      <c r="B536" s="50" t="s">
        <v>327</v>
      </c>
      <c r="C536" s="51" t="s">
        <v>16</v>
      </c>
      <c r="D536" s="51" t="s">
        <v>17</v>
      </c>
      <c r="E536" s="52">
        <v>2387702000</v>
      </c>
      <c r="F536" s="52">
        <v>834228000</v>
      </c>
      <c r="G536" s="52">
        <v>62179000</v>
      </c>
      <c r="H536" s="52" t="s">
        <v>757</v>
      </c>
      <c r="I536" s="52">
        <v>978973000</v>
      </c>
      <c r="J536" s="51" t="s">
        <v>80</v>
      </c>
      <c r="K536" s="51" t="s">
        <v>81</v>
      </c>
      <c r="L536" s="41">
        <f t="shared" si="40"/>
        <v>1553474000</v>
      </c>
      <c r="M536" s="41">
        <f t="shared" si="41"/>
        <v>1041152000</v>
      </c>
      <c r="N536" s="41">
        <f t="shared" si="42"/>
        <v>512322000</v>
      </c>
      <c r="O536" s="41">
        <f t="shared" si="43"/>
        <v>0.56395228550296483</v>
      </c>
      <c r="P536" s="41">
        <f t="shared" si="44"/>
        <v>0.21456697695106006</v>
      </c>
    </row>
    <row r="537" spans="1:16" ht="19.95" customHeight="1">
      <c r="A537" s="49">
        <v>562</v>
      </c>
      <c r="B537" s="50" t="s">
        <v>327</v>
      </c>
      <c r="C537" s="51" t="s">
        <v>18</v>
      </c>
      <c r="D537" s="51" t="s">
        <v>19</v>
      </c>
      <c r="E537" s="52">
        <v>2614748000</v>
      </c>
      <c r="F537" s="52">
        <v>883564000</v>
      </c>
      <c r="G537" s="52">
        <v>50948000</v>
      </c>
      <c r="H537" s="52" t="s">
        <v>757</v>
      </c>
      <c r="I537" s="52">
        <v>758861000</v>
      </c>
      <c r="J537" s="51" t="s">
        <v>80</v>
      </c>
      <c r="K537" s="51" t="s">
        <v>81</v>
      </c>
      <c r="L537" s="41">
        <f t="shared" si="40"/>
        <v>1731184000</v>
      </c>
      <c r="M537" s="41">
        <f t="shared" si="41"/>
        <v>809809000</v>
      </c>
      <c r="N537" s="41">
        <f t="shared" si="42"/>
        <v>921375000</v>
      </c>
      <c r="O537" s="41">
        <f t="shared" si="43"/>
        <v>0.69029176042968576</v>
      </c>
      <c r="P537" s="41">
        <f t="shared" si="44"/>
        <v>0.35237621369248584</v>
      </c>
    </row>
    <row r="538" spans="1:16" ht="19.95" customHeight="1">
      <c r="A538" s="49">
        <v>563</v>
      </c>
      <c r="B538" s="50" t="s">
        <v>327</v>
      </c>
      <c r="C538" s="51" t="s">
        <v>20</v>
      </c>
      <c r="D538" s="51" t="s">
        <v>21</v>
      </c>
      <c r="E538" s="52">
        <v>2744965000</v>
      </c>
      <c r="F538" s="52">
        <v>905168000</v>
      </c>
      <c r="G538" s="52">
        <v>65082000</v>
      </c>
      <c r="H538" s="52" t="s">
        <v>757</v>
      </c>
      <c r="I538" s="52">
        <v>765895000</v>
      </c>
      <c r="J538" s="51" t="s">
        <v>80</v>
      </c>
      <c r="K538" s="51" t="s">
        <v>81</v>
      </c>
      <c r="L538" s="41">
        <f t="shared" si="40"/>
        <v>1839797000</v>
      </c>
      <c r="M538" s="41">
        <f t="shared" si="41"/>
        <v>830977000</v>
      </c>
      <c r="N538" s="41">
        <f t="shared" si="42"/>
        <v>1008820000</v>
      </c>
      <c r="O538" s="41">
        <f t="shared" si="43"/>
        <v>0.69727227851721241</v>
      </c>
      <c r="P538" s="41">
        <f t="shared" si="44"/>
        <v>0.36751652571162108</v>
      </c>
    </row>
    <row r="539" spans="1:16" ht="19.95" customHeight="1">
      <c r="A539" s="49">
        <v>564</v>
      </c>
      <c r="B539" s="50" t="s">
        <v>328</v>
      </c>
      <c r="C539" s="51" t="s">
        <v>11</v>
      </c>
      <c r="D539" s="51" t="s">
        <v>17</v>
      </c>
      <c r="E539" s="52">
        <v>1859177000</v>
      </c>
      <c r="F539" s="52">
        <v>354561000</v>
      </c>
      <c r="G539" s="52">
        <v>200849000</v>
      </c>
      <c r="H539" s="52" t="s">
        <v>757</v>
      </c>
      <c r="I539" s="52">
        <v>653132000</v>
      </c>
      <c r="J539" s="51" t="s">
        <v>116</v>
      </c>
      <c r="K539" s="51" t="s">
        <v>117</v>
      </c>
      <c r="L539" s="41">
        <f t="shared" si="40"/>
        <v>1504616000</v>
      </c>
      <c r="M539" s="41">
        <f t="shared" si="41"/>
        <v>853981000</v>
      </c>
      <c r="N539" s="41">
        <f t="shared" si="42"/>
        <v>650635000</v>
      </c>
      <c r="O539" s="41">
        <f t="shared" si="43"/>
        <v>0.54066718768573407</v>
      </c>
      <c r="P539" s="41">
        <f t="shared" si="44"/>
        <v>0.34995861071861367</v>
      </c>
    </row>
    <row r="540" spans="1:16" ht="19.95" customHeight="1">
      <c r="A540" s="53">
        <v>565</v>
      </c>
      <c r="B540" s="54" t="s">
        <v>328</v>
      </c>
      <c r="C540" s="55" t="s">
        <v>16</v>
      </c>
      <c r="D540" s="55" t="s">
        <v>19</v>
      </c>
      <c r="E540" s="56">
        <v>2388768000</v>
      </c>
      <c r="F540" s="56">
        <v>443974000</v>
      </c>
      <c r="G540" s="56">
        <v>238134000</v>
      </c>
      <c r="H540" s="56" t="s">
        <v>757</v>
      </c>
      <c r="I540" s="56">
        <v>679298000</v>
      </c>
      <c r="J540" s="55" t="s">
        <v>116</v>
      </c>
      <c r="K540" s="55" t="s">
        <v>117</v>
      </c>
      <c r="L540" s="57">
        <f t="shared" si="40"/>
        <v>1944794000</v>
      </c>
      <c r="M540" s="57">
        <f t="shared" si="41"/>
        <v>917432000</v>
      </c>
      <c r="N540" s="57">
        <f t="shared" si="42"/>
        <v>1027362000</v>
      </c>
      <c r="O540" s="57">
        <f t="shared" si="43"/>
        <v>0.61593926241476771</v>
      </c>
      <c r="P540" s="57">
        <f t="shared" si="44"/>
        <v>0.43008027569023027</v>
      </c>
    </row>
    <row r="541" spans="1:16" ht="19.95" customHeight="1">
      <c r="A541" s="49">
        <v>566</v>
      </c>
      <c r="B541" s="50" t="s">
        <v>328</v>
      </c>
      <c r="C541" s="51" t="s">
        <v>18</v>
      </c>
      <c r="D541" s="51" t="s">
        <v>21</v>
      </c>
      <c r="E541" s="52">
        <v>1954000000</v>
      </c>
      <c r="F541" s="52">
        <v>523043000</v>
      </c>
      <c r="G541" s="52">
        <v>249925000</v>
      </c>
      <c r="H541" s="52" t="s">
        <v>757</v>
      </c>
      <c r="I541" s="52">
        <v>819216000</v>
      </c>
      <c r="J541" s="51" t="s">
        <v>116</v>
      </c>
      <c r="K541" s="51" t="s">
        <v>117</v>
      </c>
      <c r="L541" s="41">
        <f t="shared" si="40"/>
        <v>1430957000</v>
      </c>
      <c r="M541" s="41">
        <f t="shared" si="41"/>
        <v>1069141000</v>
      </c>
      <c r="N541" s="41">
        <f t="shared" si="42"/>
        <v>361816000</v>
      </c>
      <c r="O541" s="41">
        <f t="shared" si="43"/>
        <v>0.45284493346980548</v>
      </c>
      <c r="P541" s="41">
        <f t="shared" si="44"/>
        <v>0.18516683725690891</v>
      </c>
    </row>
    <row r="542" spans="1:16" ht="19.95" customHeight="1">
      <c r="A542" s="49">
        <v>567</v>
      </c>
      <c r="B542" s="50" t="s">
        <v>328</v>
      </c>
      <c r="C542" s="51" t="s">
        <v>20</v>
      </c>
      <c r="D542" s="51" t="s">
        <v>84</v>
      </c>
      <c r="E542" s="52">
        <v>1857339000</v>
      </c>
      <c r="F542" s="52">
        <v>613909000</v>
      </c>
      <c r="G542" s="52">
        <v>272747000</v>
      </c>
      <c r="H542" s="52" t="s">
        <v>757</v>
      </c>
      <c r="I542" s="52">
        <v>927920000</v>
      </c>
      <c r="J542" s="51" t="s">
        <v>116</v>
      </c>
      <c r="K542" s="51" t="s">
        <v>117</v>
      </c>
      <c r="L542" s="41">
        <f t="shared" si="40"/>
        <v>1243430000</v>
      </c>
      <c r="M542" s="41">
        <f t="shared" si="41"/>
        <v>1200667000</v>
      </c>
      <c r="N542" s="41">
        <f t="shared" si="42"/>
        <v>42763000</v>
      </c>
      <c r="O542" s="41">
        <f t="shared" si="43"/>
        <v>0.35355527450831536</v>
      </c>
      <c r="P542" s="41">
        <f t="shared" si="44"/>
        <v>2.3023799101833321E-2</v>
      </c>
    </row>
    <row r="543" spans="1:16" ht="19.95" customHeight="1">
      <c r="A543" s="49">
        <v>568</v>
      </c>
      <c r="B543" s="50" t="s">
        <v>329</v>
      </c>
      <c r="C543" s="51" t="s">
        <v>11</v>
      </c>
      <c r="D543" s="51" t="s">
        <v>12</v>
      </c>
      <c r="E543" s="52">
        <v>6273787000</v>
      </c>
      <c r="F543" s="52">
        <v>3667434000</v>
      </c>
      <c r="G543" s="52">
        <v>747356000</v>
      </c>
      <c r="H543" s="52" t="s">
        <v>757</v>
      </c>
      <c r="I543" s="52">
        <v>740791000</v>
      </c>
      <c r="J543" s="51" t="s">
        <v>70</v>
      </c>
      <c r="K543" s="51" t="s">
        <v>71</v>
      </c>
      <c r="L543" s="41">
        <f t="shared" si="40"/>
        <v>2606353000</v>
      </c>
      <c r="M543" s="41">
        <f t="shared" si="41"/>
        <v>1488147000</v>
      </c>
      <c r="N543" s="41">
        <f t="shared" si="42"/>
        <v>1118206000</v>
      </c>
      <c r="O543" s="41">
        <f t="shared" si="43"/>
        <v>0.76279924708951707</v>
      </c>
      <c r="P543" s="41">
        <f t="shared" si="44"/>
        <v>0.17823461332047136</v>
      </c>
    </row>
    <row r="544" spans="1:16" ht="19.95" customHeight="1">
      <c r="A544" s="49">
        <v>569</v>
      </c>
      <c r="B544" s="50" t="s">
        <v>329</v>
      </c>
      <c r="C544" s="51" t="s">
        <v>16</v>
      </c>
      <c r="D544" s="51" t="s">
        <v>17</v>
      </c>
      <c r="E544" s="52">
        <v>7301204000</v>
      </c>
      <c r="F544" s="52">
        <v>3997940000</v>
      </c>
      <c r="G544" s="52">
        <v>914149000</v>
      </c>
      <c r="H544" s="52" t="s">
        <v>757</v>
      </c>
      <c r="I544" s="52">
        <v>859680000</v>
      </c>
      <c r="J544" s="51" t="s">
        <v>70</v>
      </c>
      <c r="K544" s="51" t="s">
        <v>71</v>
      </c>
      <c r="L544" s="41">
        <f t="shared" si="40"/>
        <v>3303264000</v>
      </c>
      <c r="M544" s="41">
        <f t="shared" si="41"/>
        <v>1773829000</v>
      </c>
      <c r="N544" s="41">
        <f t="shared" si="42"/>
        <v>1529435000</v>
      </c>
      <c r="O544" s="41">
        <f t="shared" si="43"/>
        <v>0.75704979617060419</v>
      </c>
      <c r="P544" s="41">
        <f t="shared" si="44"/>
        <v>0.20947709446277626</v>
      </c>
    </row>
    <row r="545" spans="1:16" ht="19.95" customHeight="1">
      <c r="A545" s="49">
        <v>570</v>
      </c>
      <c r="B545" s="50" t="s">
        <v>329</v>
      </c>
      <c r="C545" s="51" t="s">
        <v>18</v>
      </c>
      <c r="D545" s="51" t="s">
        <v>19</v>
      </c>
      <c r="E545" s="52">
        <v>7741856000</v>
      </c>
      <c r="F545" s="52">
        <v>4449139000</v>
      </c>
      <c r="G545" s="52">
        <v>1034507000</v>
      </c>
      <c r="H545" s="52" t="s">
        <v>757</v>
      </c>
      <c r="I545" s="52">
        <v>625361000</v>
      </c>
      <c r="J545" s="51" t="s">
        <v>70</v>
      </c>
      <c r="K545" s="51" t="s">
        <v>71</v>
      </c>
      <c r="L545" s="41">
        <f t="shared" si="40"/>
        <v>3292717000</v>
      </c>
      <c r="M545" s="41">
        <f t="shared" si="41"/>
        <v>1659868000</v>
      </c>
      <c r="N545" s="41">
        <f t="shared" si="42"/>
        <v>1632849000</v>
      </c>
      <c r="O545" s="41">
        <f t="shared" si="43"/>
        <v>0.7855981821413367</v>
      </c>
      <c r="P545" s="41">
        <f t="shared" si="44"/>
        <v>0.2109118278614327</v>
      </c>
    </row>
    <row r="546" spans="1:16" ht="19.95" customHeight="1">
      <c r="A546" s="49">
        <v>571</v>
      </c>
      <c r="B546" s="50" t="s">
        <v>329</v>
      </c>
      <c r="C546" s="51" t="s">
        <v>20</v>
      </c>
      <c r="D546" s="51" t="s">
        <v>21</v>
      </c>
      <c r="E546" s="52">
        <v>7954827000</v>
      </c>
      <c r="F546" s="52">
        <v>4416194000</v>
      </c>
      <c r="G546" s="52">
        <v>1086274000</v>
      </c>
      <c r="H546" s="52" t="s">
        <v>757</v>
      </c>
      <c r="I546" s="52">
        <v>688195000</v>
      </c>
      <c r="J546" s="51" t="s">
        <v>70</v>
      </c>
      <c r="K546" s="51" t="s">
        <v>71</v>
      </c>
      <c r="L546" s="41">
        <f t="shared" si="40"/>
        <v>3538633000</v>
      </c>
      <c r="M546" s="41">
        <f t="shared" si="41"/>
        <v>1774469000</v>
      </c>
      <c r="N546" s="41">
        <f t="shared" si="42"/>
        <v>1764164000</v>
      </c>
      <c r="O546" s="41">
        <f t="shared" si="43"/>
        <v>0.77693179248272781</v>
      </c>
      <c r="P546" s="41">
        <f t="shared" si="44"/>
        <v>0.22177276765415516</v>
      </c>
    </row>
    <row r="547" spans="1:16" ht="19.95" customHeight="1">
      <c r="A547" s="49">
        <v>572</v>
      </c>
      <c r="B547" s="50" t="s">
        <v>330</v>
      </c>
      <c r="C547" s="51" t="s">
        <v>11</v>
      </c>
      <c r="D547" s="51" t="s">
        <v>12</v>
      </c>
      <c r="E547" s="52">
        <v>535153000</v>
      </c>
      <c r="F547" s="52">
        <v>172167000</v>
      </c>
      <c r="G547" s="52">
        <v>24573000</v>
      </c>
      <c r="H547" s="52" t="s">
        <v>757</v>
      </c>
      <c r="I547" s="52">
        <v>169173000</v>
      </c>
      <c r="J547" s="51" t="s">
        <v>80</v>
      </c>
      <c r="K547" s="51" t="s">
        <v>331</v>
      </c>
      <c r="L547" s="41">
        <f t="shared" si="40"/>
        <v>362986000</v>
      </c>
      <c r="M547" s="41">
        <f t="shared" si="41"/>
        <v>193746000</v>
      </c>
      <c r="N547" s="41">
        <f t="shared" si="42"/>
        <v>169240000</v>
      </c>
      <c r="O547" s="41">
        <f t="shared" si="43"/>
        <v>0.63796148017482857</v>
      </c>
      <c r="P547" s="41">
        <f t="shared" si="44"/>
        <v>0.31624600815094001</v>
      </c>
    </row>
    <row r="548" spans="1:16" ht="19.95" customHeight="1">
      <c r="A548" s="49">
        <v>573</v>
      </c>
      <c r="B548" s="50" t="s">
        <v>330</v>
      </c>
      <c r="C548" s="51" t="s">
        <v>16</v>
      </c>
      <c r="D548" s="51" t="s">
        <v>17</v>
      </c>
      <c r="E548" s="52">
        <v>610590000</v>
      </c>
      <c r="F548" s="52">
        <v>197336000</v>
      </c>
      <c r="G548" s="52">
        <v>26684000</v>
      </c>
      <c r="H548" s="52" t="s">
        <v>757</v>
      </c>
      <c r="I548" s="52">
        <v>192420000</v>
      </c>
      <c r="J548" s="51" t="s">
        <v>80</v>
      </c>
      <c r="K548" s="51" t="s">
        <v>331</v>
      </c>
      <c r="L548" s="41">
        <f t="shared" si="40"/>
        <v>413254000</v>
      </c>
      <c r="M548" s="41">
        <f t="shared" si="41"/>
        <v>219104000</v>
      </c>
      <c r="N548" s="41">
        <f t="shared" si="42"/>
        <v>194150000</v>
      </c>
      <c r="O548" s="41">
        <f t="shared" si="43"/>
        <v>0.64116018932507901</v>
      </c>
      <c r="P548" s="41">
        <f t="shared" si="44"/>
        <v>0.31797114266529097</v>
      </c>
    </row>
    <row r="549" spans="1:16" ht="19.95" customHeight="1">
      <c r="A549" s="49">
        <v>574</v>
      </c>
      <c r="B549" s="50" t="s">
        <v>330</v>
      </c>
      <c r="C549" s="51" t="s">
        <v>18</v>
      </c>
      <c r="D549" s="51" t="s">
        <v>19</v>
      </c>
      <c r="E549" s="52">
        <v>970938000</v>
      </c>
      <c r="F549" s="52">
        <v>312546000</v>
      </c>
      <c r="G549" s="52">
        <v>40878000</v>
      </c>
      <c r="H549" s="52" t="s">
        <v>757</v>
      </c>
      <c r="I549" s="52">
        <v>360592000</v>
      </c>
      <c r="J549" s="51" t="s">
        <v>80</v>
      </c>
      <c r="K549" s="51" t="s">
        <v>331</v>
      </c>
      <c r="L549" s="41">
        <f t="shared" si="40"/>
        <v>658392000</v>
      </c>
      <c r="M549" s="41">
        <f t="shared" si="41"/>
        <v>401470000</v>
      </c>
      <c r="N549" s="41">
        <f t="shared" si="42"/>
        <v>256922000</v>
      </c>
      <c r="O549" s="41">
        <f t="shared" si="43"/>
        <v>0.58651324801377636</v>
      </c>
      <c r="P549" s="41">
        <f t="shared" si="44"/>
        <v>0.2646121585518334</v>
      </c>
    </row>
    <row r="550" spans="1:16" ht="19.95" customHeight="1">
      <c r="A550" s="49">
        <v>575</v>
      </c>
      <c r="B550" s="50" t="s">
        <v>330</v>
      </c>
      <c r="C550" s="51" t="s">
        <v>20</v>
      </c>
      <c r="D550" s="51" t="s">
        <v>21</v>
      </c>
      <c r="E550" s="52">
        <v>1194407000</v>
      </c>
      <c r="F550" s="52">
        <v>363508000</v>
      </c>
      <c r="G550" s="52">
        <v>40090000</v>
      </c>
      <c r="H550" s="52" t="s">
        <v>757</v>
      </c>
      <c r="I550" s="52">
        <v>453423000</v>
      </c>
      <c r="J550" s="51" t="s">
        <v>80</v>
      </c>
      <c r="K550" s="51" t="s">
        <v>331</v>
      </c>
      <c r="L550" s="41">
        <f t="shared" si="40"/>
        <v>830899000</v>
      </c>
      <c r="M550" s="41">
        <f t="shared" si="41"/>
        <v>493513000</v>
      </c>
      <c r="N550" s="41">
        <f t="shared" si="42"/>
        <v>337386000</v>
      </c>
      <c r="O550" s="41">
        <f t="shared" si="43"/>
        <v>0.5868133726610778</v>
      </c>
      <c r="P550" s="41">
        <f t="shared" si="44"/>
        <v>0.28247155282914449</v>
      </c>
    </row>
    <row r="551" spans="1:16" ht="19.95" customHeight="1">
      <c r="A551" s="49">
        <v>576</v>
      </c>
      <c r="B551" s="50" t="s">
        <v>332</v>
      </c>
      <c r="C551" s="51" t="s">
        <v>11</v>
      </c>
      <c r="D551" s="51" t="s">
        <v>12</v>
      </c>
      <c r="E551" s="52">
        <v>1365000000</v>
      </c>
      <c r="F551" s="52" t="s">
        <v>757</v>
      </c>
      <c r="G551" s="52">
        <v>921000000</v>
      </c>
      <c r="H551" s="52" t="s">
        <v>757</v>
      </c>
      <c r="I551" s="52">
        <v>471000000</v>
      </c>
      <c r="J551" s="51" t="s">
        <v>75</v>
      </c>
      <c r="K551" s="51" t="s">
        <v>333</v>
      </c>
      <c r="L551" s="41">
        <f t="shared" si="40"/>
        <v>1365000000</v>
      </c>
      <c r="M551" s="41">
        <f t="shared" si="41"/>
        <v>1392000000</v>
      </c>
      <c r="N551" s="41">
        <f t="shared" si="42"/>
        <v>-27000000</v>
      </c>
      <c r="O551" s="41">
        <f t="shared" si="43"/>
        <v>-1.978021978021971E-2</v>
      </c>
      <c r="P551" s="41">
        <f t="shared" si="44"/>
        <v>-1.9780219780219779E-2</v>
      </c>
    </row>
    <row r="552" spans="1:16" ht="19.95" customHeight="1">
      <c r="A552" s="53">
        <v>577</v>
      </c>
      <c r="B552" s="54" t="s">
        <v>332</v>
      </c>
      <c r="C552" s="55" t="s">
        <v>16</v>
      </c>
      <c r="D552" s="55" t="s">
        <v>17</v>
      </c>
      <c r="E552" s="56">
        <v>1466000000</v>
      </c>
      <c r="F552" s="56" t="s">
        <v>757</v>
      </c>
      <c r="G552" s="56">
        <v>888000000</v>
      </c>
      <c r="H552" s="56" t="s">
        <v>757</v>
      </c>
      <c r="I552" s="56">
        <v>256000000</v>
      </c>
      <c r="J552" s="55" t="s">
        <v>75</v>
      </c>
      <c r="K552" s="55" t="s">
        <v>333</v>
      </c>
      <c r="L552" s="57">
        <f t="shared" si="40"/>
        <v>1466000000</v>
      </c>
      <c r="M552" s="57">
        <f t="shared" si="41"/>
        <v>1144000000</v>
      </c>
      <c r="N552" s="57">
        <f t="shared" si="42"/>
        <v>322000000</v>
      </c>
      <c r="O552" s="57">
        <f t="shared" si="43"/>
        <v>0.21964529331514326</v>
      </c>
      <c r="P552" s="57">
        <f t="shared" si="44"/>
        <v>0.21964529331514324</v>
      </c>
    </row>
    <row r="553" spans="1:16" ht="19.95" customHeight="1">
      <c r="A553" s="49">
        <v>578</v>
      </c>
      <c r="B553" s="50" t="s">
        <v>332</v>
      </c>
      <c r="C553" s="51" t="s">
        <v>18</v>
      </c>
      <c r="D553" s="51" t="s">
        <v>19</v>
      </c>
      <c r="E553" s="52">
        <v>1665000000</v>
      </c>
      <c r="F553" s="52" t="s">
        <v>757</v>
      </c>
      <c r="G553" s="52">
        <v>958000000</v>
      </c>
      <c r="H553" s="52" t="s">
        <v>757</v>
      </c>
      <c r="I553" s="52">
        <v>136000000</v>
      </c>
      <c r="J553" s="51" t="s">
        <v>75</v>
      </c>
      <c r="K553" s="51" t="s">
        <v>333</v>
      </c>
      <c r="L553" s="41">
        <f t="shared" si="40"/>
        <v>1665000000</v>
      </c>
      <c r="M553" s="41">
        <f t="shared" si="41"/>
        <v>1094000000</v>
      </c>
      <c r="N553" s="41">
        <f t="shared" si="42"/>
        <v>571000000</v>
      </c>
      <c r="O553" s="41">
        <f t="shared" si="43"/>
        <v>0.34294294294294292</v>
      </c>
      <c r="P553" s="41">
        <f t="shared" si="44"/>
        <v>0.34294294294294292</v>
      </c>
    </row>
    <row r="554" spans="1:16" ht="19.95" customHeight="1">
      <c r="A554" s="49">
        <v>579</v>
      </c>
      <c r="B554" s="50" t="s">
        <v>332</v>
      </c>
      <c r="C554" s="51" t="s">
        <v>20</v>
      </c>
      <c r="D554" s="51" t="s">
        <v>21</v>
      </c>
      <c r="E554" s="52">
        <v>1403000000</v>
      </c>
      <c r="F554" s="52" t="s">
        <v>757</v>
      </c>
      <c r="G554" s="52">
        <v>1048000000</v>
      </c>
      <c r="H554" s="52" t="s">
        <v>757</v>
      </c>
      <c r="I554" s="52">
        <v>61000000</v>
      </c>
      <c r="J554" s="51" t="s">
        <v>75</v>
      </c>
      <c r="K554" s="51" t="s">
        <v>333</v>
      </c>
      <c r="L554" s="41">
        <f t="shared" si="40"/>
        <v>1403000000</v>
      </c>
      <c r="M554" s="41">
        <f t="shared" si="41"/>
        <v>1109000000</v>
      </c>
      <c r="N554" s="41">
        <f t="shared" si="42"/>
        <v>294000000</v>
      </c>
      <c r="O554" s="41">
        <f t="shared" si="43"/>
        <v>0.20955096222380609</v>
      </c>
      <c r="P554" s="41">
        <f t="shared" si="44"/>
        <v>0.20955096222380612</v>
      </c>
    </row>
    <row r="555" spans="1:16" ht="19.95" customHeight="1">
      <c r="A555" s="49">
        <v>580</v>
      </c>
      <c r="B555" s="50" t="s">
        <v>334</v>
      </c>
      <c r="C555" s="51" t="s">
        <v>11</v>
      </c>
      <c r="D555" s="51" t="s">
        <v>12</v>
      </c>
      <c r="E555" s="52">
        <v>16311000000</v>
      </c>
      <c r="F555" s="52">
        <v>11448000000</v>
      </c>
      <c r="G555" s="52">
        <v>2894000000</v>
      </c>
      <c r="H555" s="52">
        <v>439000000</v>
      </c>
      <c r="I555" s="52" t="s">
        <v>757</v>
      </c>
      <c r="J555" s="51" t="s">
        <v>14</v>
      </c>
      <c r="K555" s="51" t="s">
        <v>224</v>
      </c>
      <c r="L555" s="41">
        <f t="shared" si="40"/>
        <v>4863000000</v>
      </c>
      <c r="M555" s="41">
        <f t="shared" si="41"/>
        <v>3333000000</v>
      </c>
      <c r="N555" s="41">
        <f t="shared" si="42"/>
        <v>1530000000</v>
      </c>
      <c r="O555" s="41">
        <f t="shared" si="43"/>
        <v>0.79565937097664152</v>
      </c>
      <c r="P555" s="41">
        <f t="shared" si="44"/>
        <v>9.3801728894610997E-2</v>
      </c>
    </row>
    <row r="556" spans="1:16" ht="19.95" customHeight="1">
      <c r="A556" s="49">
        <v>581</v>
      </c>
      <c r="B556" s="50" t="s">
        <v>334</v>
      </c>
      <c r="C556" s="51" t="s">
        <v>16</v>
      </c>
      <c r="D556" s="51" t="s">
        <v>17</v>
      </c>
      <c r="E556" s="52">
        <v>22046000000</v>
      </c>
      <c r="F556" s="52">
        <v>15369000000</v>
      </c>
      <c r="G556" s="52">
        <v>3886000000</v>
      </c>
      <c r="H556" s="52">
        <v>644000000</v>
      </c>
      <c r="I556" s="52" t="s">
        <v>757</v>
      </c>
      <c r="J556" s="51" t="s">
        <v>14</v>
      </c>
      <c r="K556" s="51" t="s">
        <v>224</v>
      </c>
      <c r="L556" s="41">
        <f t="shared" si="40"/>
        <v>6677000000</v>
      </c>
      <c r="M556" s="41">
        <f t="shared" si="41"/>
        <v>4530000000</v>
      </c>
      <c r="N556" s="41">
        <f t="shared" si="42"/>
        <v>2147000000</v>
      </c>
      <c r="O556" s="41">
        <f t="shared" si="43"/>
        <v>0.79452054794520555</v>
      </c>
      <c r="P556" s="41">
        <f t="shared" si="44"/>
        <v>9.7387281139435719E-2</v>
      </c>
    </row>
    <row r="557" spans="1:16" ht="19.95" customHeight="1">
      <c r="A557" s="49">
        <v>582</v>
      </c>
      <c r="B557" s="50" t="s">
        <v>334</v>
      </c>
      <c r="C557" s="51" t="s">
        <v>18</v>
      </c>
      <c r="D557" s="51" t="s">
        <v>19</v>
      </c>
      <c r="E557" s="52">
        <v>22552000000</v>
      </c>
      <c r="F557" s="52">
        <v>15646000000</v>
      </c>
      <c r="G557" s="52">
        <v>3810000000</v>
      </c>
      <c r="H557" s="52">
        <v>647000000</v>
      </c>
      <c r="I557" s="52" t="s">
        <v>757</v>
      </c>
      <c r="J557" s="51" t="s">
        <v>14</v>
      </c>
      <c r="K557" s="51" t="s">
        <v>224</v>
      </c>
      <c r="L557" s="41">
        <f t="shared" si="40"/>
        <v>6906000000</v>
      </c>
      <c r="M557" s="41">
        <f t="shared" si="41"/>
        <v>4457000000</v>
      </c>
      <c r="N557" s="41">
        <f t="shared" si="42"/>
        <v>2449000000</v>
      </c>
      <c r="O557" s="41">
        <f t="shared" si="43"/>
        <v>0.80236786094359702</v>
      </c>
      <c r="P557" s="41">
        <f t="shared" si="44"/>
        <v>0.10859347286271727</v>
      </c>
    </row>
    <row r="558" spans="1:16" ht="19.95" customHeight="1">
      <c r="A558" s="49">
        <v>583</v>
      </c>
      <c r="B558" s="50" t="s">
        <v>334</v>
      </c>
      <c r="C558" s="51" t="s">
        <v>20</v>
      </c>
      <c r="D558" s="51" t="s">
        <v>21</v>
      </c>
      <c r="E558" s="52">
        <v>20855000000</v>
      </c>
      <c r="F558" s="52">
        <v>14292000000</v>
      </c>
      <c r="G558" s="52">
        <v>3596000000</v>
      </c>
      <c r="H558" s="52">
        <v>625000000</v>
      </c>
      <c r="I558" s="52" t="s">
        <v>757</v>
      </c>
      <c r="J558" s="51" t="s">
        <v>14</v>
      </c>
      <c r="K558" s="51" t="s">
        <v>224</v>
      </c>
      <c r="L558" s="41">
        <f t="shared" si="40"/>
        <v>6563000000</v>
      </c>
      <c r="M558" s="41">
        <f t="shared" si="41"/>
        <v>4221000000</v>
      </c>
      <c r="N558" s="41">
        <f t="shared" si="42"/>
        <v>2342000000</v>
      </c>
      <c r="O558" s="41">
        <f t="shared" si="43"/>
        <v>0.79760249340685685</v>
      </c>
      <c r="P558" s="41">
        <f t="shared" si="44"/>
        <v>0.11229920882282426</v>
      </c>
    </row>
    <row r="559" spans="1:16" ht="19.95" customHeight="1">
      <c r="A559" s="49">
        <v>584</v>
      </c>
      <c r="B559" s="50" t="s">
        <v>335</v>
      </c>
      <c r="C559" s="51" t="s">
        <v>11</v>
      </c>
      <c r="D559" s="51" t="s">
        <v>12</v>
      </c>
      <c r="E559" s="52">
        <v>10302079000</v>
      </c>
      <c r="F559" s="52">
        <v>6583627000</v>
      </c>
      <c r="G559" s="52">
        <v>917162000</v>
      </c>
      <c r="H559" s="52" t="s">
        <v>757</v>
      </c>
      <c r="I559" s="52">
        <v>1144585000</v>
      </c>
      <c r="J559" s="51" t="s">
        <v>70</v>
      </c>
      <c r="K559" s="51" t="s">
        <v>73</v>
      </c>
      <c r="L559" s="41">
        <f t="shared" si="40"/>
        <v>3718452000</v>
      </c>
      <c r="M559" s="41">
        <f t="shared" si="41"/>
        <v>2061747000</v>
      </c>
      <c r="N559" s="41">
        <f t="shared" si="42"/>
        <v>1656705000</v>
      </c>
      <c r="O559" s="41">
        <f t="shared" si="43"/>
        <v>0.79987078336324158</v>
      </c>
      <c r="P559" s="41">
        <f t="shared" si="44"/>
        <v>0.16081268644901675</v>
      </c>
    </row>
    <row r="560" spans="1:16" ht="19.95" customHeight="1">
      <c r="A560" s="49">
        <v>585</v>
      </c>
      <c r="B560" s="50" t="s">
        <v>335</v>
      </c>
      <c r="C560" s="51" t="s">
        <v>16</v>
      </c>
      <c r="D560" s="51" t="s">
        <v>17</v>
      </c>
      <c r="E560" s="52">
        <v>11390947000</v>
      </c>
      <c r="F560" s="52">
        <v>7588885000</v>
      </c>
      <c r="G560" s="52">
        <v>888051000</v>
      </c>
      <c r="H560" s="52" t="s">
        <v>757</v>
      </c>
      <c r="I560" s="52">
        <v>1261044000</v>
      </c>
      <c r="J560" s="51" t="s">
        <v>70</v>
      </c>
      <c r="K560" s="51" t="s">
        <v>73</v>
      </c>
      <c r="L560" s="41">
        <f t="shared" si="40"/>
        <v>3802062000</v>
      </c>
      <c r="M560" s="41">
        <f t="shared" si="41"/>
        <v>2149095000</v>
      </c>
      <c r="N560" s="41">
        <f t="shared" si="42"/>
        <v>1652967000</v>
      </c>
      <c r="O560" s="41">
        <f t="shared" si="43"/>
        <v>0.8113330700248188</v>
      </c>
      <c r="P560" s="41">
        <f t="shared" si="44"/>
        <v>0.14511234228374514</v>
      </c>
    </row>
    <row r="561" spans="1:16" ht="19.95" customHeight="1">
      <c r="A561" s="49">
        <v>586</v>
      </c>
      <c r="B561" s="50" t="s">
        <v>335</v>
      </c>
      <c r="C561" s="51" t="s">
        <v>18</v>
      </c>
      <c r="D561" s="51" t="s">
        <v>19</v>
      </c>
      <c r="E561" s="52">
        <v>12494921000</v>
      </c>
      <c r="F561" s="52">
        <v>8126187000</v>
      </c>
      <c r="G561" s="52">
        <v>863455000</v>
      </c>
      <c r="H561" s="52" t="s">
        <v>757</v>
      </c>
      <c r="I561" s="52">
        <v>1318638000</v>
      </c>
      <c r="J561" s="51" t="s">
        <v>70</v>
      </c>
      <c r="K561" s="51" t="s">
        <v>73</v>
      </c>
      <c r="L561" s="41">
        <f t="shared" si="40"/>
        <v>4368734000</v>
      </c>
      <c r="M561" s="41">
        <f t="shared" si="41"/>
        <v>2182093000</v>
      </c>
      <c r="N561" s="41">
        <f t="shared" si="42"/>
        <v>2186641000</v>
      </c>
      <c r="O561" s="41">
        <f t="shared" si="43"/>
        <v>0.82536160092568811</v>
      </c>
      <c r="P561" s="41">
        <f t="shared" si="44"/>
        <v>0.17500238696987361</v>
      </c>
    </row>
    <row r="562" spans="1:16" ht="19.95" customHeight="1">
      <c r="A562" s="49">
        <v>587</v>
      </c>
      <c r="B562" s="50" t="s">
        <v>335</v>
      </c>
      <c r="C562" s="51" t="s">
        <v>20</v>
      </c>
      <c r="D562" s="51" t="s">
        <v>21</v>
      </c>
      <c r="E562" s="52">
        <v>11513251000</v>
      </c>
      <c r="F562" s="52">
        <v>7449273000</v>
      </c>
      <c r="G562" s="52">
        <v>1074998000</v>
      </c>
      <c r="H562" s="52" t="s">
        <v>757</v>
      </c>
      <c r="I562" s="52">
        <v>1337276000</v>
      </c>
      <c r="J562" s="51" t="s">
        <v>70</v>
      </c>
      <c r="K562" s="51" t="s">
        <v>73</v>
      </c>
      <c r="L562" s="41">
        <f t="shared" si="40"/>
        <v>4063978000</v>
      </c>
      <c r="M562" s="41">
        <f t="shared" si="41"/>
        <v>2412274000</v>
      </c>
      <c r="N562" s="41">
        <f t="shared" si="42"/>
        <v>1651704000</v>
      </c>
      <c r="O562" s="41">
        <f t="shared" si="43"/>
        <v>0.79047846694213475</v>
      </c>
      <c r="P562" s="41">
        <f t="shared" si="44"/>
        <v>0.14346113013604933</v>
      </c>
    </row>
    <row r="563" spans="1:16" ht="19.95" customHeight="1">
      <c r="A563" s="49">
        <v>588</v>
      </c>
      <c r="B563" s="50" t="s">
        <v>336</v>
      </c>
      <c r="C563" s="51" t="s">
        <v>11</v>
      </c>
      <c r="D563" s="51" t="s">
        <v>12</v>
      </c>
      <c r="E563" s="52">
        <v>1899600000</v>
      </c>
      <c r="F563" s="52">
        <v>491000000</v>
      </c>
      <c r="G563" s="52">
        <v>697400000</v>
      </c>
      <c r="H563" s="52">
        <v>291300000</v>
      </c>
      <c r="I563" s="52" t="s">
        <v>757</v>
      </c>
      <c r="J563" s="51" t="s">
        <v>37</v>
      </c>
      <c r="K563" s="51" t="s">
        <v>46</v>
      </c>
      <c r="L563" s="41">
        <f t="shared" si="40"/>
        <v>1408600000</v>
      </c>
      <c r="M563" s="41">
        <f t="shared" si="41"/>
        <v>988700000</v>
      </c>
      <c r="N563" s="41">
        <f t="shared" si="42"/>
        <v>419900000</v>
      </c>
      <c r="O563" s="41">
        <f t="shared" si="43"/>
        <v>0.47952200463255423</v>
      </c>
      <c r="P563" s="41">
        <f t="shared" si="44"/>
        <v>0.22104653611286587</v>
      </c>
    </row>
    <row r="564" spans="1:16" ht="19.95" customHeight="1">
      <c r="A564" s="49">
        <v>589</v>
      </c>
      <c r="B564" s="50" t="s">
        <v>336</v>
      </c>
      <c r="C564" s="51" t="s">
        <v>16</v>
      </c>
      <c r="D564" s="51" t="s">
        <v>17</v>
      </c>
      <c r="E564" s="52">
        <v>2045500000</v>
      </c>
      <c r="F564" s="52">
        <v>516600000</v>
      </c>
      <c r="G564" s="52">
        <v>749700000</v>
      </c>
      <c r="H564" s="52">
        <v>323000000</v>
      </c>
      <c r="I564" s="52" t="s">
        <v>757</v>
      </c>
      <c r="J564" s="51" t="s">
        <v>37</v>
      </c>
      <c r="K564" s="51" t="s">
        <v>46</v>
      </c>
      <c r="L564" s="41">
        <f t="shared" si="40"/>
        <v>1528900000</v>
      </c>
      <c r="M564" s="41">
        <f t="shared" si="41"/>
        <v>1072700000</v>
      </c>
      <c r="N564" s="41">
        <f t="shared" si="42"/>
        <v>456200000</v>
      </c>
      <c r="O564" s="41">
        <f t="shared" si="43"/>
        <v>0.4755805426546077</v>
      </c>
      <c r="P564" s="41">
        <f t="shared" si="44"/>
        <v>0.2230261549743339</v>
      </c>
    </row>
    <row r="565" spans="1:16" ht="19.95" customHeight="1">
      <c r="A565" s="49">
        <v>590</v>
      </c>
      <c r="B565" s="50" t="s">
        <v>336</v>
      </c>
      <c r="C565" s="51" t="s">
        <v>18</v>
      </c>
      <c r="D565" s="51" t="s">
        <v>19</v>
      </c>
      <c r="E565" s="52">
        <v>2322900000</v>
      </c>
      <c r="F565" s="52">
        <v>625600000</v>
      </c>
      <c r="G565" s="52">
        <v>928700000</v>
      </c>
      <c r="H565" s="52">
        <v>346500000</v>
      </c>
      <c r="I565" s="52" t="s">
        <v>757</v>
      </c>
      <c r="J565" s="51" t="s">
        <v>37</v>
      </c>
      <c r="K565" s="51" t="s">
        <v>46</v>
      </c>
      <c r="L565" s="41">
        <f t="shared" si="40"/>
        <v>1697300000</v>
      </c>
      <c r="M565" s="41">
        <f t="shared" si="41"/>
        <v>1275200000</v>
      </c>
      <c r="N565" s="41">
        <f t="shared" si="42"/>
        <v>422100000</v>
      </c>
      <c r="O565" s="41">
        <f t="shared" si="43"/>
        <v>0.45103103878772222</v>
      </c>
      <c r="P565" s="41">
        <f t="shared" si="44"/>
        <v>0.18171251452925222</v>
      </c>
    </row>
    <row r="566" spans="1:16" ht="19.95" customHeight="1">
      <c r="A566" s="49">
        <v>591</v>
      </c>
      <c r="B566" s="50" t="s">
        <v>336</v>
      </c>
      <c r="C566" s="51" t="s">
        <v>20</v>
      </c>
      <c r="D566" s="51" t="s">
        <v>21</v>
      </c>
      <c r="E566" s="52">
        <v>2493700000</v>
      </c>
      <c r="F566" s="52">
        <v>617200000</v>
      </c>
      <c r="G566" s="52">
        <v>850700000</v>
      </c>
      <c r="H566" s="52">
        <v>383100000</v>
      </c>
      <c r="I566" s="52" t="s">
        <v>757</v>
      </c>
      <c r="J566" s="51" t="s">
        <v>37</v>
      </c>
      <c r="K566" s="51" t="s">
        <v>46</v>
      </c>
      <c r="L566" s="41">
        <f t="shared" si="40"/>
        <v>1876500000</v>
      </c>
      <c r="M566" s="41">
        <f t="shared" si="41"/>
        <v>1233800000</v>
      </c>
      <c r="N566" s="41">
        <f t="shared" si="42"/>
        <v>642700000</v>
      </c>
      <c r="O566" s="41">
        <f t="shared" si="43"/>
        <v>0.50523318763283476</v>
      </c>
      <c r="P566" s="41">
        <f t="shared" si="44"/>
        <v>0.25772947828527892</v>
      </c>
    </row>
    <row r="567" spans="1:16" ht="19.95" customHeight="1">
      <c r="A567" s="49">
        <v>592</v>
      </c>
      <c r="B567" s="50" t="s">
        <v>337</v>
      </c>
      <c r="C567" s="51" t="s">
        <v>11</v>
      </c>
      <c r="D567" s="51" t="s">
        <v>17</v>
      </c>
      <c r="E567" s="52">
        <v>24888000000</v>
      </c>
      <c r="F567" s="52">
        <v>17994000000</v>
      </c>
      <c r="G567" s="52">
        <v>1095000000</v>
      </c>
      <c r="H567" s="52" t="s">
        <v>757</v>
      </c>
      <c r="I567" s="52">
        <v>2153000000</v>
      </c>
      <c r="J567" s="51" t="s">
        <v>70</v>
      </c>
      <c r="K567" s="51" t="s">
        <v>71</v>
      </c>
      <c r="L567" s="41">
        <f t="shared" si="40"/>
        <v>6894000000</v>
      </c>
      <c r="M567" s="41">
        <f t="shared" si="41"/>
        <v>3248000000</v>
      </c>
      <c r="N567" s="41">
        <f t="shared" si="42"/>
        <v>3646000000</v>
      </c>
      <c r="O567" s="41">
        <f t="shared" si="43"/>
        <v>0.86949533911925425</v>
      </c>
      <c r="P567" s="41">
        <f t="shared" si="44"/>
        <v>0.14649630343940856</v>
      </c>
    </row>
    <row r="568" spans="1:16" ht="19.95" customHeight="1">
      <c r="A568" s="49">
        <v>593</v>
      </c>
      <c r="B568" s="50" t="s">
        <v>337</v>
      </c>
      <c r="C568" s="51" t="s">
        <v>16</v>
      </c>
      <c r="D568" s="51" t="s">
        <v>19</v>
      </c>
      <c r="E568" s="52">
        <v>27429000000</v>
      </c>
      <c r="F568" s="52">
        <v>21571000000</v>
      </c>
      <c r="G568" s="52">
        <v>1154000000</v>
      </c>
      <c r="H568" s="52" t="s">
        <v>757</v>
      </c>
      <c r="I568" s="52">
        <v>2314000000</v>
      </c>
      <c r="J568" s="51" t="s">
        <v>70</v>
      </c>
      <c r="K568" s="51" t="s">
        <v>71</v>
      </c>
      <c r="L568" s="41">
        <f t="shared" si="40"/>
        <v>5858000000</v>
      </c>
      <c r="M568" s="41">
        <f t="shared" si="41"/>
        <v>3468000000</v>
      </c>
      <c r="N568" s="41">
        <f t="shared" si="42"/>
        <v>2390000000</v>
      </c>
      <c r="O568" s="41">
        <f t="shared" si="43"/>
        <v>0.87356447555506944</v>
      </c>
      <c r="P568" s="41">
        <f t="shared" si="44"/>
        <v>8.7134055197054208E-2</v>
      </c>
    </row>
    <row r="569" spans="1:16" ht="19.95" customHeight="1">
      <c r="A569" s="49">
        <v>594</v>
      </c>
      <c r="B569" s="50" t="s">
        <v>337</v>
      </c>
      <c r="C569" s="51" t="s">
        <v>18</v>
      </c>
      <c r="D569" s="51" t="s">
        <v>21</v>
      </c>
      <c r="E569" s="52">
        <v>29447000000</v>
      </c>
      <c r="F569" s="52">
        <v>21406000000</v>
      </c>
      <c r="G569" s="52">
        <v>1200000000</v>
      </c>
      <c r="H569" s="52" t="s">
        <v>757</v>
      </c>
      <c r="I569" s="52">
        <v>2450000000</v>
      </c>
      <c r="J569" s="51" t="s">
        <v>70</v>
      </c>
      <c r="K569" s="51" t="s">
        <v>71</v>
      </c>
      <c r="L569" s="41">
        <f t="shared" si="40"/>
        <v>8041000000</v>
      </c>
      <c r="M569" s="41">
        <f t="shared" si="41"/>
        <v>3650000000</v>
      </c>
      <c r="N569" s="41">
        <f t="shared" si="42"/>
        <v>4391000000</v>
      </c>
      <c r="O569" s="41">
        <f t="shared" si="43"/>
        <v>0.87604849390430262</v>
      </c>
      <c r="P569" s="41">
        <f t="shared" si="44"/>
        <v>0.14911535979896084</v>
      </c>
    </row>
    <row r="570" spans="1:16" ht="19.95" customHeight="1">
      <c r="A570" s="49">
        <v>595</v>
      </c>
      <c r="B570" s="50" t="s">
        <v>337</v>
      </c>
      <c r="C570" s="51" t="s">
        <v>20</v>
      </c>
      <c r="D570" s="51" t="s">
        <v>84</v>
      </c>
      <c r="E570" s="52">
        <v>31360000000</v>
      </c>
      <c r="F570" s="52">
        <v>22688000000</v>
      </c>
      <c r="G570" s="52">
        <v>1576000000</v>
      </c>
      <c r="H570" s="52" t="s">
        <v>757</v>
      </c>
      <c r="I570" s="52">
        <v>3936000000</v>
      </c>
      <c r="J570" s="51" t="s">
        <v>70</v>
      </c>
      <c r="K570" s="51" t="s">
        <v>71</v>
      </c>
      <c r="L570" s="41">
        <f t="shared" si="40"/>
        <v>8672000000</v>
      </c>
      <c r="M570" s="41">
        <f t="shared" si="41"/>
        <v>5512000000</v>
      </c>
      <c r="N570" s="41">
        <f t="shared" si="42"/>
        <v>3160000000</v>
      </c>
      <c r="O570" s="41">
        <f t="shared" si="43"/>
        <v>0.82423469387755099</v>
      </c>
      <c r="P570" s="41">
        <f t="shared" si="44"/>
        <v>0.10076530612244898</v>
      </c>
    </row>
    <row r="571" spans="1:16" ht="19.95" customHeight="1">
      <c r="A571" s="49">
        <v>596</v>
      </c>
      <c r="B571" s="50" t="s">
        <v>338</v>
      </c>
      <c r="C571" s="51" t="s">
        <v>11</v>
      </c>
      <c r="D571" s="51" t="s">
        <v>12</v>
      </c>
      <c r="E571" s="52">
        <v>5992215000</v>
      </c>
      <c r="F571" s="52">
        <v>4156845000</v>
      </c>
      <c r="G571" s="52">
        <v>1264632000</v>
      </c>
      <c r="H571" s="52" t="s">
        <v>757</v>
      </c>
      <c r="I571" s="52">
        <v>39940000</v>
      </c>
      <c r="J571" s="51" t="s">
        <v>14</v>
      </c>
      <c r="K571" s="51" t="s">
        <v>206</v>
      </c>
      <c r="L571" s="41">
        <f t="shared" si="40"/>
        <v>1835370000</v>
      </c>
      <c r="M571" s="41">
        <f t="shared" si="41"/>
        <v>1304572000</v>
      </c>
      <c r="N571" s="41">
        <f t="shared" si="42"/>
        <v>530798000</v>
      </c>
      <c r="O571" s="41">
        <f t="shared" si="43"/>
        <v>0.78228885312025687</v>
      </c>
      <c r="P571" s="41">
        <f t="shared" si="44"/>
        <v>8.8581267527950855E-2</v>
      </c>
    </row>
    <row r="572" spans="1:16" ht="19.95" customHeight="1">
      <c r="A572" s="49">
        <v>597</v>
      </c>
      <c r="B572" s="50" t="s">
        <v>338</v>
      </c>
      <c r="C572" s="51" t="s">
        <v>16</v>
      </c>
      <c r="D572" s="51" t="s">
        <v>17</v>
      </c>
      <c r="E572" s="52">
        <v>6080257000</v>
      </c>
      <c r="F572" s="52">
        <v>4197404000</v>
      </c>
      <c r="G572" s="52">
        <v>1282709000</v>
      </c>
      <c r="H572" s="52" t="s">
        <v>757</v>
      </c>
      <c r="I572" s="52">
        <v>48071000</v>
      </c>
      <c r="J572" s="51" t="s">
        <v>14</v>
      </c>
      <c r="K572" s="51" t="s">
        <v>206</v>
      </c>
      <c r="L572" s="41">
        <f t="shared" si="40"/>
        <v>1882853000</v>
      </c>
      <c r="M572" s="41">
        <f t="shared" si="41"/>
        <v>1330780000</v>
      </c>
      <c r="N572" s="41">
        <f t="shared" si="42"/>
        <v>552073000</v>
      </c>
      <c r="O572" s="41">
        <f t="shared" si="43"/>
        <v>0.78113096206295229</v>
      </c>
      <c r="P572" s="41">
        <f t="shared" si="44"/>
        <v>9.0797642270713227E-2</v>
      </c>
    </row>
    <row r="573" spans="1:16" ht="19.95" customHeight="1">
      <c r="A573" s="49">
        <v>598</v>
      </c>
      <c r="B573" s="50" t="s">
        <v>338</v>
      </c>
      <c r="C573" s="51" t="s">
        <v>18</v>
      </c>
      <c r="D573" s="51" t="s">
        <v>19</v>
      </c>
      <c r="E573" s="52">
        <v>6564721000</v>
      </c>
      <c r="F573" s="52">
        <v>4583294000</v>
      </c>
      <c r="G573" s="52">
        <v>1337487000</v>
      </c>
      <c r="H573" s="52" t="s">
        <v>757</v>
      </c>
      <c r="I573" s="52">
        <v>49292000</v>
      </c>
      <c r="J573" s="51" t="s">
        <v>14</v>
      </c>
      <c r="K573" s="51" t="s">
        <v>206</v>
      </c>
      <c r="L573" s="41">
        <f t="shared" si="40"/>
        <v>1981427000</v>
      </c>
      <c r="M573" s="41">
        <f t="shared" si="41"/>
        <v>1386779000</v>
      </c>
      <c r="N573" s="41">
        <f t="shared" si="42"/>
        <v>594648000</v>
      </c>
      <c r="O573" s="41">
        <f t="shared" si="43"/>
        <v>0.78875278934169479</v>
      </c>
      <c r="P573" s="41">
        <f t="shared" si="44"/>
        <v>9.058237204597118E-2</v>
      </c>
    </row>
    <row r="574" spans="1:16" ht="19.95" customHeight="1">
      <c r="A574" s="49">
        <v>599</v>
      </c>
      <c r="B574" s="50" t="s">
        <v>338</v>
      </c>
      <c r="C574" s="51" t="s">
        <v>20</v>
      </c>
      <c r="D574" s="51" t="s">
        <v>21</v>
      </c>
      <c r="E574" s="52">
        <v>6616632000</v>
      </c>
      <c r="F574" s="52">
        <v>4428855000</v>
      </c>
      <c r="G574" s="52">
        <v>1420281000</v>
      </c>
      <c r="H574" s="52" t="s">
        <v>757</v>
      </c>
      <c r="I574" s="52">
        <v>46012000</v>
      </c>
      <c r="J574" s="51" t="s">
        <v>14</v>
      </c>
      <c r="K574" s="51" t="s">
        <v>206</v>
      </c>
      <c r="L574" s="41">
        <f t="shared" si="40"/>
        <v>2187777000</v>
      </c>
      <c r="M574" s="41">
        <f t="shared" si="41"/>
        <v>1466293000</v>
      </c>
      <c r="N574" s="41">
        <f t="shared" si="42"/>
        <v>721484000</v>
      </c>
      <c r="O574" s="41">
        <f t="shared" si="43"/>
        <v>0.77839284397258302</v>
      </c>
      <c r="P574" s="41">
        <f t="shared" si="44"/>
        <v>0.10904097432047</v>
      </c>
    </row>
    <row r="575" spans="1:16" ht="19.95" customHeight="1">
      <c r="A575" s="49">
        <v>600</v>
      </c>
      <c r="B575" s="50" t="s">
        <v>339</v>
      </c>
      <c r="C575" s="51" t="s">
        <v>11</v>
      </c>
      <c r="D575" s="51" t="s">
        <v>17</v>
      </c>
      <c r="E575" s="52">
        <v>4771259000</v>
      </c>
      <c r="F575" s="52">
        <v>1038034000</v>
      </c>
      <c r="G575" s="52">
        <v>3151043000</v>
      </c>
      <c r="H575" s="52" t="s">
        <v>757</v>
      </c>
      <c r="I575" s="52">
        <v>71731000</v>
      </c>
      <c r="J575" s="51" t="s">
        <v>24</v>
      </c>
      <c r="K575" s="51" t="s">
        <v>110</v>
      </c>
      <c r="L575" s="41">
        <f t="shared" si="40"/>
        <v>3733225000</v>
      </c>
      <c r="M575" s="41">
        <f t="shared" si="41"/>
        <v>3222774000</v>
      </c>
      <c r="N575" s="41">
        <f t="shared" si="42"/>
        <v>510451000</v>
      </c>
      <c r="O575" s="41">
        <f t="shared" si="43"/>
        <v>0.32454431838640496</v>
      </c>
      <c r="P575" s="41">
        <f t="shared" si="44"/>
        <v>0.10698455061861031</v>
      </c>
    </row>
    <row r="576" spans="1:16" ht="19.95" customHeight="1">
      <c r="A576" s="49">
        <v>601</v>
      </c>
      <c r="B576" s="50" t="s">
        <v>339</v>
      </c>
      <c r="C576" s="51" t="s">
        <v>16</v>
      </c>
      <c r="D576" s="51" t="s">
        <v>19</v>
      </c>
      <c r="E576" s="52">
        <v>5763485000</v>
      </c>
      <c r="F576" s="52">
        <v>1179081000</v>
      </c>
      <c r="G576" s="52">
        <v>3919856000</v>
      </c>
      <c r="H576" s="52" t="s">
        <v>757</v>
      </c>
      <c r="I576" s="52">
        <v>76773000</v>
      </c>
      <c r="J576" s="51" t="s">
        <v>24</v>
      </c>
      <c r="K576" s="51" t="s">
        <v>110</v>
      </c>
      <c r="L576" s="41">
        <f t="shared" si="40"/>
        <v>4584404000</v>
      </c>
      <c r="M576" s="41">
        <f t="shared" si="41"/>
        <v>3996629000</v>
      </c>
      <c r="N576" s="41">
        <f t="shared" si="42"/>
        <v>587775000</v>
      </c>
      <c r="O576" s="41">
        <f t="shared" si="43"/>
        <v>0.30656035367490331</v>
      </c>
      <c r="P576" s="41">
        <f t="shared" si="44"/>
        <v>0.10198256783872951</v>
      </c>
    </row>
    <row r="577" spans="1:16" ht="19.95" customHeight="1">
      <c r="A577" s="49">
        <v>602</v>
      </c>
      <c r="B577" s="50" t="s">
        <v>339</v>
      </c>
      <c r="C577" s="51" t="s">
        <v>18</v>
      </c>
      <c r="D577" s="51" t="s">
        <v>21</v>
      </c>
      <c r="E577" s="52">
        <v>6672317000</v>
      </c>
      <c r="F577" s="52">
        <v>1309559000</v>
      </c>
      <c r="G577" s="52">
        <v>4785243000</v>
      </c>
      <c r="H577" s="52" t="s">
        <v>757</v>
      </c>
      <c r="I577" s="52">
        <v>156458000</v>
      </c>
      <c r="J577" s="51" t="s">
        <v>24</v>
      </c>
      <c r="K577" s="51" t="s">
        <v>110</v>
      </c>
      <c r="L577" s="41">
        <f t="shared" si="40"/>
        <v>5362758000</v>
      </c>
      <c r="M577" s="41">
        <f t="shared" si="41"/>
        <v>4941701000</v>
      </c>
      <c r="N577" s="41">
        <f t="shared" si="42"/>
        <v>421057000</v>
      </c>
      <c r="O577" s="41">
        <f t="shared" si="43"/>
        <v>0.25937256877933113</v>
      </c>
      <c r="P577" s="41">
        <f t="shared" si="44"/>
        <v>6.3105065301903365E-2</v>
      </c>
    </row>
    <row r="578" spans="1:16" ht="19.95" customHeight="1">
      <c r="A578" s="49">
        <v>603</v>
      </c>
      <c r="B578" s="50" t="s">
        <v>339</v>
      </c>
      <c r="C578" s="51" t="s">
        <v>20</v>
      </c>
      <c r="D578" s="51" t="s">
        <v>84</v>
      </c>
      <c r="E578" s="52">
        <v>8773564000</v>
      </c>
      <c r="F578" s="52">
        <v>1596698000</v>
      </c>
      <c r="G578" s="52">
        <v>6280728000</v>
      </c>
      <c r="H578" s="52" t="s">
        <v>757</v>
      </c>
      <c r="I578" s="52">
        <v>317141000</v>
      </c>
      <c r="J578" s="51" t="s">
        <v>24</v>
      </c>
      <c r="K578" s="51" t="s">
        <v>110</v>
      </c>
      <c r="L578" s="41">
        <f t="shared" si="40"/>
        <v>7176866000</v>
      </c>
      <c r="M578" s="41">
        <f t="shared" si="41"/>
        <v>6597869000</v>
      </c>
      <c r="N578" s="41">
        <f t="shared" si="42"/>
        <v>578997000</v>
      </c>
      <c r="O578" s="41">
        <f t="shared" si="43"/>
        <v>0.24798303175311653</v>
      </c>
      <c r="P578" s="41">
        <f t="shared" si="44"/>
        <v>6.5993363700316082E-2</v>
      </c>
    </row>
    <row r="579" spans="1:16" ht="19.95" customHeight="1">
      <c r="A579" s="49">
        <v>604</v>
      </c>
      <c r="B579" s="50" t="s">
        <v>340</v>
      </c>
      <c r="C579" s="51" t="s">
        <v>11</v>
      </c>
      <c r="D579" s="51" t="s">
        <v>12</v>
      </c>
      <c r="E579" s="52">
        <v>409396000</v>
      </c>
      <c r="F579" s="52">
        <v>114028000</v>
      </c>
      <c r="G579" s="52">
        <v>58323000</v>
      </c>
      <c r="H579" s="52" t="s">
        <v>757</v>
      </c>
      <c r="I579" s="52">
        <v>74453000</v>
      </c>
      <c r="J579" s="51" t="s">
        <v>80</v>
      </c>
      <c r="K579" s="51" t="s">
        <v>108</v>
      </c>
      <c r="L579" s="41">
        <f t="shared" ref="L579:L642" si="45">Total_Revenue-COGS</f>
        <v>295368000</v>
      </c>
      <c r="M579" s="41">
        <f t="shared" ref="M579:M642" si="46">SGAA+RandD+OOI</f>
        <v>132776000</v>
      </c>
      <c r="N579" s="41">
        <f t="shared" ref="N579:N642" si="47">Gross_Profit-Total_Operating_Expenses</f>
        <v>162592000</v>
      </c>
      <c r="O579" s="41">
        <f t="shared" ref="O579:O642" si="48">1-(Total_Operating_Expenses/Total_Revenue)</f>
        <v>0.6756783163489628</v>
      </c>
      <c r="P579" s="41">
        <f t="shared" ref="P579:P642" si="49">Operating_Profit/Total_Revenue</f>
        <v>0.39715092477698855</v>
      </c>
    </row>
    <row r="580" spans="1:16" ht="19.95" customHeight="1">
      <c r="A580" s="49">
        <v>605</v>
      </c>
      <c r="B580" s="50" t="s">
        <v>340</v>
      </c>
      <c r="C580" s="51" t="s">
        <v>16</v>
      </c>
      <c r="D580" s="51" t="s">
        <v>17</v>
      </c>
      <c r="E580" s="52">
        <v>520613000</v>
      </c>
      <c r="F580" s="52">
        <v>140012000</v>
      </c>
      <c r="G580" s="52">
        <v>63268000</v>
      </c>
      <c r="H580" s="52" t="s">
        <v>757</v>
      </c>
      <c r="I580" s="52">
        <v>95232000</v>
      </c>
      <c r="J580" s="51" t="s">
        <v>80</v>
      </c>
      <c r="K580" s="51" t="s">
        <v>108</v>
      </c>
      <c r="L580" s="41">
        <f t="shared" si="45"/>
        <v>380601000</v>
      </c>
      <c r="M580" s="41">
        <f t="shared" si="46"/>
        <v>158500000</v>
      </c>
      <c r="N580" s="41">
        <f t="shared" si="47"/>
        <v>222101000</v>
      </c>
      <c r="O580" s="41">
        <f t="shared" si="48"/>
        <v>0.69555120598217868</v>
      </c>
      <c r="P580" s="41">
        <f t="shared" si="49"/>
        <v>0.42661439495364117</v>
      </c>
    </row>
    <row r="581" spans="1:16" ht="19.95" customHeight="1">
      <c r="A581" s="49">
        <v>606</v>
      </c>
      <c r="B581" s="50" t="s">
        <v>340</v>
      </c>
      <c r="C581" s="51" t="s">
        <v>18</v>
      </c>
      <c r="D581" s="51" t="s">
        <v>19</v>
      </c>
      <c r="E581" s="52">
        <v>647155000</v>
      </c>
      <c r="F581" s="52">
        <v>172416000</v>
      </c>
      <c r="G581" s="52">
        <v>71369000</v>
      </c>
      <c r="H581" s="52" t="s">
        <v>757</v>
      </c>
      <c r="I581" s="52">
        <v>115076000</v>
      </c>
      <c r="J581" s="51" t="s">
        <v>80</v>
      </c>
      <c r="K581" s="51" t="s">
        <v>108</v>
      </c>
      <c r="L581" s="41">
        <f t="shared" si="45"/>
        <v>474739000</v>
      </c>
      <c r="M581" s="41">
        <f t="shared" si="46"/>
        <v>186445000</v>
      </c>
      <c r="N581" s="41">
        <f t="shared" si="47"/>
        <v>288294000</v>
      </c>
      <c r="O581" s="41">
        <f t="shared" si="48"/>
        <v>0.71190054932744085</v>
      </c>
      <c r="P581" s="41">
        <f t="shared" si="49"/>
        <v>0.44547905833996493</v>
      </c>
    </row>
    <row r="582" spans="1:16" ht="19.95" customHeight="1">
      <c r="A582" s="49">
        <v>607</v>
      </c>
      <c r="B582" s="50" t="s">
        <v>340</v>
      </c>
      <c r="C582" s="51" t="s">
        <v>20</v>
      </c>
      <c r="D582" s="51" t="s">
        <v>21</v>
      </c>
      <c r="E582" s="52">
        <v>782270000</v>
      </c>
      <c r="F582" s="52">
        <v>203965000</v>
      </c>
      <c r="G582" s="52">
        <v>80791000</v>
      </c>
      <c r="H582" s="52" t="s">
        <v>757</v>
      </c>
      <c r="I582" s="52">
        <v>133457000</v>
      </c>
      <c r="J582" s="51" t="s">
        <v>80</v>
      </c>
      <c r="K582" s="51" t="s">
        <v>108</v>
      </c>
      <c r="L582" s="41">
        <f t="shared" si="45"/>
        <v>578305000</v>
      </c>
      <c r="M582" s="41">
        <f t="shared" si="46"/>
        <v>214248000</v>
      </c>
      <c r="N582" s="41">
        <f t="shared" si="47"/>
        <v>364057000</v>
      </c>
      <c r="O582" s="41">
        <f t="shared" si="48"/>
        <v>0.72612013754841676</v>
      </c>
      <c r="P582" s="41">
        <f t="shared" si="49"/>
        <v>0.46538535288327559</v>
      </c>
    </row>
    <row r="583" spans="1:16" ht="19.95" customHeight="1">
      <c r="A583" s="49">
        <v>608</v>
      </c>
      <c r="B583" s="50" t="s">
        <v>341</v>
      </c>
      <c r="C583" s="51" t="s">
        <v>11</v>
      </c>
      <c r="D583" s="51" t="s">
        <v>17</v>
      </c>
      <c r="E583" s="52">
        <v>1469170000</v>
      </c>
      <c r="F583" s="52">
        <v>123050000000</v>
      </c>
      <c r="G583" s="52">
        <v>10850000000</v>
      </c>
      <c r="H583" s="52" t="s">
        <v>757</v>
      </c>
      <c r="I583" s="52" t="s">
        <v>757</v>
      </c>
      <c r="J583" s="51" t="s">
        <v>24</v>
      </c>
      <c r="K583" s="51" t="s">
        <v>342</v>
      </c>
      <c r="L583" s="41">
        <f t="shared" si="45"/>
        <v>-121580830000</v>
      </c>
      <c r="M583" s="41">
        <f t="shared" si="46"/>
        <v>10850000000</v>
      </c>
      <c r="N583" s="41">
        <f t="shared" si="47"/>
        <v>-132430830000</v>
      </c>
      <c r="O583" s="41">
        <f t="shared" si="48"/>
        <v>-6.3851222118611188</v>
      </c>
      <c r="P583" s="41">
        <f t="shared" si="49"/>
        <v>-90.139895315041827</v>
      </c>
    </row>
    <row r="584" spans="1:16" ht="19.95" customHeight="1">
      <c r="A584" s="49">
        <v>609</v>
      </c>
      <c r="B584" s="50" t="s">
        <v>341</v>
      </c>
      <c r="C584" s="51" t="s">
        <v>16</v>
      </c>
      <c r="D584" s="51" t="s">
        <v>19</v>
      </c>
      <c r="E584" s="52">
        <v>1440770000</v>
      </c>
      <c r="F584" s="52">
        <v>131903000000</v>
      </c>
      <c r="G584" s="52">
        <v>11842000000</v>
      </c>
      <c r="H584" s="52" t="s">
        <v>757</v>
      </c>
      <c r="I584" s="52" t="s">
        <v>757</v>
      </c>
      <c r="J584" s="51" t="s">
        <v>24</v>
      </c>
      <c r="K584" s="51" t="s">
        <v>342</v>
      </c>
      <c r="L584" s="41">
        <f t="shared" si="45"/>
        <v>-130462230000</v>
      </c>
      <c r="M584" s="41">
        <f t="shared" si="46"/>
        <v>11842000000</v>
      </c>
      <c r="N584" s="41">
        <f t="shared" si="47"/>
        <v>-142304230000</v>
      </c>
      <c r="O584" s="41">
        <f t="shared" si="48"/>
        <v>-7.2192161136059187</v>
      </c>
      <c r="P584" s="41">
        <f t="shared" si="49"/>
        <v>-98.769567661736431</v>
      </c>
    </row>
    <row r="585" spans="1:16" ht="19.95" customHeight="1">
      <c r="A585" s="49">
        <v>610</v>
      </c>
      <c r="B585" s="50" t="s">
        <v>341</v>
      </c>
      <c r="C585" s="51" t="s">
        <v>18</v>
      </c>
      <c r="D585" s="51" t="s">
        <v>21</v>
      </c>
      <c r="E585" s="52">
        <v>1495580000</v>
      </c>
      <c r="F585" s="52">
        <v>131409000000</v>
      </c>
      <c r="G585" s="52">
        <v>10502000000</v>
      </c>
      <c r="H585" s="52" t="s">
        <v>757</v>
      </c>
      <c r="I585" s="52" t="s">
        <v>757</v>
      </c>
      <c r="J585" s="51" t="s">
        <v>24</v>
      </c>
      <c r="K585" s="51" t="s">
        <v>342</v>
      </c>
      <c r="L585" s="41">
        <f t="shared" si="45"/>
        <v>-129913420000</v>
      </c>
      <c r="M585" s="41">
        <f t="shared" si="46"/>
        <v>10502000000</v>
      </c>
      <c r="N585" s="41">
        <f t="shared" si="47"/>
        <v>-140415420000</v>
      </c>
      <c r="O585" s="41">
        <f t="shared" si="48"/>
        <v>-6.0220249000387813</v>
      </c>
      <c r="P585" s="41">
        <f t="shared" si="49"/>
        <v>-93.886933497372254</v>
      </c>
    </row>
    <row r="586" spans="1:16" ht="19.95" customHeight="1">
      <c r="A586" s="49">
        <v>611</v>
      </c>
      <c r="B586" s="50" t="s">
        <v>341</v>
      </c>
      <c r="C586" s="51" t="s">
        <v>20</v>
      </c>
      <c r="D586" s="51" t="s">
        <v>84</v>
      </c>
      <c r="E586" s="52">
        <v>1518000000</v>
      </c>
      <c r="F586" s="52">
        <v>135488000000</v>
      </c>
      <c r="G586" s="52">
        <v>12196000000</v>
      </c>
      <c r="H586" s="52" t="s">
        <v>757</v>
      </c>
      <c r="I586" s="52" t="s">
        <v>757</v>
      </c>
      <c r="J586" s="51" t="s">
        <v>24</v>
      </c>
      <c r="K586" s="51" t="s">
        <v>342</v>
      </c>
      <c r="L586" s="41">
        <f t="shared" si="45"/>
        <v>-133970000000</v>
      </c>
      <c r="M586" s="41">
        <f t="shared" si="46"/>
        <v>12196000000</v>
      </c>
      <c r="N586" s="41">
        <f t="shared" si="47"/>
        <v>-146166000000</v>
      </c>
      <c r="O586" s="41">
        <f t="shared" si="48"/>
        <v>-7.0342555994729903</v>
      </c>
      <c r="P586" s="41">
        <f t="shared" si="49"/>
        <v>-96.28853754940711</v>
      </c>
    </row>
    <row r="587" spans="1:16" ht="19.95" customHeight="1">
      <c r="A587" s="49">
        <v>612</v>
      </c>
      <c r="B587" s="50" t="s">
        <v>343</v>
      </c>
      <c r="C587" s="51" t="s">
        <v>11</v>
      </c>
      <c r="D587" s="51" t="s">
        <v>17</v>
      </c>
      <c r="E587" s="52">
        <v>3326106000</v>
      </c>
      <c r="F587" s="52">
        <v>1606661000</v>
      </c>
      <c r="G587" s="52">
        <v>1007431000</v>
      </c>
      <c r="H587" s="52" t="s">
        <v>757</v>
      </c>
      <c r="I587" s="52" t="s">
        <v>757</v>
      </c>
      <c r="J587" s="51" t="s">
        <v>14</v>
      </c>
      <c r="K587" s="51" t="s">
        <v>93</v>
      </c>
      <c r="L587" s="41">
        <f t="shared" si="45"/>
        <v>1719445000</v>
      </c>
      <c r="M587" s="41">
        <f t="shared" si="46"/>
        <v>1007431000</v>
      </c>
      <c r="N587" s="41">
        <f t="shared" si="47"/>
        <v>712014000</v>
      </c>
      <c r="O587" s="41">
        <f t="shared" si="48"/>
        <v>0.69711398253693657</v>
      </c>
      <c r="P587" s="41">
        <f t="shared" si="49"/>
        <v>0.21406834298125196</v>
      </c>
    </row>
    <row r="588" spans="1:16" ht="19.95" customHeight="1">
      <c r="A588" s="49">
        <v>613</v>
      </c>
      <c r="B588" s="50" t="s">
        <v>343</v>
      </c>
      <c r="C588" s="51" t="s">
        <v>16</v>
      </c>
      <c r="D588" s="51" t="s">
        <v>19</v>
      </c>
      <c r="E588" s="52">
        <v>3733507000</v>
      </c>
      <c r="F588" s="52">
        <v>1836105000</v>
      </c>
      <c r="G588" s="52">
        <v>1110776000</v>
      </c>
      <c r="H588" s="52" t="s">
        <v>757</v>
      </c>
      <c r="I588" s="52" t="s">
        <v>757</v>
      </c>
      <c r="J588" s="51" t="s">
        <v>14</v>
      </c>
      <c r="K588" s="51" t="s">
        <v>93</v>
      </c>
      <c r="L588" s="41">
        <f t="shared" si="45"/>
        <v>1897402000</v>
      </c>
      <c r="M588" s="41">
        <f t="shared" si="46"/>
        <v>1110776000</v>
      </c>
      <c r="N588" s="41">
        <f t="shared" si="47"/>
        <v>786626000</v>
      </c>
      <c r="O588" s="41">
        <f t="shared" si="48"/>
        <v>0.70248455406672594</v>
      </c>
      <c r="P588" s="41">
        <f t="shared" si="49"/>
        <v>0.21069359184273659</v>
      </c>
    </row>
    <row r="589" spans="1:16" ht="19.95" customHeight="1">
      <c r="A589" s="49">
        <v>614</v>
      </c>
      <c r="B589" s="50" t="s">
        <v>343</v>
      </c>
      <c r="C589" s="51" t="s">
        <v>18</v>
      </c>
      <c r="D589" s="51" t="s">
        <v>21</v>
      </c>
      <c r="E589" s="52">
        <v>3869187000</v>
      </c>
      <c r="F589" s="52">
        <v>1920253000</v>
      </c>
      <c r="G589" s="52">
        <v>1121590000</v>
      </c>
      <c r="H589" s="52" t="s">
        <v>757</v>
      </c>
      <c r="I589" s="52" t="s">
        <v>757</v>
      </c>
      <c r="J589" s="51" t="s">
        <v>14</v>
      </c>
      <c r="K589" s="51" t="s">
        <v>93</v>
      </c>
      <c r="L589" s="41">
        <f t="shared" si="45"/>
        <v>1948934000</v>
      </c>
      <c r="M589" s="41">
        <f t="shared" si="46"/>
        <v>1121590000</v>
      </c>
      <c r="N589" s="41">
        <f t="shared" si="47"/>
        <v>827344000</v>
      </c>
      <c r="O589" s="41">
        <f t="shared" si="48"/>
        <v>0.71012256579999877</v>
      </c>
      <c r="P589" s="41">
        <f t="shared" si="49"/>
        <v>0.21382889997304344</v>
      </c>
    </row>
    <row r="590" spans="1:16" ht="19.95" customHeight="1">
      <c r="A590" s="49">
        <v>615</v>
      </c>
      <c r="B590" s="50" t="s">
        <v>343</v>
      </c>
      <c r="C590" s="51" t="s">
        <v>20</v>
      </c>
      <c r="D590" s="51" t="s">
        <v>84</v>
      </c>
      <c r="E590" s="52">
        <v>3962036000</v>
      </c>
      <c r="F590" s="52">
        <v>1997259000</v>
      </c>
      <c r="G590" s="52">
        <v>1169470000</v>
      </c>
      <c r="H590" s="52" t="s">
        <v>757</v>
      </c>
      <c r="I590" s="52" t="s">
        <v>757</v>
      </c>
      <c r="J590" s="51" t="s">
        <v>14</v>
      </c>
      <c r="K590" s="51" t="s">
        <v>93</v>
      </c>
      <c r="L590" s="41">
        <f t="shared" si="45"/>
        <v>1964777000</v>
      </c>
      <c r="M590" s="41">
        <f t="shared" si="46"/>
        <v>1169470000</v>
      </c>
      <c r="N590" s="41">
        <f t="shared" si="47"/>
        <v>795307000</v>
      </c>
      <c r="O590" s="41">
        <f t="shared" si="48"/>
        <v>0.70483105150988035</v>
      </c>
      <c r="P590" s="41">
        <f t="shared" si="49"/>
        <v>0.20073189642900771</v>
      </c>
    </row>
    <row r="591" spans="1:16" ht="19.95" customHeight="1">
      <c r="A591" s="49">
        <v>616</v>
      </c>
      <c r="B591" s="50" t="s">
        <v>344</v>
      </c>
      <c r="C591" s="51" t="s">
        <v>11</v>
      </c>
      <c r="D591" s="51" t="s">
        <v>17</v>
      </c>
      <c r="E591" s="52">
        <v>7872000000</v>
      </c>
      <c r="F591" s="52">
        <v>1875000000</v>
      </c>
      <c r="G591" s="52">
        <v>1778000000</v>
      </c>
      <c r="H591" s="52">
        <v>1415000000</v>
      </c>
      <c r="I591" s="52" t="s">
        <v>757</v>
      </c>
      <c r="J591" s="51" t="s">
        <v>31</v>
      </c>
      <c r="K591" s="51" t="s">
        <v>86</v>
      </c>
      <c r="L591" s="41">
        <f t="shared" si="45"/>
        <v>5997000000</v>
      </c>
      <c r="M591" s="41">
        <f t="shared" si="46"/>
        <v>3193000000</v>
      </c>
      <c r="N591" s="41">
        <f t="shared" si="47"/>
        <v>2804000000</v>
      </c>
      <c r="O591" s="41">
        <f t="shared" si="48"/>
        <v>0.59438516260162599</v>
      </c>
      <c r="P591" s="41">
        <f t="shared" si="49"/>
        <v>0.35619918699186992</v>
      </c>
    </row>
    <row r="592" spans="1:16" ht="19.95" customHeight="1">
      <c r="A592" s="49">
        <v>617</v>
      </c>
      <c r="B592" s="50" t="s">
        <v>344</v>
      </c>
      <c r="C592" s="51" t="s">
        <v>16</v>
      </c>
      <c r="D592" s="51" t="s">
        <v>19</v>
      </c>
      <c r="E592" s="52">
        <v>12466000000</v>
      </c>
      <c r="F592" s="52">
        <v>2153000000</v>
      </c>
      <c r="G592" s="52">
        <v>2653000000</v>
      </c>
      <c r="H592" s="52">
        <v>2666000000</v>
      </c>
      <c r="I592" s="52" t="s">
        <v>757</v>
      </c>
      <c r="J592" s="51" t="s">
        <v>31</v>
      </c>
      <c r="K592" s="51" t="s">
        <v>86</v>
      </c>
      <c r="L592" s="41">
        <f t="shared" si="45"/>
        <v>10313000000</v>
      </c>
      <c r="M592" s="41">
        <f t="shared" si="46"/>
        <v>5319000000</v>
      </c>
      <c r="N592" s="41">
        <f t="shared" si="47"/>
        <v>4994000000</v>
      </c>
      <c r="O592" s="41">
        <f t="shared" si="48"/>
        <v>0.57331942884646236</v>
      </c>
      <c r="P592" s="41">
        <f t="shared" si="49"/>
        <v>0.40060965827049577</v>
      </c>
    </row>
    <row r="593" spans="1:16" ht="19.95" customHeight="1">
      <c r="A593" s="49">
        <v>618</v>
      </c>
      <c r="B593" s="50" t="s">
        <v>344</v>
      </c>
      <c r="C593" s="51" t="s">
        <v>18</v>
      </c>
      <c r="D593" s="51" t="s">
        <v>21</v>
      </c>
      <c r="E593" s="52">
        <v>17928000000</v>
      </c>
      <c r="F593" s="52">
        <v>2867000000</v>
      </c>
      <c r="G593" s="52">
        <v>4020000000</v>
      </c>
      <c r="H593" s="52">
        <v>4816000000</v>
      </c>
      <c r="I593" s="52" t="s">
        <v>757</v>
      </c>
      <c r="J593" s="51" t="s">
        <v>31</v>
      </c>
      <c r="K593" s="51" t="s">
        <v>86</v>
      </c>
      <c r="L593" s="41">
        <f t="shared" si="45"/>
        <v>15061000000</v>
      </c>
      <c r="M593" s="41">
        <f t="shared" si="46"/>
        <v>8836000000</v>
      </c>
      <c r="N593" s="41">
        <f t="shared" si="47"/>
        <v>6225000000</v>
      </c>
      <c r="O593" s="41">
        <f t="shared" si="48"/>
        <v>0.50713966979027214</v>
      </c>
      <c r="P593" s="41">
        <f t="shared" si="49"/>
        <v>0.34722222222222221</v>
      </c>
    </row>
    <row r="594" spans="1:16" ht="19.95" customHeight="1">
      <c r="A594" s="49">
        <v>619</v>
      </c>
      <c r="B594" s="50" t="s">
        <v>344</v>
      </c>
      <c r="C594" s="51" t="s">
        <v>20</v>
      </c>
      <c r="D594" s="51" t="s">
        <v>84</v>
      </c>
      <c r="E594" s="52">
        <v>27638000000</v>
      </c>
      <c r="F594" s="52">
        <v>3789000000</v>
      </c>
      <c r="G594" s="52">
        <v>5503000000</v>
      </c>
      <c r="H594" s="52">
        <v>5919000000</v>
      </c>
      <c r="I594" s="52" t="s">
        <v>757</v>
      </c>
      <c r="J594" s="51" t="s">
        <v>31</v>
      </c>
      <c r="K594" s="51" t="s">
        <v>86</v>
      </c>
      <c r="L594" s="41">
        <f t="shared" si="45"/>
        <v>23849000000</v>
      </c>
      <c r="M594" s="41">
        <f t="shared" si="46"/>
        <v>11422000000</v>
      </c>
      <c r="N594" s="41">
        <f t="shared" si="47"/>
        <v>12427000000</v>
      </c>
      <c r="O594" s="41">
        <f t="shared" si="48"/>
        <v>0.5867284173963383</v>
      </c>
      <c r="P594" s="41">
        <f t="shared" si="49"/>
        <v>0.44963456111151312</v>
      </c>
    </row>
    <row r="595" spans="1:16" ht="19.95" customHeight="1">
      <c r="A595" s="49">
        <v>620</v>
      </c>
      <c r="B595" s="50" t="s">
        <v>345</v>
      </c>
      <c r="C595" s="51" t="s">
        <v>11</v>
      </c>
      <c r="D595" s="51" t="s">
        <v>12</v>
      </c>
      <c r="E595" s="52">
        <v>3134800000</v>
      </c>
      <c r="F595" s="52">
        <v>2093200000</v>
      </c>
      <c r="G595" s="52">
        <v>873100000</v>
      </c>
      <c r="H595" s="52" t="s">
        <v>757</v>
      </c>
      <c r="I595" s="52">
        <v>7400000</v>
      </c>
      <c r="J595" s="51" t="s">
        <v>14</v>
      </c>
      <c r="K595" s="51" t="s">
        <v>93</v>
      </c>
      <c r="L595" s="41">
        <f t="shared" si="45"/>
        <v>1041600000</v>
      </c>
      <c r="M595" s="41">
        <f t="shared" si="46"/>
        <v>880500000</v>
      </c>
      <c r="N595" s="41">
        <f t="shared" si="47"/>
        <v>161100000</v>
      </c>
      <c r="O595" s="41">
        <f t="shared" si="48"/>
        <v>0.71912083705499552</v>
      </c>
      <c r="P595" s="41">
        <f t="shared" si="49"/>
        <v>5.1390838330994004E-2</v>
      </c>
    </row>
    <row r="596" spans="1:16" ht="19.95" customHeight="1">
      <c r="A596" s="49">
        <v>621</v>
      </c>
      <c r="B596" s="50" t="s">
        <v>345</v>
      </c>
      <c r="C596" s="51" t="s">
        <v>16</v>
      </c>
      <c r="D596" s="51" t="s">
        <v>17</v>
      </c>
      <c r="E596" s="52">
        <v>3703600000</v>
      </c>
      <c r="F596" s="52">
        <v>2408500000</v>
      </c>
      <c r="G596" s="52">
        <v>938700000</v>
      </c>
      <c r="H596" s="52" t="s">
        <v>757</v>
      </c>
      <c r="I596" s="52">
        <v>9400000</v>
      </c>
      <c r="J596" s="51" t="s">
        <v>14</v>
      </c>
      <c r="K596" s="51" t="s">
        <v>93</v>
      </c>
      <c r="L596" s="41">
        <f t="shared" si="45"/>
        <v>1295100000</v>
      </c>
      <c r="M596" s="41">
        <f t="shared" si="46"/>
        <v>948100000</v>
      </c>
      <c r="N596" s="41">
        <f t="shared" si="47"/>
        <v>347000000</v>
      </c>
      <c r="O596" s="41">
        <f t="shared" si="48"/>
        <v>0.74400583216330052</v>
      </c>
      <c r="P596" s="41">
        <f t="shared" si="49"/>
        <v>9.3692623393455021E-2</v>
      </c>
    </row>
    <row r="597" spans="1:16" ht="19.95" customHeight="1">
      <c r="A597" s="49">
        <v>622</v>
      </c>
      <c r="B597" s="50" t="s">
        <v>345</v>
      </c>
      <c r="C597" s="51" t="s">
        <v>18</v>
      </c>
      <c r="D597" s="51" t="s">
        <v>19</v>
      </c>
      <c r="E597" s="52">
        <v>4013600000</v>
      </c>
      <c r="F597" s="52">
        <v>2646700000</v>
      </c>
      <c r="G597" s="52">
        <v>943300000</v>
      </c>
      <c r="H597" s="52" t="s">
        <v>757</v>
      </c>
      <c r="I597" s="52">
        <v>13100000</v>
      </c>
      <c r="J597" s="51" t="s">
        <v>14</v>
      </c>
      <c r="K597" s="51" t="s">
        <v>93</v>
      </c>
      <c r="L597" s="41">
        <f t="shared" si="45"/>
        <v>1366900000</v>
      </c>
      <c r="M597" s="41">
        <f t="shared" si="46"/>
        <v>956400000</v>
      </c>
      <c r="N597" s="41">
        <f t="shared" si="47"/>
        <v>410500000</v>
      </c>
      <c r="O597" s="41">
        <f t="shared" si="48"/>
        <v>0.76171018536974289</v>
      </c>
      <c r="P597" s="41">
        <f t="shared" si="49"/>
        <v>0.10227725732509468</v>
      </c>
    </row>
    <row r="598" spans="1:16" ht="19.95" customHeight="1">
      <c r="A598" s="49">
        <v>623</v>
      </c>
      <c r="B598" s="50" t="s">
        <v>345</v>
      </c>
      <c r="C598" s="51" t="s">
        <v>20</v>
      </c>
      <c r="D598" s="51" t="s">
        <v>21</v>
      </c>
      <c r="E598" s="52">
        <v>4579400000</v>
      </c>
      <c r="F598" s="52">
        <v>2997500000</v>
      </c>
      <c r="G598" s="52">
        <v>1047600000</v>
      </c>
      <c r="H598" s="52" t="s">
        <v>757</v>
      </c>
      <c r="I598" s="52">
        <v>21600000</v>
      </c>
      <c r="J598" s="51" t="s">
        <v>14</v>
      </c>
      <c r="K598" s="51" t="s">
        <v>93</v>
      </c>
      <c r="L598" s="41">
        <f t="shared" si="45"/>
        <v>1581900000</v>
      </c>
      <c r="M598" s="41">
        <f t="shared" si="46"/>
        <v>1069200000</v>
      </c>
      <c r="N598" s="41">
        <f t="shared" si="47"/>
        <v>512700000</v>
      </c>
      <c r="O598" s="41">
        <f t="shared" si="48"/>
        <v>0.76651963139275892</v>
      </c>
      <c r="P598" s="41">
        <f t="shared" si="49"/>
        <v>0.11195789841463948</v>
      </c>
    </row>
    <row r="599" spans="1:16" ht="19.95" customHeight="1">
      <c r="A599" s="49">
        <v>624</v>
      </c>
      <c r="B599" s="50" t="s">
        <v>346</v>
      </c>
      <c r="C599" s="51" t="s">
        <v>11</v>
      </c>
      <c r="D599" s="51" t="s">
        <v>12</v>
      </c>
      <c r="E599" s="52">
        <v>18010000000</v>
      </c>
      <c r="F599" s="52">
        <v>11561000000</v>
      </c>
      <c r="G599" s="52">
        <v>431000000</v>
      </c>
      <c r="H599" s="52">
        <v>285000000</v>
      </c>
      <c r="I599" s="52" t="s">
        <v>757</v>
      </c>
      <c r="J599" s="51" t="s">
        <v>88</v>
      </c>
      <c r="K599" s="51" t="s">
        <v>347</v>
      </c>
      <c r="L599" s="41">
        <f t="shared" si="45"/>
        <v>6449000000</v>
      </c>
      <c r="M599" s="41">
        <f t="shared" si="46"/>
        <v>716000000</v>
      </c>
      <c r="N599" s="41">
        <f t="shared" si="47"/>
        <v>5733000000</v>
      </c>
      <c r="O599" s="41">
        <f t="shared" si="48"/>
        <v>0.9602443087173792</v>
      </c>
      <c r="P599" s="41">
        <f t="shared" si="49"/>
        <v>0.3183231538034425</v>
      </c>
    </row>
    <row r="600" spans="1:16" ht="19.95" customHeight="1">
      <c r="A600" s="49">
        <v>625</v>
      </c>
      <c r="B600" s="50" t="s">
        <v>346</v>
      </c>
      <c r="C600" s="51" t="s">
        <v>16</v>
      </c>
      <c r="D600" s="51" t="s">
        <v>17</v>
      </c>
      <c r="E600" s="52">
        <v>20921000000</v>
      </c>
      <c r="F600" s="52">
        <v>14637000000</v>
      </c>
      <c r="G600" s="52">
        <v>657000000</v>
      </c>
      <c r="H600" s="52">
        <v>210000000</v>
      </c>
      <c r="I600" s="52" t="s">
        <v>757</v>
      </c>
      <c r="J600" s="51" t="s">
        <v>88</v>
      </c>
      <c r="K600" s="51" t="s">
        <v>347</v>
      </c>
      <c r="L600" s="41">
        <f t="shared" si="45"/>
        <v>6284000000</v>
      </c>
      <c r="M600" s="41">
        <f t="shared" si="46"/>
        <v>867000000</v>
      </c>
      <c r="N600" s="41">
        <f t="shared" si="47"/>
        <v>5417000000</v>
      </c>
      <c r="O600" s="41">
        <f t="shared" si="48"/>
        <v>0.9585583863104058</v>
      </c>
      <c r="P600" s="41">
        <f t="shared" si="49"/>
        <v>0.25892643755078631</v>
      </c>
    </row>
    <row r="601" spans="1:16" ht="19.95" customHeight="1">
      <c r="A601" s="49">
        <v>626</v>
      </c>
      <c r="B601" s="50" t="s">
        <v>346</v>
      </c>
      <c r="C601" s="51" t="s">
        <v>18</v>
      </c>
      <c r="D601" s="51" t="s">
        <v>19</v>
      </c>
      <c r="E601" s="52">
        <v>21438000000</v>
      </c>
      <c r="F601" s="52">
        <v>19504000000</v>
      </c>
      <c r="G601" s="52">
        <v>592000000</v>
      </c>
      <c r="H601" s="52">
        <v>126000000</v>
      </c>
      <c r="I601" s="52" t="s">
        <v>757</v>
      </c>
      <c r="J601" s="51" t="s">
        <v>88</v>
      </c>
      <c r="K601" s="51" t="s">
        <v>347</v>
      </c>
      <c r="L601" s="41">
        <f t="shared" si="45"/>
        <v>1934000000</v>
      </c>
      <c r="M601" s="41">
        <f t="shared" si="46"/>
        <v>718000000</v>
      </c>
      <c r="N601" s="41">
        <f t="shared" si="47"/>
        <v>1216000000</v>
      </c>
      <c r="O601" s="41">
        <f t="shared" si="48"/>
        <v>0.96650806978262893</v>
      </c>
      <c r="P601" s="41">
        <f t="shared" si="49"/>
        <v>5.6721709114656217E-2</v>
      </c>
    </row>
    <row r="602" spans="1:16" ht="19.95" customHeight="1">
      <c r="A602" s="49">
        <v>627</v>
      </c>
      <c r="B602" s="50" t="s">
        <v>346</v>
      </c>
      <c r="C602" s="51" t="s">
        <v>20</v>
      </c>
      <c r="D602" s="51" t="s">
        <v>21</v>
      </c>
      <c r="E602" s="52">
        <v>15877000000</v>
      </c>
      <c r="F602" s="52">
        <v>28524000000</v>
      </c>
      <c r="G602" s="52">
        <v>569000000</v>
      </c>
      <c r="H602" s="52">
        <v>127000000</v>
      </c>
      <c r="I602" s="52" t="s">
        <v>757</v>
      </c>
      <c r="J602" s="51" t="s">
        <v>88</v>
      </c>
      <c r="K602" s="51" t="s">
        <v>347</v>
      </c>
      <c r="L602" s="41">
        <f t="shared" si="45"/>
        <v>-12647000000</v>
      </c>
      <c r="M602" s="41">
        <f t="shared" si="46"/>
        <v>696000000</v>
      </c>
      <c r="N602" s="41">
        <f t="shared" si="47"/>
        <v>-13343000000</v>
      </c>
      <c r="O602" s="41">
        <f t="shared" si="48"/>
        <v>0.95616300308622537</v>
      </c>
      <c r="P602" s="41">
        <f t="shared" si="49"/>
        <v>-0.8403980600869182</v>
      </c>
    </row>
    <row r="603" spans="1:16" ht="19.95" customHeight="1">
      <c r="A603" s="49">
        <v>628</v>
      </c>
      <c r="B603" s="50" t="s">
        <v>348</v>
      </c>
      <c r="C603" s="51" t="s">
        <v>11</v>
      </c>
      <c r="D603" s="51" t="s">
        <v>263</v>
      </c>
      <c r="E603" s="52">
        <v>44287000000</v>
      </c>
      <c r="F603" s="52">
        <v>16448000000</v>
      </c>
      <c r="G603" s="52">
        <v>20359000000</v>
      </c>
      <c r="H603" s="52" t="s">
        <v>757</v>
      </c>
      <c r="I603" s="52">
        <v>2386000000</v>
      </c>
      <c r="J603" s="51" t="s">
        <v>14</v>
      </c>
      <c r="K603" s="51" t="s">
        <v>206</v>
      </c>
      <c r="L603" s="41">
        <f t="shared" si="45"/>
        <v>27839000000</v>
      </c>
      <c r="M603" s="41">
        <f t="shared" si="46"/>
        <v>22745000000</v>
      </c>
      <c r="N603" s="41">
        <f t="shared" si="47"/>
        <v>5094000000</v>
      </c>
      <c r="O603" s="41">
        <f t="shared" si="48"/>
        <v>0.48641813624765728</v>
      </c>
      <c r="P603" s="41">
        <f t="shared" si="49"/>
        <v>0.11502246708966514</v>
      </c>
    </row>
    <row r="604" spans="1:16" ht="19.95" customHeight="1">
      <c r="A604" s="49">
        <v>629</v>
      </c>
      <c r="B604" s="50" t="s">
        <v>348</v>
      </c>
      <c r="C604" s="51" t="s">
        <v>16</v>
      </c>
      <c r="D604" s="51" t="s">
        <v>265</v>
      </c>
      <c r="E604" s="52">
        <v>45567000000</v>
      </c>
      <c r="F604" s="52">
        <v>17052000000</v>
      </c>
      <c r="G604" s="52">
        <v>22113000000</v>
      </c>
      <c r="H604" s="52" t="s">
        <v>757</v>
      </c>
      <c r="I604" s="52">
        <v>2587000000</v>
      </c>
      <c r="J604" s="51" t="s">
        <v>14</v>
      </c>
      <c r="K604" s="51" t="s">
        <v>206</v>
      </c>
      <c r="L604" s="41">
        <f t="shared" si="45"/>
        <v>28515000000</v>
      </c>
      <c r="M604" s="41">
        <f t="shared" si="46"/>
        <v>24700000000</v>
      </c>
      <c r="N604" s="41">
        <f t="shared" si="47"/>
        <v>3815000000</v>
      </c>
      <c r="O604" s="41">
        <f t="shared" si="48"/>
        <v>0.45794105383281758</v>
      </c>
      <c r="P604" s="41">
        <f t="shared" si="49"/>
        <v>8.3722869620558735E-2</v>
      </c>
    </row>
    <row r="605" spans="1:16" ht="19.95" customHeight="1">
      <c r="A605" s="49">
        <v>630</v>
      </c>
      <c r="B605" s="50" t="s">
        <v>348</v>
      </c>
      <c r="C605" s="51" t="s">
        <v>18</v>
      </c>
      <c r="D605" s="51" t="s">
        <v>175</v>
      </c>
      <c r="E605" s="52">
        <v>47453000000</v>
      </c>
      <c r="F605" s="52">
        <v>16984000000</v>
      </c>
      <c r="G605" s="52">
        <v>25715000000</v>
      </c>
      <c r="H605" s="52" t="s">
        <v>757</v>
      </c>
      <c r="I605" s="52">
        <v>2611000000</v>
      </c>
      <c r="J605" s="51" t="s">
        <v>14</v>
      </c>
      <c r="K605" s="51" t="s">
        <v>206</v>
      </c>
      <c r="L605" s="41">
        <f t="shared" si="45"/>
        <v>30469000000</v>
      </c>
      <c r="M605" s="41">
        <f t="shared" si="46"/>
        <v>28326000000</v>
      </c>
      <c r="N605" s="41">
        <f t="shared" si="47"/>
        <v>2143000000</v>
      </c>
      <c r="O605" s="41">
        <f t="shared" si="48"/>
        <v>0.40307251385581522</v>
      </c>
      <c r="P605" s="41">
        <f t="shared" si="49"/>
        <v>4.5160474574842478E-2</v>
      </c>
    </row>
    <row r="606" spans="1:16" ht="19.95" customHeight="1">
      <c r="A606" s="49">
        <v>631</v>
      </c>
      <c r="B606" s="50" t="s">
        <v>348</v>
      </c>
      <c r="C606" s="51" t="s">
        <v>20</v>
      </c>
      <c r="D606" s="51" t="s">
        <v>266</v>
      </c>
      <c r="E606" s="52">
        <v>50365000000</v>
      </c>
      <c r="F606" s="52">
        <v>17327000000</v>
      </c>
      <c r="G606" s="52">
        <v>27330000000</v>
      </c>
      <c r="H606" s="52" t="s">
        <v>757</v>
      </c>
      <c r="I606" s="52">
        <v>2631000000</v>
      </c>
      <c r="J606" s="51" t="s">
        <v>14</v>
      </c>
      <c r="K606" s="51" t="s">
        <v>206</v>
      </c>
      <c r="L606" s="41">
        <f t="shared" si="45"/>
        <v>33038000000</v>
      </c>
      <c r="M606" s="41">
        <f t="shared" si="46"/>
        <v>29961000000</v>
      </c>
      <c r="N606" s="41">
        <f t="shared" si="47"/>
        <v>3077000000</v>
      </c>
      <c r="O606" s="41">
        <f t="shared" si="48"/>
        <v>0.40512260498361963</v>
      </c>
      <c r="P606" s="41">
        <f t="shared" si="49"/>
        <v>6.1094013699990075E-2</v>
      </c>
    </row>
    <row r="607" spans="1:16" ht="19.95" customHeight="1">
      <c r="A607" s="49">
        <v>632</v>
      </c>
      <c r="B607" s="50" t="s">
        <v>349</v>
      </c>
      <c r="C607" s="51" t="s">
        <v>11</v>
      </c>
      <c r="D607" s="51" t="s">
        <v>12</v>
      </c>
      <c r="E607" s="52">
        <v>15255000000</v>
      </c>
      <c r="F607" s="52">
        <v>6717000000</v>
      </c>
      <c r="G607" s="52">
        <v>5353000000</v>
      </c>
      <c r="H607" s="52" t="s">
        <v>757</v>
      </c>
      <c r="I607" s="52">
        <v>1051000000</v>
      </c>
      <c r="J607" s="51" t="s">
        <v>70</v>
      </c>
      <c r="K607" s="51" t="s">
        <v>73</v>
      </c>
      <c r="L607" s="41">
        <f t="shared" si="45"/>
        <v>8538000000</v>
      </c>
      <c r="M607" s="41">
        <f t="shared" si="46"/>
        <v>6404000000</v>
      </c>
      <c r="N607" s="41">
        <f t="shared" si="47"/>
        <v>2134000000</v>
      </c>
      <c r="O607" s="41">
        <f t="shared" si="48"/>
        <v>0.58020321206161918</v>
      </c>
      <c r="P607" s="41">
        <f t="shared" si="49"/>
        <v>0.13988856112749917</v>
      </c>
    </row>
    <row r="608" spans="1:16" ht="19.95" customHeight="1">
      <c r="A608" s="49">
        <v>633</v>
      </c>
      <c r="B608" s="50" t="s">
        <v>349</v>
      </c>
      <c r="C608" s="51" t="s">
        <v>16</v>
      </c>
      <c r="D608" s="51" t="s">
        <v>17</v>
      </c>
      <c r="E608" s="52">
        <v>14892000000</v>
      </c>
      <c r="F608" s="52">
        <v>6459000000</v>
      </c>
      <c r="G608" s="52">
        <v>4315000000</v>
      </c>
      <c r="H608" s="52" t="s">
        <v>757</v>
      </c>
      <c r="I608" s="52">
        <v>1741000000</v>
      </c>
      <c r="J608" s="51" t="s">
        <v>70</v>
      </c>
      <c r="K608" s="51" t="s">
        <v>73</v>
      </c>
      <c r="L608" s="41">
        <f t="shared" si="45"/>
        <v>8433000000</v>
      </c>
      <c r="M608" s="41">
        <f t="shared" si="46"/>
        <v>6056000000</v>
      </c>
      <c r="N608" s="41">
        <f t="shared" si="47"/>
        <v>2377000000</v>
      </c>
      <c r="O608" s="41">
        <f t="shared" si="48"/>
        <v>0.59333870534515176</v>
      </c>
      <c r="P608" s="41">
        <f t="shared" si="49"/>
        <v>0.15961590115498253</v>
      </c>
    </row>
    <row r="609" spans="1:16" ht="19.95" customHeight="1">
      <c r="A609" s="49">
        <v>634</v>
      </c>
      <c r="B609" s="50" t="s">
        <v>349</v>
      </c>
      <c r="C609" s="51" t="s">
        <v>18</v>
      </c>
      <c r="D609" s="51" t="s">
        <v>19</v>
      </c>
      <c r="E609" s="52">
        <v>15049000000</v>
      </c>
      <c r="F609" s="52">
        <v>6996000000</v>
      </c>
      <c r="G609" s="52">
        <v>5759000000</v>
      </c>
      <c r="H609" s="52" t="s">
        <v>757</v>
      </c>
      <c r="I609" s="52">
        <v>1232000000</v>
      </c>
      <c r="J609" s="51" t="s">
        <v>70</v>
      </c>
      <c r="K609" s="51" t="s">
        <v>73</v>
      </c>
      <c r="L609" s="41">
        <f t="shared" si="45"/>
        <v>8053000000</v>
      </c>
      <c r="M609" s="41">
        <f t="shared" si="46"/>
        <v>6991000000</v>
      </c>
      <c r="N609" s="41">
        <f t="shared" si="47"/>
        <v>1062000000</v>
      </c>
      <c r="O609" s="41">
        <f t="shared" si="48"/>
        <v>0.53545086052229385</v>
      </c>
      <c r="P609" s="41">
        <f t="shared" si="49"/>
        <v>7.0569473054688026E-2</v>
      </c>
    </row>
    <row r="610" spans="1:16" ht="19.95" customHeight="1">
      <c r="A610" s="49">
        <v>635</v>
      </c>
      <c r="B610" s="50" t="s">
        <v>349</v>
      </c>
      <c r="C610" s="51" t="s">
        <v>20</v>
      </c>
      <c r="D610" s="51" t="s">
        <v>21</v>
      </c>
      <c r="E610" s="52">
        <v>15026000000</v>
      </c>
      <c r="F610" s="52">
        <v>6173000000</v>
      </c>
      <c r="G610" s="52">
        <v>4969000000</v>
      </c>
      <c r="H610" s="52" t="s">
        <v>757</v>
      </c>
      <c r="I610" s="52">
        <v>1550000000</v>
      </c>
      <c r="J610" s="51" t="s">
        <v>70</v>
      </c>
      <c r="K610" s="51" t="s">
        <v>73</v>
      </c>
      <c r="L610" s="41">
        <f t="shared" si="45"/>
        <v>8853000000</v>
      </c>
      <c r="M610" s="41">
        <f t="shared" si="46"/>
        <v>6519000000</v>
      </c>
      <c r="N610" s="41">
        <f t="shared" si="47"/>
        <v>2334000000</v>
      </c>
      <c r="O610" s="41">
        <f t="shared" si="48"/>
        <v>0.56615200319446291</v>
      </c>
      <c r="P610" s="41">
        <f t="shared" si="49"/>
        <v>0.15533076001597232</v>
      </c>
    </row>
    <row r="611" spans="1:16" ht="19.95" customHeight="1">
      <c r="A611" s="49">
        <v>636</v>
      </c>
      <c r="B611" s="50" t="s">
        <v>350</v>
      </c>
      <c r="C611" s="51" t="s">
        <v>11</v>
      </c>
      <c r="D611" s="51" t="s">
        <v>40</v>
      </c>
      <c r="E611" s="52">
        <v>1481314000</v>
      </c>
      <c r="F611" s="52">
        <v>253047000</v>
      </c>
      <c r="G611" s="52">
        <v>587835000</v>
      </c>
      <c r="H611" s="52">
        <v>209614000</v>
      </c>
      <c r="I611" s="52" t="s">
        <v>757</v>
      </c>
      <c r="J611" s="51" t="s">
        <v>31</v>
      </c>
      <c r="K611" s="51" t="s">
        <v>249</v>
      </c>
      <c r="L611" s="41">
        <f t="shared" si="45"/>
        <v>1228267000</v>
      </c>
      <c r="M611" s="41">
        <f t="shared" si="46"/>
        <v>797449000</v>
      </c>
      <c r="N611" s="41">
        <f t="shared" si="47"/>
        <v>430818000</v>
      </c>
      <c r="O611" s="41">
        <f t="shared" si="48"/>
        <v>0.46166106578348687</v>
      </c>
      <c r="P611" s="41">
        <f t="shared" si="49"/>
        <v>0.29083502890001717</v>
      </c>
    </row>
    <row r="612" spans="1:16" ht="19.95" customHeight="1">
      <c r="A612" s="49">
        <v>637</v>
      </c>
      <c r="B612" s="50" t="s">
        <v>350</v>
      </c>
      <c r="C612" s="51" t="s">
        <v>16</v>
      </c>
      <c r="D612" s="51" t="s">
        <v>42</v>
      </c>
      <c r="E612" s="52">
        <v>1732046000</v>
      </c>
      <c r="F612" s="52">
        <v>309959000</v>
      </c>
      <c r="G612" s="52">
        <v>664738000</v>
      </c>
      <c r="H612" s="52">
        <v>263792000</v>
      </c>
      <c r="I612" s="52" t="s">
        <v>757</v>
      </c>
      <c r="J612" s="51" t="s">
        <v>31</v>
      </c>
      <c r="K612" s="51" t="s">
        <v>249</v>
      </c>
      <c r="L612" s="41">
        <f t="shared" si="45"/>
        <v>1422087000</v>
      </c>
      <c r="M612" s="41">
        <f t="shared" si="46"/>
        <v>928530000</v>
      </c>
      <c r="N612" s="41">
        <f t="shared" si="47"/>
        <v>493557000</v>
      </c>
      <c r="O612" s="41">
        <f t="shared" si="48"/>
        <v>0.46391146655458337</v>
      </c>
      <c r="P612" s="41">
        <f t="shared" si="49"/>
        <v>0.28495605774904359</v>
      </c>
    </row>
    <row r="613" spans="1:16" ht="19.95" customHeight="1">
      <c r="A613" s="49">
        <v>638</v>
      </c>
      <c r="B613" s="50" t="s">
        <v>350</v>
      </c>
      <c r="C613" s="51" t="s">
        <v>18</v>
      </c>
      <c r="D613" s="51" t="s">
        <v>43</v>
      </c>
      <c r="E613" s="52">
        <v>1919823000</v>
      </c>
      <c r="F613" s="52">
        <v>332261000</v>
      </c>
      <c r="G613" s="52">
        <v>738080000</v>
      </c>
      <c r="H613" s="52">
        <v>296583000</v>
      </c>
      <c r="I613" s="52" t="s">
        <v>757</v>
      </c>
      <c r="J613" s="51" t="s">
        <v>31</v>
      </c>
      <c r="K613" s="51" t="s">
        <v>249</v>
      </c>
      <c r="L613" s="41">
        <f t="shared" si="45"/>
        <v>1587562000</v>
      </c>
      <c r="M613" s="41">
        <f t="shared" si="46"/>
        <v>1034663000</v>
      </c>
      <c r="N613" s="41">
        <f t="shared" si="47"/>
        <v>552899000</v>
      </c>
      <c r="O613" s="41">
        <f t="shared" si="48"/>
        <v>0.46106333760976925</v>
      </c>
      <c r="P613" s="41">
        <f t="shared" si="49"/>
        <v>0.28799477868532675</v>
      </c>
    </row>
    <row r="614" spans="1:16" ht="19.95" customHeight="1">
      <c r="A614" s="49">
        <v>639</v>
      </c>
      <c r="B614" s="50" t="s">
        <v>350</v>
      </c>
      <c r="C614" s="51" t="s">
        <v>20</v>
      </c>
      <c r="D614" s="51" t="s">
        <v>44</v>
      </c>
      <c r="E614" s="52">
        <v>1995034000</v>
      </c>
      <c r="F614" s="52">
        <v>337205000</v>
      </c>
      <c r="G614" s="52">
        <v>767174000</v>
      </c>
      <c r="H614" s="52">
        <v>334227000</v>
      </c>
      <c r="I614" s="52" t="s">
        <v>757</v>
      </c>
      <c r="J614" s="51" t="s">
        <v>31</v>
      </c>
      <c r="K614" s="51" t="s">
        <v>249</v>
      </c>
      <c r="L614" s="41">
        <f t="shared" si="45"/>
        <v>1657829000</v>
      </c>
      <c r="M614" s="41">
        <f t="shared" si="46"/>
        <v>1101401000</v>
      </c>
      <c r="N614" s="41">
        <f t="shared" si="47"/>
        <v>556428000</v>
      </c>
      <c r="O614" s="41">
        <f t="shared" si="48"/>
        <v>0.44792870697942988</v>
      </c>
      <c r="P614" s="41">
        <f t="shared" si="49"/>
        <v>0.27890652490133</v>
      </c>
    </row>
    <row r="615" spans="1:16" ht="19.95" customHeight="1">
      <c r="A615" s="49">
        <v>640</v>
      </c>
      <c r="B615" s="50" t="s">
        <v>351</v>
      </c>
      <c r="C615" s="51" t="s">
        <v>11</v>
      </c>
      <c r="D615" s="51" t="s">
        <v>12</v>
      </c>
      <c r="E615" s="52">
        <v>5795800000</v>
      </c>
      <c r="F615" s="52">
        <v>3956200000</v>
      </c>
      <c r="G615" s="52">
        <v>763300000</v>
      </c>
      <c r="H615" s="52" t="s">
        <v>757</v>
      </c>
      <c r="I615" s="52" t="s">
        <v>757</v>
      </c>
      <c r="J615" s="51" t="s">
        <v>31</v>
      </c>
      <c r="K615" s="51" t="s">
        <v>86</v>
      </c>
      <c r="L615" s="41">
        <f t="shared" si="45"/>
        <v>1839600000</v>
      </c>
      <c r="M615" s="41">
        <f t="shared" si="46"/>
        <v>763300000</v>
      </c>
      <c r="N615" s="41">
        <f t="shared" si="47"/>
        <v>1076300000</v>
      </c>
      <c r="O615" s="41">
        <f t="shared" si="48"/>
        <v>0.86830118361572173</v>
      </c>
      <c r="P615" s="41">
        <f t="shared" si="49"/>
        <v>0.18570344042237483</v>
      </c>
    </row>
    <row r="616" spans="1:16" ht="19.95" customHeight="1">
      <c r="A616" s="49">
        <v>641</v>
      </c>
      <c r="B616" s="50" t="s">
        <v>351</v>
      </c>
      <c r="C616" s="51" t="s">
        <v>16</v>
      </c>
      <c r="D616" s="51" t="s">
        <v>17</v>
      </c>
      <c r="E616" s="52">
        <v>6063400000</v>
      </c>
      <c r="F616" s="52">
        <v>4092700000</v>
      </c>
      <c r="G616" s="52">
        <v>907800000</v>
      </c>
      <c r="H616" s="52" t="s">
        <v>757</v>
      </c>
      <c r="I616" s="52" t="s">
        <v>757</v>
      </c>
      <c r="J616" s="51" t="s">
        <v>31</v>
      </c>
      <c r="K616" s="51" t="s">
        <v>86</v>
      </c>
      <c r="L616" s="41">
        <f t="shared" si="45"/>
        <v>1970700000</v>
      </c>
      <c r="M616" s="41">
        <f t="shared" si="46"/>
        <v>907800000</v>
      </c>
      <c r="N616" s="41">
        <f t="shared" si="47"/>
        <v>1062900000</v>
      </c>
      <c r="O616" s="41">
        <f t="shared" si="48"/>
        <v>0.85028201998878516</v>
      </c>
      <c r="P616" s="41">
        <f t="shared" si="49"/>
        <v>0.1752976877659399</v>
      </c>
    </row>
    <row r="617" spans="1:16" ht="19.95" customHeight="1">
      <c r="A617" s="49">
        <v>642</v>
      </c>
      <c r="B617" s="50" t="s">
        <v>351</v>
      </c>
      <c r="C617" s="51" t="s">
        <v>18</v>
      </c>
      <c r="D617" s="51" t="s">
        <v>19</v>
      </c>
      <c r="E617" s="52">
        <v>6413800000</v>
      </c>
      <c r="F617" s="52">
        <v>4328300000</v>
      </c>
      <c r="G617" s="52">
        <v>814900000</v>
      </c>
      <c r="H617" s="52" t="s">
        <v>757</v>
      </c>
      <c r="I617" s="52" t="s">
        <v>757</v>
      </c>
      <c r="J617" s="51" t="s">
        <v>31</v>
      </c>
      <c r="K617" s="51" t="s">
        <v>86</v>
      </c>
      <c r="L617" s="41">
        <f t="shared" si="45"/>
        <v>2085500000</v>
      </c>
      <c r="M617" s="41">
        <f t="shared" si="46"/>
        <v>814900000</v>
      </c>
      <c r="N617" s="41">
        <f t="shared" si="47"/>
        <v>1270600000</v>
      </c>
      <c r="O617" s="41">
        <f t="shared" si="48"/>
        <v>0.87294583554211236</v>
      </c>
      <c r="P617" s="41">
        <f t="shared" si="49"/>
        <v>0.19810408806012036</v>
      </c>
    </row>
    <row r="618" spans="1:16" ht="19.95" customHeight="1">
      <c r="A618" s="49">
        <v>643</v>
      </c>
      <c r="B618" s="50" t="s">
        <v>351</v>
      </c>
      <c r="C618" s="51" t="s">
        <v>20</v>
      </c>
      <c r="D618" s="51" t="s">
        <v>21</v>
      </c>
      <c r="E618" s="52">
        <v>6595200000</v>
      </c>
      <c r="F618" s="52">
        <v>4393200000</v>
      </c>
      <c r="G618" s="52">
        <v>1102800000</v>
      </c>
      <c r="H618" s="52" t="s">
        <v>757</v>
      </c>
      <c r="I618" s="52" t="s">
        <v>757</v>
      </c>
      <c r="J618" s="51" t="s">
        <v>31</v>
      </c>
      <c r="K618" s="51" t="s">
        <v>86</v>
      </c>
      <c r="L618" s="41">
        <f t="shared" si="45"/>
        <v>2202000000</v>
      </c>
      <c r="M618" s="41">
        <f t="shared" si="46"/>
        <v>1102800000</v>
      </c>
      <c r="N618" s="41">
        <f t="shared" si="47"/>
        <v>1099200000</v>
      </c>
      <c r="O618" s="41">
        <f t="shared" si="48"/>
        <v>0.83278748180494899</v>
      </c>
      <c r="P618" s="41">
        <f t="shared" si="49"/>
        <v>0.16666666666666666</v>
      </c>
    </row>
    <row r="619" spans="1:16" ht="19.95" customHeight="1">
      <c r="A619" s="49">
        <v>644</v>
      </c>
      <c r="B619" s="50" t="s">
        <v>352</v>
      </c>
      <c r="C619" s="51" t="s">
        <v>11</v>
      </c>
      <c r="D619" s="51" t="s">
        <v>12</v>
      </c>
      <c r="E619" s="52">
        <v>4436000000</v>
      </c>
      <c r="F619" s="52">
        <v>2564000000</v>
      </c>
      <c r="G619" s="52">
        <v>824000000</v>
      </c>
      <c r="H619" s="52" t="s">
        <v>757</v>
      </c>
      <c r="I619" s="52" t="s">
        <v>757</v>
      </c>
      <c r="J619" s="51" t="s">
        <v>31</v>
      </c>
      <c r="K619" s="51" t="s">
        <v>86</v>
      </c>
      <c r="L619" s="41">
        <f t="shared" si="45"/>
        <v>1872000000</v>
      </c>
      <c r="M619" s="41">
        <f t="shared" si="46"/>
        <v>824000000</v>
      </c>
      <c r="N619" s="41">
        <f t="shared" si="47"/>
        <v>1048000000</v>
      </c>
      <c r="O619" s="41">
        <f t="shared" si="48"/>
        <v>0.8142470694319206</v>
      </c>
      <c r="P619" s="41">
        <f t="shared" si="49"/>
        <v>0.23624887285843102</v>
      </c>
    </row>
    <row r="620" spans="1:16" ht="19.95" customHeight="1">
      <c r="A620" s="49">
        <v>645</v>
      </c>
      <c r="B620" s="50" t="s">
        <v>352</v>
      </c>
      <c r="C620" s="51" t="s">
        <v>16</v>
      </c>
      <c r="D620" s="51" t="s">
        <v>17</v>
      </c>
      <c r="E620" s="52">
        <v>4814000000</v>
      </c>
      <c r="F620" s="52">
        <v>2776000000</v>
      </c>
      <c r="G620" s="52">
        <v>977000000</v>
      </c>
      <c r="H620" s="52" t="s">
        <v>757</v>
      </c>
      <c r="I620" s="52" t="s">
        <v>757</v>
      </c>
      <c r="J620" s="51" t="s">
        <v>31</v>
      </c>
      <c r="K620" s="51" t="s">
        <v>86</v>
      </c>
      <c r="L620" s="41">
        <f t="shared" si="45"/>
        <v>2038000000</v>
      </c>
      <c r="M620" s="41">
        <f t="shared" si="46"/>
        <v>977000000</v>
      </c>
      <c r="N620" s="41">
        <f t="shared" si="47"/>
        <v>1061000000</v>
      </c>
      <c r="O620" s="41">
        <f t="shared" si="48"/>
        <v>0.79705027004570006</v>
      </c>
      <c r="P620" s="41">
        <f t="shared" si="49"/>
        <v>0.22039883672621521</v>
      </c>
    </row>
    <row r="621" spans="1:16" ht="19.95" customHeight="1">
      <c r="A621" s="49">
        <v>646</v>
      </c>
      <c r="B621" s="50" t="s">
        <v>352</v>
      </c>
      <c r="C621" s="51" t="s">
        <v>18</v>
      </c>
      <c r="D621" s="51" t="s">
        <v>19</v>
      </c>
      <c r="E621" s="52">
        <v>5066000000</v>
      </c>
      <c r="F621" s="52">
        <v>2881000000</v>
      </c>
      <c r="G621" s="52">
        <v>975000000</v>
      </c>
      <c r="H621" s="52" t="s">
        <v>757</v>
      </c>
      <c r="I621" s="52" t="s">
        <v>757</v>
      </c>
      <c r="J621" s="51" t="s">
        <v>31</v>
      </c>
      <c r="K621" s="51" t="s">
        <v>86</v>
      </c>
      <c r="L621" s="41">
        <f t="shared" si="45"/>
        <v>2185000000</v>
      </c>
      <c r="M621" s="41">
        <f t="shared" si="46"/>
        <v>975000000</v>
      </c>
      <c r="N621" s="41">
        <f t="shared" si="47"/>
        <v>1210000000</v>
      </c>
      <c r="O621" s="41">
        <f t="shared" si="48"/>
        <v>0.80754046585076988</v>
      </c>
      <c r="P621" s="41">
        <f t="shared" si="49"/>
        <v>0.2388472167390446</v>
      </c>
    </row>
    <row r="622" spans="1:16" ht="19.95" customHeight="1">
      <c r="A622" s="49">
        <v>647</v>
      </c>
      <c r="B622" s="50" t="s">
        <v>352</v>
      </c>
      <c r="C622" s="51" t="s">
        <v>20</v>
      </c>
      <c r="D622" s="51" t="s">
        <v>21</v>
      </c>
      <c r="E622" s="52">
        <v>5254000000</v>
      </c>
      <c r="F622" s="52">
        <v>2909000000</v>
      </c>
      <c r="G622" s="52">
        <v>1034000000</v>
      </c>
      <c r="H622" s="52" t="s">
        <v>757</v>
      </c>
      <c r="I622" s="52" t="s">
        <v>757</v>
      </c>
      <c r="J622" s="51" t="s">
        <v>31</v>
      </c>
      <c r="K622" s="51" t="s">
        <v>86</v>
      </c>
      <c r="L622" s="41">
        <f t="shared" si="45"/>
        <v>2345000000</v>
      </c>
      <c r="M622" s="41">
        <f t="shared" si="46"/>
        <v>1034000000</v>
      </c>
      <c r="N622" s="41">
        <f t="shared" si="47"/>
        <v>1311000000</v>
      </c>
      <c r="O622" s="41">
        <f t="shared" si="48"/>
        <v>0.80319756376094409</v>
      </c>
      <c r="P622" s="41">
        <f t="shared" si="49"/>
        <v>0.24952417205938332</v>
      </c>
    </row>
    <row r="623" spans="1:16" ht="19.95" customHeight="1">
      <c r="A623" s="49">
        <v>648</v>
      </c>
      <c r="B623" s="50" t="s">
        <v>353</v>
      </c>
      <c r="C623" s="51" t="s">
        <v>11</v>
      </c>
      <c r="D623" s="51" t="s">
        <v>302</v>
      </c>
      <c r="E623" s="52">
        <v>6182000000</v>
      </c>
      <c r="F623" s="52">
        <v>4148000000</v>
      </c>
      <c r="G623" s="52">
        <v>1294000000</v>
      </c>
      <c r="H623" s="52" t="s">
        <v>757</v>
      </c>
      <c r="I623" s="52">
        <v>118000000</v>
      </c>
      <c r="J623" s="51" t="s">
        <v>24</v>
      </c>
      <c r="K623" s="51" t="s">
        <v>354</v>
      </c>
      <c r="L623" s="41">
        <f t="shared" si="45"/>
        <v>2034000000</v>
      </c>
      <c r="M623" s="41">
        <f t="shared" si="46"/>
        <v>1412000000</v>
      </c>
      <c r="N623" s="41">
        <f t="shared" si="47"/>
        <v>622000000</v>
      </c>
      <c r="O623" s="41">
        <f t="shared" si="48"/>
        <v>0.77159495308961501</v>
      </c>
      <c r="P623" s="41">
        <f t="shared" si="49"/>
        <v>0.10061468780329991</v>
      </c>
    </row>
    <row r="624" spans="1:16" ht="19.95" customHeight="1">
      <c r="A624" s="49">
        <v>649</v>
      </c>
      <c r="B624" s="50" t="s">
        <v>353</v>
      </c>
      <c r="C624" s="51" t="s">
        <v>16</v>
      </c>
      <c r="D624" s="51" t="s">
        <v>157</v>
      </c>
      <c r="E624" s="52">
        <v>6505000000</v>
      </c>
      <c r="F624" s="52">
        <v>4372000000</v>
      </c>
      <c r="G624" s="52">
        <v>1334000000</v>
      </c>
      <c r="H624" s="52" t="s">
        <v>757</v>
      </c>
      <c r="I624" s="52">
        <v>133000000</v>
      </c>
      <c r="J624" s="51" t="s">
        <v>24</v>
      </c>
      <c r="K624" s="51" t="s">
        <v>354</v>
      </c>
      <c r="L624" s="41">
        <f t="shared" si="45"/>
        <v>2133000000</v>
      </c>
      <c r="M624" s="41">
        <f t="shared" si="46"/>
        <v>1467000000</v>
      </c>
      <c r="N624" s="41">
        <f t="shared" si="47"/>
        <v>666000000</v>
      </c>
      <c r="O624" s="41">
        <f t="shared" si="48"/>
        <v>0.77448116833205227</v>
      </c>
      <c r="P624" s="41">
        <f t="shared" si="49"/>
        <v>0.10238278247501921</v>
      </c>
    </row>
    <row r="625" spans="1:16" ht="19.95" customHeight="1">
      <c r="A625" s="49">
        <v>650</v>
      </c>
      <c r="B625" s="50" t="s">
        <v>353</v>
      </c>
      <c r="C625" s="51" t="s">
        <v>18</v>
      </c>
      <c r="D625" s="51" t="s">
        <v>67</v>
      </c>
      <c r="E625" s="52">
        <v>7151000000</v>
      </c>
      <c r="F625" s="52">
        <v>4777000000</v>
      </c>
      <c r="G625" s="52">
        <v>1426000000</v>
      </c>
      <c r="H625" s="52" t="s">
        <v>757</v>
      </c>
      <c r="I625" s="52">
        <v>139000000</v>
      </c>
      <c r="J625" s="51" t="s">
        <v>24</v>
      </c>
      <c r="K625" s="51" t="s">
        <v>354</v>
      </c>
      <c r="L625" s="41">
        <f t="shared" si="45"/>
        <v>2374000000</v>
      </c>
      <c r="M625" s="41">
        <f t="shared" si="46"/>
        <v>1565000000</v>
      </c>
      <c r="N625" s="41">
        <f t="shared" si="47"/>
        <v>809000000</v>
      </c>
      <c r="O625" s="41">
        <f t="shared" si="48"/>
        <v>0.78114948958187669</v>
      </c>
      <c r="P625" s="41">
        <f t="shared" si="49"/>
        <v>0.11313103062508741</v>
      </c>
    </row>
    <row r="626" spans="1:16" ht="19.95" customHeight="1">
      <c r="A626" s="49">
        <v>651</v>
      </c>
      <c r="B626" s="50" t="s">
        <v>353</v>
      </c>
      <c r="C626" s="51" t="s">
        <v>20</v>
      </c>
      <c r="D626" s="51" t="s">
        <v>158</v>
      </c>
      <c r="E626" s="52">
        <v>7412000000</v>
      </c>
      <c r="F626" s="52">
        <v>4907000000</v>
      </c>
      <c r="G626" s="52">
        <v>1415000000</v>
      </c>
      <c r="H626" s="52" t="s">
        <v>757</v>
      </c>
      <c r="I626" s="52">
        <v>148000000</v>
      </c>
      <c r="J626" s="51" t="s">
        <v>24</v>
      </c>
      <c r="K626" s="51" t="s">
        <v>354</v>
      </c>
      <c r="L626" s="41">
        <f t="shared" si="45"/>
        <v>2505000000</v>
      </c>
      <c r="M626" s="41">
        <f t="shared" si="46"/>
        <v>1563000000</v>
      </c>
      <c r="N626" s="41">
        <f t="shared" si="47"/>
        <v>942000000</v>
      </c>
      <c r="O626" s="41">
        <f t="shared" si="48"/>
        <v>0.78912574203993524</v>
      </c>
      <c r="P626" s="41">
        <f t="shared" si="49"/>
        <v>0.1270912034538586</v>
      </c>
    </row>
    <row r="627" spans="1:16" ht="19.95" customHeight="1">
      <c r="A627" s="49">
        <v>652</v>
      </c>
      <c r="B627" s="50" t="s">
        <v>355</v>
      </c>
      <c r="C627" s="51" t="s">
        <v>11</v>
      </c>
      <c r="D627" s="51" t="s">
        <v>12</v>
      </c>
      <c r="E627" s="52">
        <v>1405358000</v>
      </c>
      <c r="F627" s="52">
        <v>670174000</v>
      </c>
      <c r="G627" s="52">
        <v>292500000</v>
      </c>
      <c r="H627" s="52">
        <v>137354000</v>
      </c>
      <c r="I627" s="52" t="s">
        <v>757</v>
      </c>
      <c r="J627" s="51" t="s">
        <v>31</v>
      </c>
      <c r="K627" s="51" t="s">
        <v>356</v>
      </c>
      <c r="L627" s="41">
        <f t="shared" si="45"/>
        <v>735184000</v>
      </c>
      <c r="M627" s="41">
        <f t="shared" si="46"/>
        <v>429854000</v>
      </c>
      <c r="N627" s="41">
        <f t="shared" si="47"/>
        <v>305330000</v>
      </c>
      <c r="O627" s="41">
        <f t="shared" si="48"/>
        <v>0.69413202899190107</v>
      </c>
      <c r="P627" s="41">
        <f t="shared" si="49"/>
        <v>0.2172613668545666</v>
      </c>
    </row>
    <row r="628" spans="1:16" ht="19.95" customHeight="1">
      <c r="A628" s="49">
        <v>653</v>
      </c>
      <c r="B628" s="50" t="s">
        <v>355</v>
      </c>
      <c r="C628" s="51" t="s">
        <v>16</v>
      </c>
      <c r="D628" s="51" t="s">
        <v>17</v>
      </c>
      <c r="E628" s="52">
        <v>1496372000</v>
      </c>
      <c r="F628" s="52">
        <v>759362000</v>
      </c>
      <c r="G628" s="52">
        <v>322739000</v>
      </c>
      <c r="H628" s="52">
        <v>147696000</v>
      </c>
      <c r="I628" s="52" t="s">
        <v>757</v>
      </c>
      <c r="J628" s="51" t="s">
        <v>31</v>
      </c>
      <c r="K628" s="51" t="s">
        <v>356</v>
      </c>
      <c r="L628" s="41">
        <f t="shared" si="45"/>
        <v>737010000</v>
      </c>
      <c r="M628" s="41">
        <f t="shared" si="46"/>
        <v>470435000</v>
      </c>
      <c r="N628" s="41">
        <f t="shared" si="47"/>
        <v>266575000</v>
      </c>
      <c r="O628" s="41">
        <f t="shared" si="48"/>
        <v>0.68561627723587448</v>
      </c>
      <c r="P628" s="41">
        <f t="shared" si="49"/>
        <v>0.1781475461984052</v>
      </c>
    </row>
    <row r="629" spans="1:16" ht="19.95" customHeight="1">
      <c r="A629" s="49">
        <v>654</v>
      </c>
      <c r="B629" s="50" t="s">
        <v>355</v>
      </c>
      <c r="C629" s="51" t="s">
        <v>18</v>
      </c>
      <c r="D629" s="51" t="s">
        <v>19</v>
      </c>
      <c r="E629" s="52">
        <v>1530654000</v>
      </c>
      <c r="F629" s="52">
        <v>780281000</v>
      </c>
      <c r="G629" s="52">
        <v>331995000</v>
      </c>
      <c r="H629" s="52">
        <v>142751000</v>
      </c>
      <c r="I629" s="52" t="s">
        <v>757</v>
      </c>
      <c r="J629" s="51" t="s">
        <v>31</v>
      </c>
      <c r="K629" s="51" t="s">
        <v>356</v>
      </c>
      <c r="L629" s="41">
        <f t="shared" si="45"/>
        <v>750373000</v>
      </c>
      <c r="M629" s="41">
        <f t="shared" si="46"/>
        <v>474746000</v>
      </c>
      <c r="N629" s="41">
        <f t="shared" si="47"/>
        <v>275627000</v>
      </c>
      <c r="O629" s="41">
        <f t="shared" si="48"/>
        <v>0.68984107446882181</v>
      </c>
      <c r="P629" s="41">
        <f t="shared" si="49"/>
        <v>0.18007139431902963</v>
      </c>
    </row>
    <row r="630" spans="1:16" ht="19.95" customHeight="1">
      <c r="A630" s="49">
        <v>655</v>
      </c>
      <c r="B630" s="50" t="s">
        <v>355</v>
      </c>
      <c r="C630" s="51" t="s">
        <v>20</v>
      </c>
      <c r="D630" s="51" t="s">
        <v>21</v>
      </c>
      <c r="E630" s="52">
        <v>1557067000</v>
      </c>
      <c r="F630" s="52">
        <v>803506000</v>
      </c>
      <c r="G630" s="52">
        <v>313544000</v>
      </c>
      <c r="H630" s="52">
        <v>132892000</v>
      </c>
      <c r="I630" s="52" t="s">
        <v>757</v>
      </c>
      <c r="J630" s="51" t="s">
        <v>31</v>
      </c>
      <c r="K630" s="51" t="s">
        <v>356</v>
      </c>
      <c r="L630" s="41">
        <f t="shared" si="45"/>
        <v>753561000</v>
      </c>
      <c r="M630" s="41">
        <f t="shared" si="46"/>
        <v>446436000</v>
      </c>
      <c r="N630" s="41">
        <f t="shared" si="47"/>
        <v>307125000</v>
      </c>
      <c r="O630" s="41">
        <f t="shared" si="48"/>
        <v>0.71328401411114617</v>
      </c>
      <c r="P630" s="41">
        <f t="shared" si="49"/>
        <v>0.19724584748119381</v>
      </c>
    </row>
    <row r="631" spans="1:16" ht="19.95" customHeight="1">
      <c r="A631" s="49">
        <v>656</v>
      </c>
      <c r="B631" s="50" t="s">
        <v>357</v>
      </c>
      <c r="C631" s="51" t="s">
        <v>11</v>
      </c>
      <c r="D631" s="51" t="s">
        <v>17</v>
      </c>
      <c r="E631" s="52">
        <v>27351573000</v>
      </c>
      <c r="F631" s="52">
        <v>25986382000</v>
      </c>
      <c r="G631" s="52">
        <v>175148000</v>
      </c>
      <c r="H631" s="52" t="s">
        <v>757</v>
      </c>
      <c r="I631" s="52" t="s">
        <v>757</v>
      </c>
      <c r="J631" s="51" t="s">
        <v>14</v>
      </c>
      <c r="K631" s="51" t="s">
        <v>358</v>
      </c>
      <c r="L631" s="41">
        <f t="shared" si="45"/>
        <v>1365191000</v>
      </c>
      <c r="M631" s="41">
        <f t="shared" si="46"/>
        <v>175148000</v>
      </c>
      <c r="N631" s="41">
        <f t="shared" si="47"/>
        <v>1190043000</v>
      </c>
      <c r="O631" s="41">
        <f t="shared" si="48"/>
        <v>0.99359641948198008</v>
      </c>
      <c r="P631" s="41">
        <f t="shared" si="49"/>
        <v>4.3509124685443136E-2</v>
      </c>
    </row>
    <row r="632" spans="1:16" ht="19.95" customHeight="1">
      <c r="A632" s="49">
        <v>657</v>
      </c>
      <c r="B632" s="50" t="s">
        <v>357</v>
      </c>
      <c r="C632" s="51" t="s">
        <v>16</v>
      </c>
      <c r="D632" s="51" t="s">
        <v>19</v>
      </c>
      <c r="E632" s="52">
        <v>21531577000</v>
      </c>
      <c r="F632" s="52">
        <v>20132544000</v>
      </c>
      <c r="G632" s="52">
        <v>182711000</v>
      </c>
      <c r="H632" s="52" t="s">
        <v>757</v>
      </c>
      <c r="I632" s="52" t="s">
        <v>757</v>
      </c>
      <c r="J632" s="51" t="s">
        <v>14</v>
      </c>
      <c r="K632" s="51" t="s">
        <v>358</v>
      </c>
      <c r="L632" s="41">
        <f t="shared" si="45"/>
        <v>1399033000</v>
      </c>
      <c r="M632" s="41">
        <f t="shared" si="46"/>
        <v>182711000</v>
      </c>
      <c r="N632" s="41">
        <f t="shared" si="47"/>
        <v>1216322000</v>
      </c>
      <c r="O632" s="41">
        <f t="shared" si="48"/>
        <v>0.99151427691524874</v>
      </c>
      <c r="P632" s="41">
        <f t="shared" si="49"/>
        <v>5.649014932812399E-2</v>
      </c>
    </row>
    <row r="633" spans="1:16" ht="19.95" customHeight="1">
      <c r="A633" s="49">
        <v>658</v>
      </c>
      <c r="B633" s="50" t="s">
        <v>357</v>
      </c>
      <c r="C633" s="51" t="s">
        <v>18</v>
      </c>
      <c r="D633" s="51" t="s">
        <v>21</v>
      </c>
      <c r="E633" s="52">
        <v>18114048000</v>
      </c>
      <c r="F633" s="52">
        <v>17019352000</v>
      </c>
      <c r="G633" s="52">
        <v>408225000</v>
      </c>
      <c r="H633" s="52" t="s">
        <v>757</v>
      </c>
      <c r="I633" s="52" t="s">
        <v>757</v>
      </c>
      <c r="J633" s="51" t="s">
        <v>14</v>
      </c>
      <c r="K633" s="51" t="s">
        <v>358</v>
      </c>
      <c r="L633" s="41">
        <f t="shared" si="45"/>
        <v>1094696000</v>
      </c>
      <c r="M633" s="41">
        <f t="shared" si="46"/>
        <v>408225000</v>
      </c>
      <c r="N633" s="41">
        <f t="shared" si="47"/>
        <v>686471000</v>
      </c>
      <c r="O633" s="41">
        <f t="shared" si="48"/>
        <v>0.97746362381285512</v>
      </c>
      <c r="P633" s="41">
        <f t="shared" si="49"/>
        <v>3.7897161363379409E-2</v>
      </c>
    </row>
    <row r="634" spans="1:16" ht="19.95" customHeight="1">
      <c r="A634" s="49">
        <v>659</v>
      </c>
      <c r="B634" s="50" t="s">
        <v>357</v>
      </c>
      <c r="C634" s="51" t="s">
        <v>20</v>
      </c>
      <c r="D634" s="51" t="s">
        <v>84</v>
      </c>
      <c r="E634" s="52">
        <v>19036525000</v>
      </c>
      <c r="F634" s="52">
        <v>18246209000</v>
      </c>
      <c r="G634" s="52">
        <v>191073000</v>
      </c>
      <c r="H634" s="52" t="s">
        <v>757</v>
      </c>
      <c r="I634" s="52" t="s">
        <v>757</v>
      </c>
      <c r="J634" s="51" t="s">
        <v>14</v>
      </c>
      <c r="K634" s="51" t="s">
        <v>358</v>
      </c>
      <c r="L634" s="41">
        <f t="shared" si="45"/>
        <v>790316000</v>
      </c>
      <c r="M634" s="41">
        <f t="shared" si="46"/>
        <v>191073000</v>
      </c>
      <c r="N634" s="41">
        <f t="shared" si="47"/>
        <v>599243000</v>
      </c>
      <c r="O634" s="41">
        <f t="shared" si="48"/>
        <v>0.98996282147083037</v>
      </c>
      <c r="P634" s="41">
        <f t="shared" si="49"/>
        <v>3.1478591812318685E-2</v>
      </c>
    </row>
    <row r="635" spans="1:16" ht="19.95" customHeight="1">
      <c r="A635" s="49">
        <v>660</v>
      </c>
      <c r="B635" s="50" t="s">
        <v>359</v>
      </c>
      <c r="C635" s="51" t="s">
        <v>11</v>
      </c>
      <c r="D635" s="51" t="s">
        <v>17</v>
      </c>
      <c r="E635" s="52">
        <v>4954619000</v>
      </c>
      <c r="F635" s="52">
        <v>3266524000</v>
      </c>
      <c r="G635" s="52">
        <v>966829000</v>
      </c>
      <c r="H635" s="52" t="s">
        <v>757</v>
      </c>
      <c r="I635" s="52" t="s">
        <v>757</v>
      </c>
      <c r="J635" s="51" t="s">
        <v>14</v>
      </c>
      <c r="K635" s="51" t="s">
        <v>217</v>
      </c>
      <c r="L635" s="41">
        <f t="shared" si="45"/>
        <v>1688095000</v>
      </c>
      <c r="M635" s="41">
        <f t="shared" si="46"/>
        <v>966829000</v>
      </c>
      <c r="N635" s="41">
        <f t="shared" si="47"/>
        <v>721266000</v>
      </c>
      <c r="O635" s="41">
        <f t="shared" si="48"/>
        <v>0.80486309845418991</v>
      </c>
      <c r="P635" s="41">
        <f t="shared" si="49"/>
        <v>0.14557446294054094</v>
      </c>
    </row>
    <row r="636" spans="1:16" ht="19.95" customHeight="1">
      <c r="A636" s="49">
        <v>661</v>
      </c>
      <c r="B636" s="50" t="s">
        <v>359</v>
      </c>
      <c r="C636" s="51" t="s">
        <v>16</v>
      </c>
      <c r="D636" s="51" t="s">
        <v>19</v>
      </c>
      <c r="E636" s="52">
        <v>4877885000</v>
      </c>
      <c r="F636" s="52">
        <v>3163268000</v>
      </c>
      <c r="G636" s="52">
        <v>936900000</v>
      </c>
      <c r="H636" s="52" t="s">
        <v>757</v>
      </c>
      <c r="I636" s="52" t="s">
        <v>757</v>
      </c>
      <c r="J636" s="51" t="s">
        <v>14</v>
      </c>
      <c r="K636" s="51" t="s">
        <v>217</v>
      </c>
      <c r="L636" s="41">
        <f t="shared" si="45"/>
        <v>1714617000</v>
      </c>
      <c r="M636" s="41">
        <f t="shared" si="46"/>
        <v>936900000</v>
      </c>
      <c r="N636" s="41">
        <f t="shared" si="47"/>
        <v>777717000</v>
      </c>
      <c r="O636" s="41">
        <f t="shared" si="48"/>
        <v>0.8079290512178946</v>
      </c>
      <c r="P636" s="41">
        <f t="shared" si="49"/>
        <v>0.15943733810862701</v>
      </c>
    </row>
    <row r="637" spans="1:16" ht="19.95" customHeight="1">
      <c r="A637" s="49">
        <v>662</v>
      </c>
      <c r="B637" s="50" t="s">
        <v>359</v>
      </c>
      <c r="C637" s="51" t="s">
        <v>18</v>
      </c>
      <c r="D637" s="51" t="s">
        <v>21</v>
      </c>
      <c r="E637" s="52">
        <v>4561030000</v>
      </c>
      <c r="F637" s="52">
        <v>3073712000</v>
      </c>
      <c r="G637" s="52">
        <v>971611000</v>
      </c>
      <c r="H637" s="52" t="s">
        <v>757</v>
      </c>
      <c r="I637" s="52" t="s">
        <v>757</v>
      </c>
      <c r="J637" s="51" t="s">
        <v>14</v>
      </c>
      <c r="K637" s="51" t="s">
        <v>217</v>
      </c>
      <c r="L637" s="41">
        <f t="shared" si="45"/>
        <v>1487318000</v>
      </c>
      <c r="M637" s="41">
        <f t="shared" si="46"/>
        <v>971611000</v>
      </c>
      <c r="N637" s="41">
        <f t="shared" si="47"/>
        <v>515707000</v>
      </c>
      <c r="O637" s="41">
        <f t="shared" si="48"/>
        <v>0.78697552965010098</v>
      </c>
      <c r="P637" s="41">
        <f t="shared" si="49"/>
        <v>0.11306810084564232</v>
      </c>
    </row>
    <row r="638" spans="1:16" ht="19.95" customHeight="1">
      <c r="A638" s="49">
        <v>663</v>
      </c>
      <c r="B638" s="50" t="s">
        <v>359</v>
      </c>
      <c r="C638" s="51" t="s">
        <v>20</v>
      </c>
      <c r="D638" s="51" t="s">
        <v>84</v>
      </c>
      <c r="E638" s="52">
        <v>3991462000</v>
      </c>
      <c r="F638" s="52">
        <v>2759908000</v>
      </c>
      <c r="G638" s="52">
        <v>965322000</v>
      </c>
      <c r="H638" s="52" t="s">
        <v>757</v>
      </c>
      <c r="I638" s="52" t="s">
        <v>757</v>
      </c>
      <c r="J638" s="51" t="s">
        <v>14</v>
      </c>
      <c r="K638" s="51" t="s">
        <v>217</v>
      </c>
      <c r="L638" s="41">
        <f t="shared" si="45"/>
        <v>1231554000</v>
      </c>
      <c r="M638" s="41">
        <f t="shared" si="46"/>
        <v>965322000</v>
      </c>
      <c r="N638" s="41">
        <f t="shared" si="47"/>
        <v>266232000</v>
      </c>
      <c r="O638" s="41">
        <f t="shared" si="48"/>
        <v>0.75815327817225864</v>
      </c>
      <c r="P638" s="41">
        <f t="shared" si="49"/>
        <v>6.6700371943914288E-2</v>
      </c>
    </row>
    <row r="639" spans="1:16" ht="19.95" customHeight="1">
      <c r="A639" s="49">
        <v>664</v>
      </c>
      <c r="B639" s="50" t="s">
        <v>360</v>
      </c>
      <c r="C639" s="51" t="s">
        <v>11</v>
      </c>
      <c r="D639" s="51" t="s">
        <v>12</v>
      </c>
      <c r="E639" s="52">
        <v>3409900000</v>
      </c>
      <c r="F639" s="52">
        <v>2141600000</v>
      </c>
      <c r="G639" s="52">
        <v>489700000</v>
      </c>
      <c r="H639" s="52">
        <v>112000000</v>
      </c>
      <c r="I639" s="52" t="s">
        <v>757</v>
      </c>
      <c r="J639" s="51" t="s">
        <v>88</v>
      </c>
      <c r="K639" s="51" t="s">
        <v>279</v>
      </c>
      <c r="L639" s="41">
        <f t="shared" si="45"/>
        <v>1268300000</v>
      </c>
      <c r="M639" s="41">
        <f t="shared" si="46"/>
        <v>601700000</v>
      </c>
      <c r="N639" s="41">
        <f t="shared" si="47"/>
        <v>666600000</v>
      </c>
      <c r="O639" s="41">
        <f t="shared" si="48"/>
        <v>0.82354321241092121</v>
      </c>
      <c r="P639" s="41">
        <f t="shared" si="49"/>
        <v>0.19548960380069796</v>
      </c>
    </row>
    <row r="640" spans="1:16" ht="19.95" customHeight="1">
      <c r="A640" s="49">
        <v>665</v>
      </c>
      <c r="B640" s="50" t="s">
        <v>360</v>
      </c>
      <c r="C640" s="51" t="s">
        <v>16</v>
      </c>
      <c r="D640" s="51" t="s">
        <v>17</v>
      </c>
      <c r="E640" s="52">
        <v>3130700000</v>
      </c>
      <c r="F640" s="52">
        <v>1929800000</v>
      </c>
      <c r="G640" s="52">
        <v>496100000</v>
      </c>
      <c r="H640" s="52">
        <v>115600000</v>
      </c>
      <c r="I640" s="52" t="s">
        <v>757</v>
      </c>
      <c r="J640" s="51" t="s">
        <v>88</v>
      </c>
      <c r="K640" s="51" t="s">
        <v>279</v>
      </c>
      <c r="L640" s="41">
        <f t="shared" si="45"/>
        <v>1200900000</v>
      </c>
      <c r="M640" s="41">
        <f t="shared" si="46"/>
        <v>611700000</v>
      </c>
      <c r="N640" s="41">
        <f t="shared" si="47"/>
        <v>589200000</v>
      </c>
      <c r="O640" s="41">
        <f t="shared" si="48"/>
        <v>0.80461238700610083</v>
      </c>
      <c r="P640" s="41">
        <f t="shared" si="49"/>
        <v>0.18820072188328488</v>
      </c>
    </row>
    <row r="641" spans="1:16" ht="19.95" customHeight="1">
      <c r="A641" s="49">
        <v>666</v>
      </c>
      <c r="B641" s="50" t="s">
        <v>360</v>
      </c>
      <c r="C641" s="51" t="s">
        <v>18</v>
      </c>
      <c r="D641" s="51" t="s">
        <v>19</v>
      </c>
      <c r="E641" s="52">
        <v>3258700000</v>
      </c>
      <c r="F641" s="52">
        <v>2047800000</v>
      </c>
      <c r="G641" s="52">
        <v>589800000</v>
      </c>
      <c r="H641" s="52">
        <v>126300000</v>
      </c>
      <c r="I641" s="52" t="s">
        <v>757</v>
      </c>
      <c r="J641" s="51" t="s">
        <v>88</v>
      </c>
      <c r="K641" s="51" t="s">
        <v>279</v>
      </c>
      <c r="L641" s="41">
        <f t="shared" si="45"/>
        <v>1210900000</v>
      </c>
      <c r="M641" s="41">
        <f t="shared" si="46"/>
        <v>716100000</v>
      </c>
      <c r="N641" s="41">
        <f t="shared" si="47"/>
        <v>494800000</v>
      </c>
      <c r="O641" s="41">
        <f t="shared" si="48"/>
        <v>0.78024979286218432</v>
      </c>
      <c r="P641" s="41">
        <f t="shared" si="49"/>
        <v>0.15183969067419523</v>
      </c>
    </row>
    <row r="642" spans="1:16" ht="19.95" customHeight="1">
      <c r="A642" s="49">
        <v>667</v>
      </c>
      <c r="B642" s="50" t="s">
        <v>360</v>
      </c>
      <c r="C642" s="51" t="s">
        <v>20</v>
      </c>
      <c r="D642" s="51" t="s">
        <v>21</v>
      </c>
      <c r="E642" s="52">
        <v>3276500000</v>
      </c>
      <c r="F642" s="52">
        <v>2201100000</v>
      </c>
      <c r="G642" s="52">
        <v>737900000</v>
      </c>
      <c r="H642" s="52">
        <v>143700000</v>
      </c>
      <c r="I642" s="52" t="s">
        <v>757</v>
      </c>
      <c r="J642" s="51" t="s">
        <v>88</v>
      </c>
      <c r="K642" s="51" t="s">
        <v>279</v>
      </c>
      <c r="L642" s="41">
        <f t="shared" si="45"/>
        <v>1075400000</v>
      </c>
      <c r="M642" s="41">
        <f t="shared" si="46"/>
        <v>881600000</v>
      </c>
      <c r="N642" s="41">
        <f t="shared" si="47"/>
        <v>193800000</v>
      </c>
      <c r="O642" s="41">
        <f t="shared" si="48"/>
        <v>0.73093239737524796</v>
      </c>
      <c r="P642" s="41">
        <f t="shared" si="49"/>
        <v>5.9148481611475658E-2</v>
      </c>
    </row>
    <row r="643" spans="1:16" ht="19.95" customHeight="1">
      <c r="A643" s="49">
        <v>668</v>
      </c>
      <c r="B643" s="50" t="s">
        <v>361</v>
      </c>
      <c r="C643" s="51" t="s">
        <v>11</v>
      </c>
      <c r="D643" s="51" t="s">
        <v>17</v>
      </c>
      <c r="E643" s="52">
        <v>637413000</v>
      </c>
      <c r="F643" s="52">
        <v>190454000</v>
      </c>
      <c r="G643" s="52">
        <v>31970000</v>
      </c>
      <c r="H643" s="52" t="s">
        <v>757</v>
      </c>
      <c r="I643" s="52">
        <v>160828000</v>
      </c>
      <c r="J643" s="51" t="s">
        <v>80</v>
      </c>
      <c r="K643" s="51" t="s">
        <v>362</v>
      </c>
      <c r="L643" s="41">
        <f t="shared" ref="L643:L706" si="50">Total_Revenue-COGS</f>
        <v>446959000</v>
      </c>
      <c r="M643" s="41">
        <f t="shared" ref="M643:M706" si="51">SGAA+RandD+OOI</f>
        <v>192798000</v>
      </c>
      <c r="N643" s="41">
        <f t="shared" ref="N643:N706" si="52">Gross_Profit-Total_Operating_Expenses</f>
        <v>254161000</v>
      </c>
      <c r="O643" s="41">
        <f t="shared" ref="O643:O706" si="53">1-(Total_Operating_Expenses/Total_Revenue)</f>
        <v>0.69753048651345362</v>
      </c>
      <c r="P643" s="41">
        <f t="shared" ref="P643:P706" si="54">Operating_Profit/Total_Revenue</f>
        <v>0.39873833762411498</v>
      </c>
    </row>
    <row r="644" spans="1:16" ht="19.95" customHeight="1">
      <c r="A644" s="49">
        <v>669</v>
      </c>
      <c r="B644" s="50" t="s">
        <v>361</v>
      </c>
      <c r="C644" s="51" t="s">
        <v>16</v>
      </c>
      <c r="D644" s="51" t="s">
        <v>19</v>
      </c>
      <c r="E644" s="52">
        <v>686090000</v>
      </c>
      <c r="F644" s="52">
        <v>211923000</v>
      </c>
      <c r="G644" s="52">
        <v>32316000</v>
      </c>
      <c r="H644" s="52" t="s">
        <v>757</v>
      </c>
      <c r="I644" s="52">
        <v>170814000</v>
      </c>
      <c r="J644" s="51" t="s">
        <v>80</v>
      </c>
      <c r="K644" s="51" t="s">
        <v>362</v>
      </c>
      <c r="L644" s="41">
        <f t="shared" si="50"/>
        <v>474167000</v>
      </c>
      <c r="M644" s="41">
        <f t="shared" si="51"/>
        <v>203130000</v>
      </c>
      <c r="N644" s="41">
        <f t="shared" si="52"/>
        <v>271037000</v>
      </c>
      <c r="O644" s="41">
        <f t="shared" si="53"/>
        <v>0.70393097115538783</v>
      </c>
      <c r="P644" s="41">
        <f t="shared" si="54"/>
        <v>0.39504583946712529</v>
      </c>
    </row>
    <row r="645" spans="1:16" ht="19.95" customHeight="1">
      <c r="A645" s="49">
        <v>670</v>
      </c>
      <c r="B645" s="50" t="s">
        <v>361</v>
      </c>
      <c r="C645" s="51" t="s">
        <v>18</v>
      </c>
      <c r="D645" s="51" t="s">
        <v>21</v>
      </c>
      <c r="E645" s="52">
        <v>744012000</v>
      </c>
      <c r="F645" s="52">
        <v>233417000</v>
      </c>
      <c r="G645" s="52">
        <v>35645000</v>
      </c>
      <c r="H645" s="52" t="s">
        <v>757</v>
      </c>
      <c r="I645" s="52">
        <v>174796000</v>
      </c>
      <c r="J645" s="51" t="s">
        <v>80</v>
      </c>
      <c r="K645" s="51" t="s">
        <v>362</v>
      </c>
      <c r="L645" s="41">
        <f t="shared" si="50"/>
        <v>510595000</v>
      </c>
      <c r="M645" s="41">
        <f t="shared" si="51"/>
        <v>210441000</v>
      </c>
      <c r="N645" s="41">
        <f t="shared" si="52"/>
        <v>300154000</v>
      </c>
      <c r="O645" s="41">
        <f t="shared" si="53"/>
        <v>0.71715375558458727</v>
      </c>
      <c r="P645" s="41">
        <f t="shared" si="54"/>
        <v>0.40342628882329856</v>
      </c>
    </row>
    <row r="646" spans="1:16" ht="19.95" customHeight="1">
      <c r="A646" s="49">
        <v>671</v>
      </c>
      <c r="B646" s="50" t="s">
        <v>361</v>
      </c>
      <c r="C646" s="51" t="s">
        <v>20</v>
      </c>
      <c r="D646" s="51" t="s">
        <v>84</v>
      </c>
      <c r="E646" s="52">
        <v>801591000</v>
      </c>
      <c r="F646" s="52">
        <v>253612000</v>
      </c>
      <c r="G646" s="52">
        <v>33399000</v>
      </c>
      <c r="H646" s="52" t="s">
        <v>757</v>
      </c>
      <c r="I646" s="52">
        <v>193585000</v>
      </c>
      <c r="J646" s="51" t="s">
        <v>80</v>
      </c>
      <c r="K646" s="51" t="s">
        <v>362</v>
      </c>
      <c r="L646" s="41">
        <f t="shared" si="50"/>
        <v>547979000</v>
      </c>
      <c r="M646" s="41">
        <f t="shared" si="51"/>
        <v>226984000</v>
      </c>
      <c r="N646" s="41">
        <f t="shared" si="52"/>
        <v>320995000</v>
      </c>
      <c r="O646" s="41">
        <f t="shared" si="53"/>
        <v>0.71683314807676235</v>
      </c>
      <c r="P646" s="41">
        <f t="shared" si="54"/>
        <v>0.40044736031217915</v>
      </c>
    </row>
    <row r="647" spans="1:16" ht="19.95" customHeight="1">
      <c r="A647" s="49">
        <v>672</v>
      </c>
      <c r="B647" s="50" t="s">
        <v>363</v>
      </c>
      <c r="C647" s="51" t="s">
        <v>11</v>
      </c>
      <c r="D647" s="51" t="s">
        <v>12</v>
      </c>
      <c r="E647" s="52">
        <v>3368545000</v>
      </c>
      <c r="F647" s="52">
        <v>2515796000</v>
      </c>
      <c r="G647" s="52">
        <v>280928000</v>
      </c>
      <c r="H647" s="52">
        <v>132460000</v>
      </c>
      <c r="I647" s="52" t="s">
        <v>757</v>
      </c>
      <c r="J647" s="51" t="s">
        <v>31</v>
      </c>
      <c r="K647" s="51" t="s">
        <v>55</v>
      </c>
      <c r="L647" s="41">
        <f t="shared" si="50"/>
        <v>852749000</v>
      </c>
      <c r="M647" s="41">
        <f t="shared" si="51"/>
        <v>413388000</v>
      </c>
      <c r="N647" s="41">
        <f t="shared" si="52"/>
        <v>439361000</v>
      </c>
      <c r="O647" s="41">
        <f t="shared" si="53"/>
        <v>0.87727995321422159</v>
      </c>
      <c r="P647" s="41">
        <f t="shared" si="54"/>
        <v>0.13043049744028951</v>
      </c>
    </row>
    <row r="648" spans="1:16" ht="19.95" customHeight="1">
      <c r="A648" s="49">
        <v>673</v>
      </c>
      <c r="B648" s="50" t="s">
        <v>363</v>
      </c>
      <c r="C648" s="51" t="s">
        <v>16</v>
      </c>
      <c r="D648" s="51" t="s">
        <v>17</v>
      </c>
      <c r="E648" s="52">
        <v>3309616000</v>
      </c>
      <c r="F648" s="52">
        <v>2444984000</v>
      </c>
      <c r="G648" s="52">
        <v>270261000</v>
      </c>
      <c r="H648" s="52">
        <v>134300000</v>
      </c>
      <c r="I648" s="52" t="s">
        <v>757</v>
      </c>
      <c r="J648" s="51" t="s">
        <v>31</v>
      </c>
      <c r="K648" s="51" t="s">
        <v>55</v>
      </c>
      <c r="L648" s="41">
        <f t="shared" si="50"/>
        <v>864632000</v>
      </c>
      <c r="M648" s="41">
        <f t="shared" si="51"/>
        <v>404561000</v>
      </c>
      <c r="N648" s="41">
        <f t="shared" si="52"/>
        <v>460071000</v>
      </c>
      <c r="O648" s="41">
        <f t="shared" si="53"/>
        <v>0.87776195183973005</v>
      </c>
      <c r="P648" s="41">
        <f t="shared" si="54"/>
        <v>0.13901038670347254</v>
      </c>
    </row>
    <row r="649" spans="1:16" ht="19.95" customHeight="1">
      <c r="A649" s="49">
        <v>674</v>
      </c>
      <c r="B649" s="50" t="s">
        <v>363</v>
      </c>
      <c r="C649" s="51" t="s">
        <v>18</v>
      </c>
      <c r="D649" s="51" t="s">
        <v>19</v>
      </c>
      <c r="E649" s="52">
        <v>3391187000</v>
      </c>
      <c r="F649" s="52">
        <v>2566246000</v>
      </c>
      <c r="G649" s="52">
        <v>253827000</v>
      </c>
      <c r="H649" s="52">
        <v>143969000</v>
      </c>
      <c r="I649" s="52" t="s">
        <v>757</v>
      </c>
      <c r="J649" s="51" t="s">
        <v>31</v>
      </c>
      <c r="K649" s="51" t="s">
        <v>55</v>
      </c>
      <c r="L649" s="41">
        <f t="shared" si="50"/>
        <v>824941000</v>
      </c>
      <c r="M649" s="41">
        <f t="shared" si="51"/>
        <v>397796000</v>
      </c>
      <c r="N649" s="41">
        <f t="shared" si="52"/>
        <v>427145000</v>
      </c>
      <c r="O649" s="41">
        <f t="shared" si="53"/>
        <v>0.8826971205067724</v>
      </c>
      <c r="P649" s="41">
        <f t="shared" si="54"/>
        <v>0.12595737126852632</v>
      </c>
    </row>
    <row r="650" spans="1:16" ht="19.95" customHeight="1">
      <c r="A650" s="49">
        <v>675</v>
      </c>
      <c r="B650" s="50" t="s">
        <v>363</v>
      </c>
      <c r="C650" s="51" t="s">
        <v>20</v>
      </c>
      <c r="D650" s="51" t="s">
        <v>21</v>
      </c>
      <c r="E650" s="52">
        <v>3578995000</v>
      </c>
      <c r="F650" s="52">
        <v>2659728000</v>
      </c>
      <c r="G650" s="52">
        <v>255192000</v>
      </c>
      <c r="H650" s="52">
        <v>130593000</v>
      </c>
      <c r="I650" s="52" t="s">
        <v>757</v>
      </c>
      <c r="J650" s="51" t="s">
        <v>31</v>
      </c>
      <c r="K650" s="51" t="s">
        <v>55</v>
      </c>
      <c r="L650" s="41">
        <f t="shared" si="50"/>
        <v>919267000</v>
      </c>
      <c r="M650" s="41">
        <f t="shared" si="51"/>
        <v>385785000</v>
      </c>
      <c r="N650" s="41">
        <f t="shared" si="52"/>
        <v>533482000</v>
      </c>
      <c r="O650" s="41">
        <f t="shared" si="53"/>
        <v>0.89220856693010187</v>
      </c>
      <c r="P650" s="41">
        <f t="shared" si="54"/>
        <v>0.1490591632567243</v>
      </c>
    </row>
    <row r="651" spans="1:16" ht="19.95" customHeight="1">
      <c r="A651" s="49">
        <v>676</v>
      </c>
      <c r="B651" s="50" t="s">
        <v>364</v>
      </c>
      <c r="C651" s="51" t="s">
        <v>11</v>
      </c>
      <c r="D651" s="51" t="s">
        <v>12</v>
      </c>
      <c r="E651" s="52">
        <v>5011853000</v>
      </c>
      <c r="F651" s="52" t="s">
        <v>757</v>
      </c>
      <c r="G651" s="52">
        <v>2676141000</v>
      </c>
      <c r="H651" s="52" t="s">
        <v>757</v>
      </c>
      <c r="I651" s="52">
        <v>1266807000</v>
      </c>
      <c r="J651" s="51" t="s">
        <v>268</v>
      </c>
      <c r="K651" s="51" t="s">
        <v>269</v>
      </c>
      <c r="L651" s="41">
        <f t="shared" si="50"/>
        <v>5011853000</v>
      </c>
      <c r="M651" s="41">
        <f t="shared" si="51"/>
        <v>3942948000</v>
      </c>
      <c r="N651" s="41">
        <f t="shared" si="52"/>
        <v>1068905000</v>
      </c>
      <c r="O651" s="41">
        <f t="shared" si="53"/>
        <v>0.21327540931467859</v>
      </c>
      <c r="P651" s="41">
        <f t="shared" si="54"/>
        <v>0.21327540931467862</v>
      </c>
    </row>
    <row r="652" spans="1:16" ht="19.95" customHeight="1">
      <c r="A652" s="49">
        <v>677</v>
      </c>
      <c r="B652" s="50" t="s">
        <v>364</v>
      </c>
      <c r="C652" s="51" t="s">
        <v>16</v>
      </c>
      <c r="D652" s="51" t="s">
        <v>17</v>
      </c>
      <c r="E652" s="52">
        <v>4762000000</v>
      </c>
      <c r="F652" s="52" t="s">
        <v>757</v>
      </c>
      <c r="G652" s="52">
        <v>2616000000</v>
      </c>
      <c r="H652" s="52" t="s">
        <v>757</v>
      </c>
      <c r="I652" s="52">
        <v>1170000000</v>
      </c>
      <c r="J652" s="51" t="s">
        <v>268</v>
      </c>
      <c r="K652" s="51" t="s">
        <v>269</v>
      </c>
      <c r="L652" s="41">
        <f t="shared" si="50"/>
        <v>4762000000</v>
      </c>
      <c r="M652" s="41">
        <f t="shared" si="51"/>
        <v>3786000000</v>
      </c>
      <c r="N652" s="41">
        <f t="shared" si="52"/>
        <v>976000000</v>
      </c>
      <c r="O652" s="41">
        <f t="shared" si="53"/>
        <v>0.20495590088198234</v>
      </c>
      <c r="P652" s="41">
        <f t="shared" si="54"/>
        <v>0.20495590088198237</v>
      </c>
    </row>
    <row r="653" spans="1:16" ht="19.95" customHeight="1">
      <c r="A653" s="49">
        <v>678</v>
      </c>
      <c r="B653" s="50" t="s">
        <v>364</v>
      </c>
      <c r="C653" s="51" t="s">
        <v>18</v>
      </c>
      <c r="D653" s="51" t="s">
        <v>19</v>
      </c>
      <c r="E653" s="52">
        <v>4772000000</v>
      </c>
      <c r="F653" s="52" t="s">
        <v>757</v>
      </c>
      <c r="G653" s="52">
        <v>2671000000</v>
      </c>
      <c r="H653" s="52" t="s">
        <v>757</v>
      </c>
      <c r="I653" s="52">
        <v>1139000000</v>
      </c>
      <c r="J653" s="51" t="s">
        <v>268</v>
      </c>
      <c r="K653" s="51" t="s">
        <v>269</v>
      </c>
      <c r="L653" s="41">
        <f t="shared" si="50"/>
        <v>4772000000</v>
      </c>
      <c r="M653" s="41">
        <f t="shared" si="51"/>
        <v>3810000000</v>
      </c>
      <c r="N653" s="41">
        <f t="shared" si="52"/>
        <v>962000000</v>
      </c>
      <c r="O653" s="41">
        <f t="shared" si="53"/>
        <v>0.20159262363788766</v>
      </c>
      <c r="P653" s="41">
        <f t="shared" si="54"/>
        <v>0.20159262363788769</v>
      </c>
    </row>
    <row r="654" spans="1:16" ht="19.95" customHeight="1">
      <c r="A654" s="49">
        <v>679</v>
      </c>
      <c r="B654" s="50" t="s">
        <v>364</v>
      </c>
      <c r="C654" s="51" t="s">
        <v>20</v>
      </c>
      <c r="D654" s="51" t="s">
        <v>21</v>
      </c>
      <c r="E654" s="52">
        <v>5576000000</v>
      </c>
      <c r="F654" s="52" t="s">
        <v>757</v>
      </c>
      <c r="G654" s="52">
        <v>3275000000</v>
      </c>
      <c r="H654" s="52" t="s">
        <v>757</v>
      </c>
      <c r="I654" s="52">
        <v>1320000000</v>
      </c>
      <c r="J654" s="51" t="s">
        <v>268</v>
      </c>
      <c r="K654" s="51" t="s">
        <v>269</v>
      </c>
      <c r="L654" s="41">
        <f t="shared" si="50"/>
        <v>5576000000</v>
      </c>
      <c r="M654" s="41">
        <f t="shared" si="51"/>
        <v>4595000000</v>
      </c>
      <c r="N654" s="41">
        <f t="shared" si="52"/>
        <v>981000000</v>
      </c>
      <c r="O654" s="41">
        <f t="shared" si="53"/>
        <v>0.17593256814921088</v>
      </c>
      <c r="P654" s="41">
        <f t="shared" si="54"/>
        <v>0.17593256814921091</v>
      </c>
    </row>
    <row r="655" spans="1:16" ht="19.95" customHeight="1">
      <c r="A655" s="49">
        <v>680</v>
      </c>
      <c r="B655" s="50" t="s">
        <v>365</v>
      </c>
      <c r="C655" s="51" t="s">
        <v>11</v>
      </c>
      <c r="D655" s="51" t="s">
        <v>17</v>
      </c>
      <c r="E655" s="52">
        <v>30930000000</v>
      </c>
      <c r="F655" s="52">
        <v>25202000000</v>
      </c>
      <c r="G655" s="52">
        <v>2039000000</v>
      </c>
      <c r="H655" s="52" t="s">
        <v>757</v>
      </c>
      <c r="I655" s="52" t="s">
        <v>757</v>
      </c>
      <c r="J655" s="51" t="s">
        <v>14</v>
      </c>
      <c r="K655" s="51" t="s">
        <v>124</v>
      </c>
      <c r="L655" s="41">
        <f t="shared" si="50"/>
        <v>5728000000</v>
      </c>
      <c r="M655" s="41">
        <f t="shared" si="51"/>
        <v>2039000000</v>
      </c>
      <c r="N655" s="41">
        <f t="shared" si="52"/>
        <v>3689000000</v>
      </c>
      <c r="O655" s="41">
        <f t="shared" si="53"/>
        <v>0.93407694794697704</v>
      </c>
      <c r="P655" s="41">
        <f t="shared" si="54"/>
        <v>0.11926931781441966</v>
      </c>
    </row>
    <row r="656" spans="1:16" ht="19.95" customHeight="1">
      <c r="A656" s="49">
        <v>681</v>
      </c>
      <c r="B656" s="50" t="s">
        <v>365</v>
      </c>
      <c r="C656" s="51" t="s">
        <v>16</v>
      </c>
      <c r="D656" s="51" t="s">
        <v>19</v>
      </c>
      <c r="E656" s="52">
        <v>30852000000</v>
      </c>
      <c r="F656" s="52">
        <v>24979000000</v>
      </c>
      <c r="G656" s="52">
        <v>1984000000</v>
      </c>
      <c r="H656" s="52" t="s">
        <v>757</v>
      </c>
      <c r="I656" s="52" t="s">
        <v>757</v>
      </c>
      <c r="J656" s="51" t="s">
        <v>14</v>
      </c>
      <c r="K656" s="51" t="s">
        <v>124</v>
      </c>
      <c r="L656" s="41">
        <f t="shared" si="50"/>
        <v>5873000000</v>
      </c>
      <c r="M656" s="41">
        <f t="shared" si="51"/>
        <v>1984000000</v>
      </c>
      <c r="N656" s="41">
        <f t="shared" si="52"/>
        <v>3889000000</v>
      </c>
      <c r="O656" s="41">
        <f t="shared" si="53"/>
        <v>0.93569298586801508</v>
      </c>
      <c r="P656" s="41">
        <f t="shared" si="54"/>
        <v>0.12605341631012576</v>
      </c>
    </row>
    <row r="657" spans="1:16" ht="19.95" customHeight="1">
      <c r="A657" s="49">
        <v>682</v>
      </c>
      <c r="B657" s="50" t="s">
        <v>365</v>
      </c>
      <c r="C657" s="51" t="s">
        <v>18</v>
      </c>
      <c r="D657" s="51" t="s">
        <v>21</v>
      </c>
      <c r="E657" s="52">
        <v>31469000000</v>
      </c>
      <c r="F657" s="52">
        <v>25339000000</v>
      </c>
      <c r="G657" s="52">
        <v>1952000000</v>
      </c>
      <c r="H657" s="52" t="s">
        <v>757</v>
      </c>
      <c r="I657" s="52" t="s">
        <v>757</v>
      </c>
      <c r="J657" s="51" t="s">
        <v>14</v>
      </c>
      <c r="K657" s="51" t="s">
        <v>124</v>
      </c>
      <c r="L657" s="41">
        <f t="shared" si="50"/>
        <v>6130000000</v>
      </c>
      <c r="M657" s="41">
        <f t="shared" si="51"/>
        <v>1952000000</v>
      </c>
      <c r="N657" s="41">
        <f t="shared" si="52"/>
        <v>4178000000</v>
      </c>
      <c r="O657" s="41">
        <f t="shared" si="53"/>
        <v>0.93797070132511362</v>
      </c>
      <c r="P657" s="41">
        <f t="shared" si="54"/>
        <v>0.13276557882360418</v>
      </c>
    </row>
    <row r="658" spans="1:16" ht="19.95" customHeight="1">
      <c r="A658" s="49">
        <v>683</v>
      </c>
      <c r="B658" s="50" t="s">
        <v>365</v>
      </c>
      <c r="C658" s="51" t="s">
        <v>20</v>
      </c>
      <c r="D658" s="51" t="s">
        <v>84</v>
      </c>
      <c r="E658" s="52">
        <v>31353000000</v>
      </c>
      <c r="F658" s="52">
        <v>25104000000</v>
      </c>
      <c r="G658" s="52">
        <v>1940000000</v>
      </c>
      <c r="H658" s="52" t="s">
        <v>757</v>
      </c>
      <c r="I658" s="52" t="s">
        <v>757</v>
      </c>
      <c r="J658" s="51" t="s">
        <v>14</v>
      </c>
      <c r="K658" s="51" t="s">
        <v>124</v>
      </c>
      <c r="L658" s="41">
        <f t="shared" si="50"/>
        <v>6249000000</v>
      </c>
      <c r="M658" s="41">
        <f t="shared" si="51"/>
        <v>1940000000</v>
      </c>
      <c r="N658" s="41">
        <f t="shared" si="52"/>
        <v>4309000000</v>
      </c>
      <c r="O658" s="41">
        <f t="shared" si="53"/>
        <v>0.93812394348228234</v>
      </c>
      <c r="P658" s="41">
        <f t="shared" si="54"/>
        <v>0.13743501419321916</v>
      </c>
    </row>
    <row r="659" spans="1:16" ht="19.95" customHeight="1">
      <c r="A659" s="49">
        <v>684</v>
      </c>
      <c r="B659" s="50" t="s">
        <v>366</v>
      </c>
      <c r="C659" s="51" t="s">
        <v>11</v>
      </c>
      <c r="D659" s="51" t="s">
        <v>12</v>
      </c>
      <c r="E659" s="52">
        <v>2426301000</v>
      </c>
      <c r="F659" s="52">
        <v>800336000</v>
      </c>
      <c r="G659" s="52">
        <v>72163000</v>
      </c>
      <c r="H659" s="52" t="s">
        <v>757</v>
      </c>
      <c r="I659" s="52">
        <v>768820000</v>
      </c>
      <c r="J659" s="51" t="s">
        <v>80</v>
      </c>
      <c r="K659" s="51" t="s">
        <v>362</v>
      </c>
      <c r="L659" s="41">
        <f t="shared" si="50"/>
        <v>1625965000</v>
      </c>
      <c r="M659" s="41">
        <f t="shared" si="51"/>
        <v>840983000</v>
      </c>
      <c r="N659" s="41">
        <f t="shared" si="52"/>
        <v>784982000</v>
      </c>
      <c r="O659" s="41">
        <f t="shared" si="53"/>
        <v>0.65338884169771183</v>
      </c>
      <c r="P659" s="41">
        <f t="shared" si="54"/>
        <v>0.32353034516327528</v>
      </c>
    </row>
    <row r="660" spans="1:16" ht="19.95" customHeight="1">
      <c r="A660" s="49">
        <v>685</v>
      </c>
      <c r="B660" s="50" t="s">
        <v>366</v>
      </c>
      <c r="C660" s="51" t="s">
        <v>16</v>
      </c>
      <c r="D660" s="51" t="s">
        <v>17</v>
      </c>
      <c r="E660" s="52">
        <v>2486017000</v>
      </c>
      <c r="F660" s="52">
        <v>815095000</v>
      </c>
      <c r="G660" s="52">
        <v>76864000</v>
      </c>
      <c r="H660" s="52" t="s">
        <v>757</v>
      </c>
      <c r="I660" s="52">
        <v>749722000</v>
      </c>
      <c r="J660" s="51" t="s">
        <v>80</v>
      </c>
      <c r="K660" s="51" t="s">
        <v>362</v>
      </c>
      <c r="L660" s="41">
        <f t="shared" si="50"/>
        <v>1670922000</v>
      </c>
      <c r="M660" s="41">
        <f t="shared" si="51"/>
        <v>826586000</v>
      </c>
      <c r="N660" s="41">
        <f t="shared" si="52"/>
        <v>844336000</v>
      </c>
      <c r="O660" s="41">
        <f t="shared" si="53"/>
        <v>0.66750589396613136</v>
      </c>
      <c r="P660" s="41">
        <f t="shared" si="54"/>
        <v>0.33963404111878559</v>
      </c>
    </row>
    <row r="661" spans="1:16" ht="19.95" customHeight="1">
      <c r="A661" s="49">
        <v>686</v>
      </c>
      <c r="B661" s="50" t="s">
        <v>366</v>
      </c>
      <c r="C661" s="51" t="s">
        <v>18</v>
      </c>
      <c r="D661" s="51" t="s">
        <v>19</v>
      </c>
      <c r="E661" s="52">
        <v>2535559000</v>
      </c>
      <c r="F661" s="52">
        <v>783602000</v>
      </c>
      <c r="G661" s="52">
        <v>88705000</v>
      </c>
      <c r="H661" s="52" t="s">
        <v>757</v>
      </c>
      <c r="I661" s="52">
        <v>708406000</v>
      </c>
      <c r="J661" s="51" t="s">
        <v>80</v>
      </c>
      <c r="K661" s="51" t="s">
        <v>362</v>
      </c>
      <c r="L661" s="41">
        <f t="shared" si="50"/>
        <v>1751957000</v>
      </c>
      <c r="M661" s="41">
        <f t="shared" si="51"/>
        <v>797111000</v>
      </c>
      <c r="N661" s="41">
        <f t="shared" si="52"/>
        <v>954846000</v>
      </c>
      <c r="O661" s="41">
        <f t="shared" si="53"/>
        <v>0.68562711417876687</v>
      </c>
      <c r="P661" s="41">
        <f t="shared" si="54"/>
        <v>0.37658204758792835</v>
      </c>
    </row>
    <row r="662" spans="1:16" ht="19.95" customHeight="1">
      <c r="A662" s="49">
        <v>687</v>
      </c>
      <c r="B662" s="50" t="s">
        <v>366</v>
      </c>
      <c r="C662" s="51" t="s">
        <v>20</v>
      </c>
      <c r="D662" s="51" t="s">
        <v>21</v>
      </c>
      <c r="E662" s="52">
        <v>2403906000</v>
      </c>
      <c r="F662" s="52">
        <v>747276000</v>
      </c>
      <c r="G662" s="52">
        <v>72363000</v>
      </c>
      <c r="H662" s="52" t="s">
        <v>757</v>
      </c>
      <c r="I662" s="52">
        <v>643689000</v>
      </c>
      <c r="J662" s="51" t="s">
        <v>80</v>
      </c>
      <c r="K662" s="51" t="s">
        <v>362</v>
      </c>
      <c r="L662" s="41">
        <f t="shared" si="50"/>
        <v>1656630000</v>
      </c>
      <c r="M662" s="41">
        <f t="shared" si="51"/>
        <v>716052000</v>
      </c>
      <c r="N662" s="41">
        <f t="shared" si="52"/>
        <v>940578000</v>
      </c>
      <c r="O662" s="41">
        <f t="shared" si="53"/>
        <v>0.70212978377690316</v>
      </c>
      <c r="P662" s="41">
        <f t="shared" si="54"/>
        <v>0.3912707069244804</v>
      </c>
    </row>
    <row r="663" spans="1:16" ht="19.95" customHeight="1">
      <c r="A663" s="49">
        <v>688</v>
      </c>
      <c r="B663" s="50" t="s">
        <v>367</v>
      </c>
      <c r="C663" s="51" t="s">
        <v>11</v>
      </c>
      <c r="D663" s="51" t="s">
        <v>12</v>
      </c>
      <c r="E663" s="52">
        <v>9702000000</v>
      </c>
      <c r="F663" s="52">
        <v>2471000000</v>
      </c>
      <c r="G663" s="52">
        <v>1461000000</v>
      </c>
      <c r="H663" s="52">
        <v>1760000000</v>
      </c>
      <c r="I663" s="52" t="s">
        <v>757</v>
      </c>
      <c r="J663" s="51" t="s">
        <v>37</v>
      </c>
      <c r="K663" s="51" t="s">
        <v>95</v>
      </c>
      <c r="L663" s="41">
        <f t="shared" si="50"/>
        <v>7231000000</v>
      </c>
      <c r="M663" s="41">
        <f t="shared" si="51"/>
        <v>3221000000</v>
      </c>
      <c r="N663" s="41">
        <f t="shared" si="52"/>
        <v>4010000000</v>
      </c>
      <c r="O663" s="41">
        <f t="shared" si="53"/>
        <v>0.66800659657802508</v>
      </c>
      <c r="P663" s="41">
        <f t="shared" si="54"/>
        <v>0.41331684188827045</v>
      </c>
    </row>
    <row r="664" spans="1:16" ht="19.95" customHeight="1">
      <c r="A664" s="49">
        <v>689</v>
      </c>
      <c r="B664" s="50" t="s">
        <v>367</v>
      </c>
      <c r="C664" s="51" t="s">
        <v>16</v>
      </c>
      <c r="D664" s="51" t="s">
        <v>17</v>
      </c>
      <c r="E664" s="52">
        <v>11202000000</v>
      </c>
      <c r="F664" s="52">
        <v>2859000000</v>
      </c>
      <c r="G664" s="52">
        <v>1699000000</v>
      </c>
      <c r="H664" s="52">
        <v>2120000000</v>
      </c>
      <c r="I664" s="52" t="s">
        <v>757</v>
      </c>
      <c r="J664" s="51" t="s">
        <v>37</v>
      </c>
      <c r="K664" s="51" t="s">
        <v>95</v>
      </c>
      <c r="L664" s="41">
        <f t="shared" si="50"/>
        <v>8343000000</v>
      </c>
      <c r="M664" s="41">
        <f t="shared" si="51"/>
        <v>3819000000</v>
      </c>
      <c r="N664" s="41">
        <f t="shared" si="52"/>
        <v>4524000000</v>
      </c>
      <c r="O664" s="41">
        <f t="shared" si="53"/>
        <v>0.65907873594001076</v>
      </c>
      <c r="P664" s="41">
        <f t="shared" si="54"/>
        <v>0.40385645420460631</v>
      </c>
    </row>
    <row r="665" spans="1:16" ht="19.95" customHeight="1">
      <c r="A665" s="49">
        <v>690</v>
      </c>
      <c r="B665" s="50" t="s">
        <v>367</v>
      </c>
      <c r="C665" s="51" t="s">
        <v>18</v>
      </c>
      <c r="D665" s="51" t="s">
        <v>19</v>
      </c>
      <c r="E665" s="52">
        <v>24890000000</v>
      </c>
      <c r="F665" s="52">
        <v>3788000000</v>
      </c>
      <c r="G665" s="52">
        <v>2983000000</v>
      </c>
      <c r="H665" s="52">
        <v>2854000000</v>
      </c>
      <c r="I665" s="52" t="s">
        <v>757</v>
      </c>
      <c r="J665" s="51" t="s">
        <v>37</v>
      </c>
      <c r="K665" s="51" t="s">
        <v>95</v>
      </c>
      <c r="L665" s="41">
        <f t="shared" si="50"/>
        <v>21102000000</v>
      </c>
      <c r="M665" s="41">
        <f t="shared" si="51"/>
        <v>5837000000</v>
      </c>
      <c r="N665" s="41">
        <f t="shared" si="52"/>
        <v>15265000000</v>
      </c>
      <c r="O665" s="41">
        <f t="shared" si="53"/>
        <v>0.76548814785054242</v>
      </c>
      <c r="P665" s="41">
        <f t="shared" si="54"/>
        <v>0.6132985134592206</v>
      </c>
    </row>
    <row r="666" spans="1:16" ht="19.95" customHeight="1">
      <c r="A666" s="49">
        <v>691</v>
      </c>
      <c r="B666" s="50" t="s">
        <v>367</v>
      </c>
      <c r="C666" s="51" t="s">
        <v>20</v>
      </c>
      <c r="D666" s="51" t="s">
        <v>21</v>
      </c>
      <c r="E666" s="52">
        <v>32639000000</v>
      </c>
      <c r="F666" s="52">
        <v>4006000000</v>
      </c>
      <c r="G666" s="52">
        <v>3426000000</v>
      </c>
      <c r="H666" s="52">
        <v>3014000000</v>
      </c>
      <c r="I666" s="52" t="s">
        <v>757</v>
      </c>
      <c r="J666" s="51" t="s">
        <v>37</v>
      </c>
      <c r="K666" s="51" t="s">
        <v>95</v>
      </c>
      <c r="L666" s="41">
        <f t="shared" si="50"/>
        <v>28633000000</v>
      </c>
      <c r="M666" s="41">
        <f t="shared" si="51"/>
        <v>6440000000</v>
      </c>
      <c r="N666" s="41">
        <f t="shared" si="52"/>
        <v>22193000000</v>
      </c>
      <c r="O666" s="41">
        <f t="shared" si="53"/>
        <v>0.80269003339563105</v>
      </c>
      <c r="P666" s="41">
        <f t="shared" si="54"/>
        <v>0.67995342994577035</v>
      </c>
    </row>
    <row r="667" spans="1:16" ht="19.95" customHeight="1">
      <c r="A667" s="49">
        <v>692</v>
      </c>
      <c r="B667" s="50" t="s">
        <v>368</v>
      </c>
      <c r="C667" s="51" t="s">
        <v>11</v>
      </c>
      <c r="D667" s="51" t="s">
        <v>172</v>
      </c>
      <c r="E667" s="52">
        <v>17774100000</v>
      </c>
      <c r="F667" s="52">
        <v>11350200000</v>
      </c>
      <c r="G667" s="52">
        <v>3552300000</v>
      </c>
      <c r="H667" s="52" t="s">
        <v>757</v>
      </c>
      <c r="I667" s="52" t="s">
        <v>757</v>
      </c>
      <c r="J667" s="51" t="s">
        <v>60</v>
      </c>
      <c r="K667" s="51" t="s">
        <v>173</v>
      </c>
      <c r="L667" s="41">
        <f t="shared" si="50"/>
        <v>6423900000</v>
      </c>
      <c r="M667" s="41">
        <f t="shared" si="51"/>
        <v>3552300000</v>
      </c>
      <c r="N667" s="41">
        <f t="shared" si="52"/>
        <v>2871600000</v>
      </c>
      <c r="O667" s="41">
        <f t="shared" si="53"/>
        <v>0.80014177933059905</v>
      </c>
      <c r="P667" s="41">
        <f t="shared" si="54"/>
        <v>0.16156092291592825</v>
      </c>
    </row>
    <row r="668" spans="1:16" ht="19.95" customHeight="1">
      <c r="A668" s="49">
        <v>693</v>
      </c>
      <c r="B668" s="50" t="s">
        <v>368</v>
      </c>
      <c r="C668" s="51" t="s">
        <v>16</v>
      </c>
      <c r="D668" s="51" t="s">
        <v>174</v>
      </c>
      <c r="E668" s="52">
        <v>17909600000</v>
      </c>
      <c r="F668" s="52">
        <v>11539800000</v>
      </c>
      <c r="G668" s="52">
        <v>3474300000</v>
      </c>
      <c r="H668" s="52" t="s">
        <v>757</v>
      </c>
      <c r="I668" s="52" t="s">
        <v>757</v>
      </c>
      <c r="J668" s="51" t="s">
        <v>60</v>
      </c>
      <c r="K668" s="51" t="s">
        <v>173</v>
      </c>
      <c r="L668" s="41">
        <f t="shared" si="50"/>
        <v>6369800000</v>
      </c>
      <c r="M668" s="41">
        <f t="shared" si="51"/>
        <v>3474300000</v>
      </c>
      <c r="N668" s="41">
        <f t="shared" si="52"/>
        <v>2895500000</v>
      </c>
      <c r="O668" s="41">
        <f t="shared" si="53"/>
        <v>0.80600906776254078</v>
      </c>
      <c r="P668" s="41">
        <f t="shared" si="54"/>
        <v>0.16167306919194174</v>
      </c>
    </row>
    <row r="669" spans="1:16" ht="19.95" customHeight="1">
      <c r="A669" s="49">
        <v>694</v>
      </c>
      <c r="B669" s="50" t="s">
        <v>368</v>
      </c>
      <c r="C669" s="51" t="s">
        <v>18</v>
      </c>
      <c r="D669" s="51" t="s">
        <v>175</v>
      </c>
      <c r="E669" s="52">
        <v>17630300000</v>
      </c>
      <c r="F669" s="52">
        <v>11681100000</v>
      </c>
      <c r="G669" s="52">
        <v>3328000000</v>
      </c>
      <c r="H669" s="52" t="s">
        <v>757</v>
      </c>
      <c r="I669" s="52" t="s">
        <v>757</v>
      </c>
      <c r="J669" s="51" t="s">
        <v>60</v>
      </c>
      <c r="K669" s="51" t="s">
        <v>173</v>
      </c>
      <c r="L669" s="41">
        <f t="shared" si="50"/>
        <v>5949200000</v>
      </c>
      <c r="M669" s="41">
        <f t="shared" si="51"/>
        <v>3328000000</v>
      </c>
      <c r="N669" s="41">
        <f t="shared" si="52"/>
        <v>2621200000</v>
      </c>
      <c r="O669" s="41">
        <f t="shared" si="53"/>
        <v>0.81123406862049996</v>
      </c>
      <c r="P669" s="41">
        <f t="shared" si="54"/>
        <v>0.14867585917426249</v>
      </c>
    </row>
    <row r="670" spans="1:16" ht="19.95" customHeight="1">
      <c r="A670" s="49">
        <v>695</v>
      </c>
      <c r="B670" s="50" t="s">
        <v>368</v>
      </c>
      <c r="C670" s="51" t="s">
        <v>20</v>
      </c>
      <c r="D670" s="51" t="s">
        <v>176</v>
      </c>
      <c r="E670" s="52">
        <v>16563100000</v>
      </c>
      <c r="F670" s="52">
        <v>10733600000</v>
      </c>
      <c r="G670" s="52">
        <v>3118900000</v>
      </c>
      <c r="H670" s="52" t="s">
        <v>757</v>
      </c>
      <c r="I670" s="52" t="s">
        <v>757</v>
      </c>
      <c r="J670" s="51" t="s">
        <v>60</v>
      </c>
      <c r="K670" s="51" t="s">
        <v>173</v>
      </c>
      <c r="L670" s="41">
        <f t="shared" si="50"/>
        <v>5829500000</v>
      </c>
      <c r="M670" s="41">
        <f t="shared" si="51"/>
        <v>3118900000</v>
      </c>
      <c r="N670" s="41">
        <f t="shared" si="52"/>
        <v>2710600000</v>
      </c>
      <c r="O670" s="41">
        <f t="shared" si="53"/>
        <v>0.81169587818705435</v>
      </c>
      <c r="P670" s="41">
        <f t="shared" si="54"/>
        <v>0.16365293936521544</v>
      </c>
    </row>
    <row r="671" spans="1:16" ht="19.95" customHeight="1">
      <c r="A671" s="49">
        <v>696</v>
      </c>
      <c r="B671" s="50" t="s">
        <v>369</v>
      </c>
      <c r="C671" s="51" t="s">
        <v>11</v>
      </c>
      <c r="D671" s="51" t="s">
        <v>17</v>
      </c>
      <c r="E671" s="52">
        <v>7819000000</v>
      </c>
      <c r="F671" s="52">
        <v>4495000000</v>
      </c>
      <c r="G671" s="52">
        <v>1126000000</v>
      </c>
      <c r="H671" s="52">
        <v>710000000</v>
      </c>
      <c r="I671" s="52">
        <v>31000000</v>
      </c>
      <c r="J671" s="51" t="s">
        <v>31</v>
      </c>
      <c r="K671" s="51" t="s">
        <v>122</v>
      </c>
      <c r="L671" s="41">
        <f t="shared" si="50"/>
        <v>3324000000</v>
      </c>
      <c r="M671" s="41">
        <f t="shared" si="51"/>
        <v>1867000000</v>
      </c>
      <c r="N671" s="41">
        <f t="shared" si="52"/>
        <v>1457000000</v>
      </c>
      <c r="O671" s="41">
        <f t="shared" si="53"/>
        <v>0.76122266274459649</v>
      </c>
      <c r="P671" s="41">
        <f t="shared" si="54"/>
        <v>0.18634096431768768</v>
      </c>
    </row>
    <row r="672" spans="1:16" ht="19.95" customHeight="1">
      <c r="A672" s="49">
        <v>697</v>
      </c>
      <c r="B672" s="50" t="s">
        <v>369</v>
      </c>
      <c r="C672" s="51" t="s">
        <v>16</v>
      </c>
      <c r="D672" s="51" t="s">
        <v>19</v>
      </c>
      <c r="E672" s="52">
        <v>9715000000</v>
      </c>
      <c r="F672" s="52">
        <v>5663000000</v>
      </c>
      <c r="G672" s="52">
        <v>1202000000</v>
      </c>
      <c r="H672" s="52">
        <v>815000000</v>
      </c>
      <c r="I672" s="52">
        <v>33000000</v>
      </c>
      <c r="J672" s="51" t="s">
        <v>31</v>
      </c>
      <c r="K672" s="51" t="s">
        <v>122</v>
      </c>
      <c r="L672" s="41">
        <f t="shared" si="50"/>
        <v>4052000000</v>
      </c>
      <c r="M672" s="41">
        <f t="shared" si="51"/>
        <v>2050000000</v>
      </c>
      <c r="N672" s="41">
        <f t="shared" si="52"/>
        <v>2002000000</v>
      </c>
      <c r="O672" s="41">
        <f t="shared" si="53"/>
        <v>0.78898610396294389</v>
      </c>
      <c r="P672" s="41">
        <f t="shared" si="54"/>
        <v>0.20607308286155429</v>
      </c>
    </row>
    <row r="673" spans="1:16" ht="19.95" customHeight="1">
      <c r="A673" s="49">
        <v>698</v>
      </c>
      <c r="B673" s="50" t="s">
        <v>369</v>
      </c>
      <c r="C673" s="51" t="s">
        <v>18</v>
      </c>
      <c r="D673" s="51" t="s">
        <v>21</v>
      </c>
      <c r="E673" s="52">
        <v>9111000000</v>
      </c>
      <c r="F673" s="52">
        <v>5458000000</v>
      </c>
      <c r="G673" s="52">
        <v>1508000000</v>
      </c>
      <c r="H673" s="52">
        <v>769000000</v>
      </c>
      <c r="I673" s="52">
        <v>54000000</v>
      </c>
      <c r="J673" s="51" t="s">
        <v>31</v>
      </c>
      <c r="K673" s="51" t="s">
        <v>122</v>
      </c>
      <c r="L673" s="41">
        <f t="shared" si="50"/>
        <v>3653000000</v>
      </c>
      <c r="M673" s="41">
        <f t="shared" si="51"/>
        <v>2331000000</v>
      </c>
      <c r="N673" s="41">
        <f t="shared" si="52"/>
        <v>1322000000</v>
      </c>
      <c r="O673" s="41">
        <f t="shared" si="53"/>
        <v>0.74415541652946993</v>
      </c>
      <c r="P673" s="41">
        <f t="shared" si="54"/>
        <v>0.14509933047963999</v>
      </c>
    </row>
    <row r="674" spans="1:16" ht="19.95" customHeight="1">
      <c r="A674" s="49">
        <v>699</v>
      </c>
      <c r="B674" s="50" t="s">
        <v>369</v>
      </c>
      <c r="C674" s="51" t="s">
        <v>20</v>
      </c>
      <c r="D674" s="51" t="s">
        <v>84</v>
      </c>
      <c r="E674" s="52">
        <v>9390000000</v>
      </c>
      <c r="F674" s="52">
        <v>5644000000</v>
      </c>
      <c r="G674" s="52">
        <v>1472000000</v>
      </c>
      <c r="H674" s="52">
        <v>742000000</v>
      </c>
      <c r="I674" s="52">
        <v>64000000</v>
      </c>
      <c r="J674" s="51" t="s">
        <v>31</v>
      </c>
      <c r="K674" s="51" t="s">
        <v>122</v>
      </c>
      <c r="L674" s="41">
        <f t="shared" si="50"/>
        <v>3746000000</v>
      </c>
      <c r="M674" s="41">
        <f t="shared" si="51"/>
        <v>2278000000</v>
      </c>
      <c r="N674" s="41">
        <f t="shared" si="52"/>
        <v>1468000000</v>
      </c>
      <c r="O674" s="41">
        <f t="shared" si="53"/>
        <v>0.75740149094781684</v>
      </c>
      <c r="P674" s="41">
        <f t="shared" si="54"/>
        <v>0.15633652822151226</v>
      </c>
    </row>
    <row r="675" spans="1:16" ht="19.95" customHeight="1">
      <c r="A675" s="49">
        <v>700</v>
      </c>
      <c r="B675" s="50" t="s">
        <v>370</v>
      </c>
      <c r="C675" s="51" t="s">
        <v>11</v>
      </c>
      <c r="D675" s="51" t="s">
        <v>17</v>
      </c>
      <c r="E675" s="52">
        <v>1554270000</v>
      </c>
      <c r="F675" s="52">
        <v>137373000000</v>
      </c>
      <c r="G675" s="52">
        <v>12382000000</v>
      </c>
      <c r="H675" s="52" t="s">
        <v>757</v>
      </c>
      <c r="I675" s="52" t="s">
        <v>757</v>
      </c>
      <c r="J675" s="51" t="s">
        <v>24</v>
      </c>
      <c r="K675" s="51" t="s">
        <v>342</v>
      </c>
      <c r="L675" s="41">
        <f t="shared" si="50"/>
        <v>-135818730000</v>
      </c>
      <c r="M675" s="41">
        <f t="shared" si="51"/>
        <v>12382000000</v>
      </c>
      <c r="N675" s="41">
        <f t="shared" si="52"/>
        <v>-148200730000</v>
      </c>
      <c r="O675" s="41">
        <f t="shared" si="53"/>
        <v>-6.9664408371775819</v>
      </c>
      <c r="P675" s="41">
        <f t="shared" si="54"/>
        <v>-95.350698398605132</v>
      </c>
    </row>
    <row r="676" spans="1:16" ht="19.95" customHeight="1">
      <c r="A676" s="49">
        <v>701</v>
      </c>
      <c r="B676" s="50" t="s">
        <v>370</v>
      </c>
      <c r="C676" s="51" t="s">
        <v>16</v>
      </c>
      <c r="D676" s="51" t="s">
        <v>19</v>
      </c>
      <c r="E676" s="52">
        <v>1559290000</v>
      </c>
      <c r="F676" s="52">
        <v>142121000000</v>
      </c>
      <c r="G676" s="52">
        <v>12158000000</v>
      </c>
      <c r="H676" s="52" t="s">
        <v>757</v>
      </c>
      <c r="I676" s="52" t="s">
        <v>757</v>
      </c>
      <c r="J676" s="51" t="s">
        <v>24</v>
      </c>
      <c r="K676" s="51" t="s">
        <v>342</v>
      </c>
      <c r="L676" s="41">
        <f t="shared" si="50"/>
        <v>-140561710000</v>
      </c>
      <c r="M676" s="41">
        <f t="shared" si="51"/>
        <v>12158000000</v>
      </c>
      <c r="N676" s="41">
        <f t="shared" si="52"/>
        <v>-152719710000</v>
      </c>
      <c r="O676" s="41">
        <f t="shared" si="53"/>
        <v>-6.7971384412136295</v>
      </c>
      <c r="P676" s="41">
        <f t="shared" si="54"/>
        <v>-97.941826087514187</v>
      </c>
    </row>
    <row r="677" spans="1:16" ht="19.95" customHeight="1">
      <c r="A677" s="49">
        <v>702</v>
      </c>
      <c r="B677" s="50" t="s">
        <v>370</v>
      </c>
      <c r="C677" s="51" t="s">
        <v>18</v>
      </c>
      <c r="D677" s="51" t="s">
        <v>21</v>
      </c>
      <c r="E677" s="52">
        <v>1523560000</v>
      </c>
      <c r="F677" s="52">
        <v>134054000000</v>
      </c>
      <c r="G677" s="52">
        <v>13405000000</v>
      </c>
      <c r="H677" s="52" t="s">
        <v>757</v>
      </c>
      <c r="I677" s="52" t="s">
        <v>757</v>
      </c>
      <c r="J677" s="51" t="s">
        <v>24</v>
      </c>
      <c r="K677" s="51" t="s">
        <v>342</v>
      </c>
      <c r="L677" s="41">
        <f t="shared" si="50"/>
        <v>-132530440000</v>
      </c>
      <c r="M677" s="41">
        <f t="shared" si="51"/>
        <v>13405000000</v>
      </c>
      <c r="N677" s="41">
        <f t="shared" si="52"/>
        <v>-145935440000</v>
      </c>
      <c r="O677" s="41">
        <f t="shared" si="53"/>
        <v>-7.7984719997899656</v>
      </c>
      <c r="P677" s="41">
        <f t="shared" si="54"/>
        <v>-95.785817427603774</v>
      </c>
    </row>
    <row r="678" spans="1:16" ht="19.95" customHeight="1">
      <c r="A678" s="49">
        <v>703</v>
      </c>
      <c r="B678" s="50" t="s">
        <v>370</v>
      </c>
      <c r="C678" s="51" t="s">
        <v>20</v>
      </c>
      <c r="D678" s="51" t="s">
        <v>84</v>
      </c>
      <c r="E678" s="52">
        <v>1663800000</v>
      </c>
      <c r="F678" s="52">
        <v>145125000000</v>
      </c>
      <c r="G678" s="52">
        <v>11710000000</v>
      </c>
      <c r="H678" s="52" t="s">
        <v>757</v>
      </c>
      <c r="I678" s="52" t="s">
        <v>757</v>
      </c>
      <c r="J678" s="51" t="s">
        <v>24</v>
      </c>
      <c r="K678" s="51" t="s">
        <v>342</v>
      </c>
      <c r="L678" s="41">
        <f t="shared" si="50"/>
        <v>-143461200000</v>
      </c>
      <c r="M678" s="41">
        <f t="shared" si="51"/>
        <v>11710000000</v>
      </c>
      <c r="N678" s="41">
        <f t="shared" si="52"/>
        <v>-155171200000</v>
      </c>
      <c r="O678" s="41">
        <f t="shared" si="53"/>
        <v>-6.0381055415314338</v>
      </c>
      <c r="P678" s="41">
        <f t="shared" si="54"/>
        <v>-93.263132588051448</v>
      </c>
    </row>
    <row r="679" spans="1:16" ht="19.95" customHeight="1">
      <c r="A679" s="49">
        <v>704</v>
      </c>
      <c r="B679" s="50" t="s">
        <v>371</v>
      </c>
      <c r="C679" s="51" t="s">
        <v>11</v>
      </c>
      <c r="D679" s="51" t="s">
        <v>12</v>
      </c>
      <c r="E679" s="52">
        <v>13013868000</v>
      </c>
      <c r="F679" s="52">
        <v>9235777000</v>
      </c>
      <c r="G679" s="52">
        <v>2656530000</v>
      </c>
      <c r="H679" s="52" t="s">
        <v>757</v>
      </c>
      <c r="I679" s="52">
        <v>98383000</v>
      </c>
      <c r="J679" s="51" t="s">
        <v>24</v>
      </c>
      <c r="K679" s="51" t="s">
        <v>112</v>
      </c>
      <c r="L679" s="41">
        <f t="shared" si="50"/>
        <v>3778091000</v>
      </c>
      <c r="M679" s="41">
        <f t="shared" si="51"/>
        <v>2754913000</v>
      </c>
      <c r="N679" s="41">
        <f t="shared" si="52"/>
        <v>1023178000</v>
      </c>
      <c r="O679" s="41">
        <f t="shared" si="53"/>
        <v>0.78830944036008355</v>
      </c>
      <c r="P679" s="41">
        <f t="shared" si="54"/>
        <v>7.8622128332637153E-2</v>
      </c>
    </row>
    <row r="680" spans="1:16" ht="19.95" customHeight="1">
      <c r="A680" s="49">
        <v>705</v>
      </c>
      <c r="B680" s="50" t="s">
        <v>371</v>
      </c>
      <c r="C680" s="51" t="s">
        <v>16</v>
      </c>
      <c r="D680" s="51" t="s">
        <v>17</v>
      </c>
      <c r="E680" s="52">
        <v>14077843000</v>
      </c>
      <c r="F680" s="52">
        <v>9857923000</v>
      </c>
      <c r="G680" s="52">
        <v>3028028000</v>
      </c>
      <c r="H680" s="52" t="s">
        <v>757</v>
      </c>
      <c r="I680" s="52">
        <v>133957000</v>
      </c>
      <c r="J680" s="51" t="s">
        <v>24</v>
      </c>
      <c r="K680" s="51" t="s">
        <v>112</v>
      </c>
      <c r="L680" s="41">
        <f t="shared" si="50"/>
        <v>4219920000</v>
      </c>
      <c r="M680" s="41">
        <f t="shared" si="51"/>
        <v>3161985000</v>
      </c>
      <c r="N680" s="41">
        <f t="shared" si="52"/>
        <v>1057935000</v>
      </c>
      <c r="O680" s="41">
        <f t="shared" si="53"/>
        <v>0.77539279277372253</v>
      </c>
      <c r="P680" s="41">
        <f t="shared" si="54"/>
        <v>7.5148941496222116E-2</v>
      </c>
    </row>
    <row r="681" spans="1:16" ht="19.95" customHeight="1">
      <c r="A681" s="49">
        <v>706</v>
      </c>
      <c r="B681" s="50" t="s">
        <v>371</v>
      </c>
      <c r="C681" s="51" t="s">
        <v>18</v>
      </c>
      <c r="D681" s="51" t="s">
        <v>19</v>
      </c>
      <c r="E681" s="52">
        <v>15341647000</v>
      </c>
      <c r="F681" s="52">
        <v>10747886000</v>
      </c>
      <c r="G681" s="52">
        <v>3314030000</v>
      </c>
      <c r="H681" s="52" t="s">
        <v>757</v>
      </c>
      <c r="I681" s="52">
        <v>148313000</v>
      </c>
      <c r="J681" s="51" t="s">
        <v>24</v>
      </c>
      <c r="K681" s="51" t="s">
        <v>112</v>
      </c>
      <c r="L681" s="41">
        <f t="shared" si="50"/>
        <v>4593761000</v>
      </c>
      <c r="M681" s="41">
        <f t="shared" si="51"/>
        <v>3462343000</v>
      </c>
      <c r="N681" s="41">
        <f t="shared" si="52"/>
        <v>1131418000</v>
      </c>
      <c r="O681" s="41">
        <f t="shared" si="53"/>
        <v>0.77431738587128229</v>
      </c>
      <c r="P681" s="41">
        <f t="shared" si="54"/>
        <v>7.3748144511472588E-2</v>
      </c>
    </row>
    <row r="682" spans="1:16" ht="19.95" customHeight="1">
      <c r="A682" s="49">
        <v>707</v>
      </c>
      <c r="B682" s="50" t="s">
        <v>371</v>
      </c>
      <c r="C682" s="51" t="s">
        <v>20</v>
      </c>
      <c r="D682" s="51" t="s">
        <v>21</v>
      </c>
      <c r="E682" s="52">
        <v>15280044000</v>
      </c>
      <c r="F682" s="52">
        <v>10724192000</v>
      </c>
      <c r="G682" s="52">
        <v>3277390000</v>
      </c>
      <c r="H682" s="52" t="s">
        <v>757</v>
      </c>
      <c r="I682" s="52">
        <v>141675000</v>
      </c>
      <c r="J682" s="51" t="s">
        <v>24</v>
      </c>
      <c r="K682" s="51" t="s">
        <v>112</v>
      </c>
      <c r="L682" s="41">
        <f t="shared" si="50"/>
        <v>4555852000</v>
      </c>
      <c r="M682" s="41">
        <f t="shared" si="51"/>
        <v>3419065000</v>
      </c>
      <c r="N682" s="41">
        <f t="shared" si="52"/>
        <v>1136787000</v>
      </c>
      <c r="O682" s="41">
        <f t="shared" si="53"/>
        <v>0.77623984590620287</v>
      </c>
      <c r="P682" s="41">
        <f t="shared" si="54"/>
        <v>7.4396840742081638E-2</v>
      </c>
    </row>
    <row r="683" spans="1:16" ht="19.95" customHeight="1">
      <c r="A683" s="49">
        <v>708</v>
      </c>
      <c r="B683" s="50" t="s">
        <v>372</v>
      </c>
      <c r="C683" s="51" t="s">
        <v>11</v>
      </c>
      <c r="D683" s="51" t="s">
        <v>263</v>
      </c>
      <c r="E683" s="52">
        <v>2375923000</v>
      </c>
      <c r="F683" s="52">
        <v>862075000</v>
      </c>
      <c r="G683" s="52">
        <v>1156635000</v>
      </c>
      <c r="H683" s="52" t="s">
        <v>757</v>
      </c>
      <c r="I683" s="52" t="s">
        <v>757</v>
      </c>
      <c r="J683" s="51" t="s">
        <v>31</v>
      </c>
      <c r="K683" s="51" t="s">
        <v>63</v>
      </c>
      <c r="L683" s="41">
        <f t="shared" si="50"/>
        <v>1513848000</v>
      </c>
      <c r="M683" s="41">
        <f t="shared" si="51"/>
        <v>1156635000</v>
      </c>
      <c r="N683" s="41">
        <f t="shared" si="52"/>
        <v>357213000</v>
      </c>
      <c r="O683" s="41">
        <f t="shared" si="53"/>
        <v>0.51318498116311007</v>
      </c>
      <c r="P683" s="41">
        <f t="shared" si="54"/>
        <v>0.15034704407508157</v>
      </c>
    </row>
    <row r="684" spans="1:16" ht="19.95" customHeight="1">
      <c r="A684" s="49">
        <v>709</v>
      </c>
      <c r="B684" s="50" t="s">
        <v>372</v>
      </c>
      <c r="C684" s="51" t="s">
        <v>16</v>
      </c>
      <c r="D684" s="51" t="s">
        <v>265</v>
      </c>
      <c r="E684" s="52">
        <v>2554236000</v>
      </c>
      <c r="F684" s="52">
        <v>952225000</v>
      </c>
      <c r="G684" s="52">
        <v>1196512000</v>
      </c>
      <c r="H684" s="52" t="s">
        <v>757</v>
      </c>
      <c r="I684" s="52" t="s">
        <v>757</v>
      </c>
      <c r="J684" s="51" t="s">
        <v>31</v>
      </c>
      <c r="K684" s="51" t="s">
        <v>63</v>
      </c>
      <c r="L684" s="41">
        <f t="shared" si="50"/>
        <v>1602011000</v>
      </c>
      <c r="M684" s="41">
        <f t="shared" si="51"/>
        <v>1196512000</v>
      </c>
      <c r="N684" s="41">
        <f t="shared" si="52"/>
        <v>405499000</v>
      </c>
      <c r="O684" s="41">
        <f t="shared" si="53"/>
        <v>0.53155777304837926</v>
      </c>
      <c r="P684" s="41">
        <f t="shared" si="54"/>
        <v>0.15875549479374654</v>
      </c>
    </row>
    <row r="685" spans="1:16" ht="19.95" customHeight="1">
      <c r="A685" s="49">
        <v>710</v>
      </c>
      <c r="B685" s="50" t="s">
        <v>372</v>
      </c>
      <c r="C685" s="51" t="s">
        <v>18</v>
      </c>
      <c r="D685" s="51" t="s">
        <v>175</v>
      </c>
      <c r="E685" s="52">
        <v>2773718000</v>
      </c>
      <c r="F685" s="52">
        <v>1022107000</v>
      </c>
      <c r="G685" s="52">
        <v>1295014000</v>
      </c>
      <c r="H685" s="52" t="s">
        <v>757</v>
      </c>
      <c r="I685" s="52" t="s">
        <v>757</v>
      </c>
      <c r="J685" s="51" t="s">
        <v>31</v>
      </c>
      <c r="K685" s="51" t="s">
        <v>63</v>
      </c>
      <c r="L685" s="41">
        <f t="shared" si="50"/>
        <v>1751611000</v>
      </c>
      <c r="M685" s="41">
        <f t="shared" si="51"/>
        <v>1295014000</v>
      </c>
      <c r="N685" s="41">
        <f t="shared" si="52"/>
        <v>456597000</v>
      </c>
      <c r="O685" s="41">
        <f t="shared" si="53"/>
        <v>0.5331125947194344</v>
      </c>
      <c r="P685" s="41">
        <f t="shared" si="54"/>
        <v>0.1646155088585069</v>
      </c>
    </row>
    <row r="686" spans="1:16" ht="19.95" customHeight="1">
      <c r="A686" s="49">
        <v>711</v>
      </c>
      <c r="B686" s="50" t="s">
        <v>372</v>
      </c>
      <c r="C686" s="51" t="s">
        <v>20</v>
      </c>
      <c r="D686" s="51" t="s">
        <v>266</v>
      </c>
      <c r="E686" s="52">
        <v>2898150000</v>
      </c>
      <c r="F686" s="52">
        <v>1147639000</v>
      </c>
      <c r="G686" s="52">
        <v>1325567000</v>
      </c>
      <c r="H686" s="52" t="s">
        <v>757</v>
      </c>
      <c r="I686" s="52" t="s">
        <v>757</v>
      </c>
      <c r="J686" s="51" t="s">
        <v>31</v>
      </c>
      <c r="K686" s="51" t="s">
        <v>63</v>
      </c>
      <c r="L686" s="41">
        <f t="shared" si="50"/>
        <v>1750511000</v>
      </c>
      <c r="M686" s="41">
        <f t="shared" si="51"/>
        <v>1325567000</v>
      </c>
      <c r="N686" s="41">
        <f t="shared" si="52"/>
        <v>424944000</v>
      </c>
      <c r="O686" s="41">
        <f t="shared" si="53"/>
        <v>0.54261615168297017</v>
      </c>
      <c r="P686" s="41">
        <f t="shared" si="54"/>
        <v>0.14662595103773096</v>
      </c>
    </row>
    <row r="687" spans="1:16" ht="19.95" customHeight="1">
      <c r="A687" s="49">
        <v>712</v>
      </c>
      <c r="B687" s="50" t="s">
        <v>373</v>
      </c>
      <c r="C687" s="51" t="s">
        <v>11</v>
      </c>
      <c r="D687" s="51" t="s">
        <v>302</v>
      </c>
      <c r="E687" s="52">
        <v>15651000000</v>
      </c>
      <c r="F687" s="52">
        <v>9480000000</v>
      </c>
      <c r="G687" s="52" t="s">
        <v>757</v>
      </c>
      <c r="H687" s="52" t="s">
        <v>757</v>
      </c>
      <c r="I687" s="52" t="s">
        <v>757</v>
      </c>
      <c r="J687" s="51" t="s">
        <v>24</v>
      </c>
      <c r="K687" s="51" t="s">
        <v>354</v>
      </c>
      <c r="L687" s="41">
        <f t="shared" si="50"/>
        <v>6171000000</v>
      </c>
      <c r="M687" s="41">
        <f t="shared" si="51"/>
        <v>0</v>
      </c>
      <c r="N687" s="41">
        <f t="shared" si="52"/>
        <v>6171000000</v>
      </c>
      <c r="O687" s="41">
        <f t="shared" si="53"/>
        <v>1</v>
      </c>
      <c r="P687" s="41">
        <f t="shared" si="54"/>
        <v>0.3942879049262028</v>
      </c>
    </row>
    <row r="688" spans="1:16" ht="19.95" customHeight="1">
      <c r="A688" s="49">
        <v>713</v>
      </c>
      <c r="B688" s="50" t="s">
        <v>373</v>
      </c>
      <c r="C688" s="51" t="s">
        <v>16</v>
      </c>
      <c r="D688" s="51" t="s">
        <v>157</v>
      </c>
      <c r="E688" s="52">
        <v>16148000000</v>
      </c>
      <c r="F688" s="52">
        <v>9855000000</v>
      </c>
      <c r="G688" s="52" t="s">
        <v>757</v>
      </c>
      <c r="H688" s="52" t="s">
        <v>757</v>
      </c>
      <c r="I688" s="52" t="s">
        <v>757</v>
      </c>
      <c r="J688" s="51" t="s">
        <v>24</v>
      </c>
      <c r="K688" s="51" t="s">
        <v>354</v>
      </c>
      <c r="L688" s="41">
        <f t="shared" si="50"/>
        <v>6293000000</v>
      </c>
      <c r="M688" s="41">
        <f t="shared" si="51"/>
        <v>0</v>
      </c>
      <c r="N688" s="41">
        <f t="shared" si="52"/>
        <v>6293000000</v>
      </c>
      <c r="O688" s="41">
        <f t="shared" si="53"/>
        <v>1</v>
      </c>
      <c r="P688" s="41">
        <f t="shared" si="54"/>
        <v>0.38970770374040131</v>
      </c>
    </row>
    <row r="689" spans="1:16" ht="19.95" customHeight="1">
      <c r="A689" s="49">
        <v>714</v>
      </c>
      <c r="B689" s="50" t="s">
        <v>373</v>
      </c>
      <c r="C689" s="51" t="s">
        <v>18</v>
      </c>
      <c r="D689" s="51" t="s">
        <v>67</v>
      </c>
      <c r="E689" s="52">
        <v>16435000000</v>
      </c>
      <c r="F689" s="52">
        <v>10146000000</v>
      </c>
      <c r="G689" s="52" t="s">
        <v>757</v>
      </c>
      <c r="H689" s="52" t="s">
        <v>757</v>
      </c>
      <c r="I689" s="52" t="s">
        <v>757</v>
      </c>
      <c r="J689" s="51" t="s">
        <v>24</v>
      </c>
      <c r="K689" s="51" t="s">
        <v>354</v>
      </c>
      <c r="L689" s="41">
        <f t="shared" si="50"/>
        <v>6289000000</v>
      </c>
      <c r="M689" s="41">
        <f t="shared" si="51"/>
        <v>0</v>
      </c>
      <c r="N689" s="41">
        <f t="shared" si="52"/>
        <v>6289000000</v>
      </c>
      <c r="O689" s="41">
        <f t="shared" si="53"/>
        <v>1</v>
      </c>
      <c r="P689" s="41">
        <f t="shared" si="54"/>
        <v>0.38265895953757223</v>
      </c>
    </row>
    <row r="690" spans="1:16" ht="19.95" customHeight="1">
      <c r="A690" s="49">
        <v>715</v>
      </c>
      <c r="B690" s="50" t="s">
        <v>373</v>
      </c>
      <c r="C690" s="51" t="s">
        <v>20</v>
      </c>
      <c r="D690" s="51" t="s">
        <v>158</v>
      </c>
      <c r="E690" s="52">
        <v>15797000000</v>
      </c>
      <c r="F690" s="52">
        <v>10077000000</v>
      </c>
      <c r="G690" s="52" t="s">
        <v>757</v>
      </c>
      <c r="H690" s="52" t="s">
        <v>757</v>
      </c>
      <c r="I690" s="52" t="s">
        <v>757</v>
      </c>
      <c r="J690" s="51" t="s">
        <v>24</v>
      </c>
      <c r="K690" s="51" t="s">
        <v>354</v>
      </c>
      <c r="L690" s="41">
        <f t="shared" si="50"/>
        <v>5720000000</v>
      </c>
      <c r="M690" s="41">
        <f t="shared" si="51"/>
        <v>0</v>
      </c>
      <c r="N690" s="41">
        <f t="shared" si="52"/>
        <v>5720000000</v>
      </c>
      <c r="O690" s="41">
        <f t="shared" si="53"/>
        <v>1</v>
      </c>
      <c r="P690" s="41">
        <f t="shared" si="54"/>
        <v>0.36209406849401787</v>
      </c>
    </row>
    <row r="691" spans="1:16" ht="19.95" customHeight="1">
      <c r="A691" s="49">
        <v>716</v>
      </c>
      <c r="B691" s="50" t="s">
        <v>374</v>
      </c>
      <c r="C691" s="51" t="s">
        <v>11</v>
      </c>
      <c r="D691" s="51" t="s">
        <v>23</v>
      </c>
      <c r="E691" s="52">
        <v>2715675000</v>
      </c>
      <c r="F691" s="52">
        <v>1277195000</v>
      </c>
      <c r="G691" s="52">
        <v>508547000</v>
      </c>
      <c r="H691" s="52">
        <v>325773000</v>
      </c>
      <c r="I691" s="52" t="s">
        <v>757</v>
      </c>
      <c r="J691" s="51" t="s">
        <v>24</v>
      </c>
      <c r="K691" s="51" t="s">
        <v>375</v>
      </c>
      <c r="L691" s="41">
        <f t="shared" si="50"/>
        <v>1438480000</v>
      </c>
      <c r="M691" s="41">
        <f t="shared" si="51"/>
        <v>834320000</v>
      </c>
      <c r="N691" s="41">
        <f t="shared" si="52"/>
        <v>604160000</v>
      </c>
      <c r="O691" s="41">
        <f t="shared" si="53"/>
        <v>0.69277619744630714</v>
      </c>
      <c r="P691" s="41">
        <f t="shared" si="54"/>
        <v>0.2224713929317757</v>
      </c>
    </row>
    <row r="692" spans="1:16" ht="19.95" customHeight="1">
      <c r="A692" s="49">
        <v>717</v>
      </c>
      <c r="B692" s="50" t="s">
        <v>374</v>
      </c>
      <c r="C692" s="51" t="s">
        <v>16</v>
      </c>
      <c r="D692" s="51" t="s">
        <v>26</v>
      </c>
      <c r="E692" s="52">
        <v>2631851000</v>
      </c>
      <c r="F692" s="52">
        <v>1224551000</v>
      </c>
      <c r="G692" s="52">
        <v>468345000</v>
      </c>
      <c r="H692" s="52">
        <v>364923000</v>
      </c>
      <c r="I692" s="52" t="s">
        <v>757</v>
      </c>
      <c r="J692" s="51" t="s">
        <v>24</v>
      </c>
      <c r="K692" s="51" t="s">
        <v>375</v>
      </c>
      <c r="L692" s="41">
        <f t="shared" si="50"/>
        <v>1407300000</v>
      </c>
      <c r="M692" s="41">
        <f t="shared" si="51"/>
        <v>833268000</v>
      </c>
      <c r="N692" s="41">
        <f t="shared" si="52"/>
        <v>574032000</v>
      </c>
      <c r="O692" s="41">
        <f t="shared" si="53"/>
        <v>0.68339089104968331</v>
      </c>
      <c r="P692" s="41">
        <f t="shared" si="54"/>
        <v>0.21810961182832919</v>
      </c>
    </row>
    <row r="693" spans="1:16" ht="19.95" customHeight="1">
      <c r="A693" s="49">
        <v>718</v>
      </c>
      <c r="B693" s="50" t="s">
        <v>374</v>
      </c>
      <c r="C693" s="51" t="s">
        <v>18</v>
      </c>
      <c r="D693" s="51" t="s">
        <v>376</v>
      </c>
      <c r="E693" s="52">
        <v>2870658000</v>
      </c>
      <c r="F693" s="52">
        <v>1266246000</v>
      </c>
      <c r="G693" s="52">
        <v>518665000</v>
      </c>
      <c r="H693" s="52">
        <v>395121000</v>
      </c>
      <c r="I693" s="52" t="s">
        <v>757</v>
      </c>
      <c r="J693" s="51" t="s">
        <v>24</v>
      </c>
      <c r="K693" s="51" t="s">
        <v>375</v>
      </c>
      <c r="L693" s="41">
        <f t="shared" si="50"/>
        <v>1604412000</v>
      </c>
      <c r="M693" s="41">
        <f t="shared" si="51"/>
        <v>913786000</v>
      </c>
      <c r="N693" s="41">
        <f t="shared" si="52"/>
        <v>690626000</v>
      </c>
      <c r="O693" s="41">
        <f t="shared" si="53"/>
        <v>0.68168064604003686</v>
      </c>
      <c r="P693" s="41">
        <f t="shared" si="54"/>
        <v>0.24058107932049028</v>
      </c>
    </row>
    <row r="694" spans="1:16" ht="19.95" customHeight="1">
      <c r="A694" s="49">
        <v>719</v>
      </c>
      <c r="B694" s="50" t="s">
        <v>374</v>
      </c>
      <c r="C694" s="51" t="s">
        <v>20</v>
      </c>
      <c r="D694" s="51" t="s">
        <v>377</v>
      </c>
      <c r="E694" s="52">
        <v>2820270000</v>
      </c>
      <c r="F694" s="52">
        <v>1281566000</v>
      </c>
      <c r="G694" s="52">
        <v>562080000</v>
      </c>
      <c r="H694" s="52">
        <v>427043000</v>
      </c>
      <c r="I694" s="52" t="s">
        <v>757</v>
      </c>
      <c r="J694" s="51" t="s">
        <v>24</v>
      </c>
      <c r="K694" s="51" t="s">
        <v>375</v>
      </c>
      <c r="L694" s="41">
        <f t="shared" si="50"/>
        <v>1538704000</v>
      </c>
      <c r="M694" s="41">
        <f t="shared" si="51"/>
        <v>989123000</v>
      </c>
      <c r="N694" s="41">
        <f t="shared" si="52"/>
        <v>549581000</v>
      </c>
      <c r="O694" s="41">
        <f t="shared" si="53"/>
        <v>0.64928074262393309</v>
      </c>
      <c r="P694" s="41">
        <f t="shared" si="54"/>
        <v>0.19486822183691632</v>
      </c>
    </row>
    <row r="695" spans="1:16" ht="19.95" customHeight="1">
      <c r="A695" s="49">
        <v>720</v>
      </c>
      <c r="B695" s="50" t="s">
        <v>378</v>
      </c>
      <c r="C695" s="51" t="s">
        <v>11</v>
      </c>
      <c r="D695" s="51" t="s">
        <v>17</v>
      </c>
      <c r="E695" s="52">
        <v>19540000000</v>
      </c>
      <c r="F695" s="52">
        <v>15422000000</v>
      </c>
      <c r="G695" s="52">
        <v>2816000000</v>
      </c>
      <c r="H695" s="52" t="s">
        <v>757</v>
      </c>
      <c r="I695" s="52" t="s">
        <v>757</v>
      </c>
      <c r="J695" s="51" t="s">
        <v>24</v>
      </c>
      <c r="K695" s="51" t="s">
        <v>379</v>
      </c>
      <c r="L695" s="41">
        <f t="shared" si="50"/>
        <v>4118000000</v>
      </c>
      <c r="M695" s="41">
        <f t="shared" si="51"/>
        <v>2816000000</v>
      </c>
      <c r="N695" s="41">
        <f t="shared" si="52"/>
        <v>1302000000</v>
      </c>
      <c r="O695" s="41">
        <f t="shared" si="53"/>
        <v>0.85588536335721599</v>
      </c>
      <c r="P695" s="41">
        <f t="shared" si="54"/>
        <v>6.6632548618219031E-2</v>
      </c>
    </row>
    <row r="696" spans="1:16" ht="19.95" customHeight="1">
      <c r="A696" s="49">
        <v>721</v>
      </c>
      <c r="B696" s="50" t="s">
        <v>378</v>
      </c>
      <c r="C696" s="51" t="s">
        <v>16</v>
      </c>
      <c r="D696" s="51" t="s">
        <v>19</v>
      </c>
      <c r="E696" s="52">
        <v>18138000000</v>
      </c>
      <c r="F696" s="52">
        <v>13906000000</v>
      </c>
      <c r="G696" s="52">
        <v>2815000000</v>
      </c>
      <c r="H696" s="52" t="s">
        <v>757</v>
      </c>
      <c r="I696" s="52" t="s">
        <v>757</v>
      </c>
      <c r="J696" s="51" t="s">
        <v>24</v>
      </c>
      <c r="K696" s="51" t="s">
        <v>379</v>
      </c>
      <c r="L696" s="41">
        <f t="shared" si="50"/>
        <v>4232000000</v>
      </c>
      <c r="M696" s="41">
        <f t="shared" si="51"/>
        <v>2815000000</v>
      </c>
      <c r="N696" s="41">
        <f t="shared" si="52"/>
        <v>1417000000</v>
      </c>
      <c r="O696" s="41">
        <f t="shared" si="53"/>
        <v>0.84480097033851576</v>
      </c>
      <c r="P696" s="41">
        <f t="shared" si="54"/>
        <v>7.8123277097805713E-2</v>
      </c>
    </row>
    <row r="697" spans="1:16" ht="19.95" customHeight="1">
      <c r="A697" s="49">
        <v>722</v>
      </c>
      <c r="B697" s="50" t="s">
        <v>378</v>
      </c>
      <c r="C697" s="51" t="s">
        <v>18</v>
      </c>
      <c r="D697" s="51" t="s">
        <v>21</v>
      </c>
      <c r="E697" s="52">
        <v>16443000000</v>
      </c>
      <c r="F697" s="52">
        <v>12164000000</v>
      </c>
      <c r="G697" s="52">
        <v>2728000000</v>
      </c>
      <c r="H697" s="52" t="s">
        <v>757</v>
      </c>
      <c r="I697" s="52" t="s">
        <v>757</v>
      </c>
      <c r="J697" s="51" t="s">
        <v>24</v>
      </c>
      <c r="K697" s="51" t="s">
        <v>379</v>
      </c>
      <c r="L697" s="41">
        <f t="shared" si="50"/>
        <v>4279000000</v>
      </c>
      <c r="M697" s="41">
        <f t="shared" si="51"/>
        <v>2728000000</v>
      </c>
      <c r="N697" s="41">
        <f t="shared" si="52"/>
        <v>1551000000</v>
      </c>
      <c r="O697" s="41">
        <f t="shared" si="53"/>
        <v>0.83409353524296059</v>
      </c>
      <c r="P697" s="41">
        <f t="shared" si="54"/>
        <v>9.4325852946542596E-2</v>
      </c>
    </row>
    <row r="698" spans="1:16" ht="19.95" customHeight="1">
      <c r="A698" s="49">
        <v>723</v>
      </c>
      <c r="B698" s="50" t="s">
        <v>378</v>
      </c>
      <c r="C698" s="51" t="s">
        <v>20</v>
      </c>
      <c r="D698" s="51" t="s">
        <v>84</v>
      </c>
      <c r="E698" s="52">
        <v>15158000000</v>
      </c>
      <c r="F698" s="52">
        <v>10972000000</v>
      </c>
      <c r="G698" s="52">
        <v>2617000000</v>
      </c>
      <c r="H698" s="52" t="s">
        <v>757</v>
      </c>
      <c r="I698" s="52" t="s">
        <v>757</v>
      </c>
      <c r="J698" s="51" t="s">
        <v>24</v>
      </c>
      <c r="K698" s="51" t="s">
        <v>379</v>
      </c>
      <c r="L698" s="41">
        <f t="shared" si="50"/>
        <v>4186000000</v>
      </c>
      <c r="M698" s="41">
        <f t="shared" si="51"/>
        <v>2617000000</v>
      </c>
      <c r="N698" s="41">
        <f t="shared" si="52"/>
        <v>1569000000</v>
      </c>
      <c r="O698" s="41">
        <f t="shared" si="53"/>
        <v>0.82735189338962922</v>
      </c>
      <c r="P698" s="41">
        <f t="shared" si="54"/>
        <v>0.10350969784932049</v>
      </c>
    </row>
    <row r="699" spans="1:16" ht="19.95" customHeight="1">
      <c r="A699" s="49">
        <v>724</v>
      </c>
      <c r="B699" s="50" t="s">
        <v>380</v>
      </c>
      <c r="C699" s="51" t="s">
        <v>11</v>
      </c>
      <c r="D699" s="51" t="s">
        <v>12</v>
      </c>
      <c r="E699" s="52">
        <v>8950045000</v>
      </c>
      <c r="F699" s="52">
        <v>5033885000</v>
      </c>
      <c r="G699" s="52">
        <v>2785035000</v>
      </c>
      <c r="H699" s="52" t="s">
        <v>757</v>
      </c>
      <c r="I699" s="52" t="s">
        <v>757</v>
      </c>
      <c r="J699" s="51" t="s">
        <v>14</v>
      </c>
      <c r="K699" s="51" t="s">
        <v>381</v>
      </c>
      <c r="L699" s="41">
        <f t="shared" si="50"/>
        <v>3916160000</v>
      </c>
      <c r="M699" s="41">
        <f t="shared" si="51"/>
        <v>2785035000</v>
      </c>
      <c r="N699" s="41">
        <f t="shared" si="52"/>
        <v>1131125000</v>
      </c>
      <c r="O699" s="41">
        <f t="shared" si="53"/>
        <v>0.68882446959763888</v>
      </c>
      <c r="P699" s="41">
        <f t="shared" si="54"/>
        <v>0.12638204612379045</v>
      </c>
    </row>
    <row r="700" spans="1:16" ht="19.95" customHeight="1">
      <c r="A700" s="49">
        <v>725</v>
      </c>
      <c r="B700" s="50" t="s">
        <v>380</v>
      </c>
      <c r="C700" s="51" t="s">
        <v>16</v>
      </c>
      <c r="D700" s="51" t="s">
        <v>17</v>
      </c>
      <c r="E700" s="52">
        <v>9437758000</v>
      </c>
      <c r="F700" s="52">
        <v>5301275000</v>
      </c>
      <c r="G700" s="52">
        <v>2839629000</v>
      </c>
      <c r="H700" s="52" t="s">
        <v>757</v>
      </c>
      <c r="I700" s="52" t="s">
        <v>757</v>
      </c>
      <c r="J700" s="51" t="s">
        <v>14</v>
      </c>
      <c r="K700" s="51" t="s">
        <v>381</v>
      </c>
      <c r="L700" s="41">
        <f t="shared" si="50"/>
        <v>4136483000</v>
      </c>
      <c r="M700" s="41">
        <f t="shared" si="51"/>
        <v>2839629000</v>
      </c>
      <c r="N700" s="41">
        <f t="shared" si="52"/>
        <v>1296854000</v>
      </c>
      <c r="O700" s="41">
        <f t="shared" si="53"/>
        <v>0.69912038431161294</v>
      </c>
      <c r="P700" s="41">
        <f t="shared" si="54"/>
        <v>0.13741123686367038</v>
      </c>
    </row>
    <row r="701" spans="1:16" ht="19.95" customHeight="1">
      <c r="A701" s="49">
        <v>726</v>
      </c>
      <c r="B701" s="50" t="s">
        <v>380</v>
      </c>
      <c r="C701" s="51" t="s">
        <v>18</v>
      </c>
      <c r="D701" s="51" t="s">
        <v>19</v>
      </c>
      <c r="E701" s="52">
        <v>9964953000</v>
      </c>
      <c r="F701" s="52">
        <v>5650711000</v>
      </c>
      <c r="G701" s="52">
        <v>2967125000</v>
      </c>
      <c r="H701" s="52" t="s">
        <v>757</v>
      </c>
      <c r="I701" s="52" t="s">
        <v>757</v>
      </c>
      <c r="J701" s="51" t="s">
        <v>14</v>
      </c>
      <c r="K701" s="51" t="s">
        <v>381</v>
      </c>
      <c r="L701" s="41">
        <f t="shared" si="50"/>
        <v>4314242000</v>
      </c>
      <c r="M701" s="41">
        <f t="shared" si="51"/>
        <v>2967125000</v>
      </c>
      <c r="N701" s="41">
        <f t="shared" si="52"/>
        <v>1347117000</v>
      </c>
      <c r="O701" s="41">
        <f t="shared" si="53"/>
        <v>0.70224395438693987</v>
      </c>
      <c r="P701" s="41">
        <f t="shared" si="54"/>
        <v>0.13518548456776464</v>
      </c>
    </row>
    <row r="702" spans="1:16" ht="19.95" customHeight="1">
      <c r="A702" s="49">
        <v>727</v>
      </c>
      <c r="B702" s="50" t="s">
        <v>380</v>
      </c>
      <c r="C702" s="51" t="s">
        <v>20</v>
      </c>
      <c r="D702" s="51" t="s">
        <v>21</v>
      </c>
      <c r="E702" s="52">
        <v>9973384000</v>
      </c>
      <c r="F702" s="52">
        <v>5741956000</v>
      </c>
      <c r="G702" s="52">
        <v>2931108000</v>
      </c>
      <c r="H702" s="52" t="s">
        <v>757</v>
      </c>
      <c r="I702" s="52" t="s">
        <v>757</v>
      </c>
      <c r="J702" s="51" t="s">
        <v>14</v>
      </c>
      <c r="K702" s="51" t="s">
        <v>381</v>
      </c>
      <c r="L702" s="41">
        <f t="shared" si="50"/>
        <v>4231428000</v>
      </c>
      <c r="M702" s="41">
        <f t="shared" si="51"/>
        <v>2931108000</v>
      </c>
      <c r="N702" s="41">
        <f t="shared" si="52"/>
        <v>1300320000</v>
      </c>
      <c r="O702" s="41">
        <f t="shared" si="53"/>
        <v>0.70610697432285774</v>
      </c>
      <c r="P702" s="41">
        <f t="shared" si="54"/>
        <v>0.13037901679109118</v>
      </c>
    </row>
    <row r="703" spans="1:16" ht="19.95" customHeight="1">
      <c r="A703" s="49">
        <v>728</v>
      </c>
      <c r="B703" s="50" t="s">
        <v>382</v>
      </c>
      <c r="C703" s="51" t="s">
        <v>11</v>
      </c>
      <c r="D703" s="51" t="s">
        <v>17</v>
      </c>
      <c r="E703" s="52">
        <v>29402000000</v>
      </c>
      <c r="F703" s="52">
        <v>24931000000</v>
      </c>
      <c r="G703" s="52">
        <v>1333000000</v>
      </c>
      <c r="H703" s="52" t="s">
        <v>757</v>
      </c>
      <c r="I703" s="52" t="s">
        <v>757</v>
      </c>
      <c r="J703" s="51" t="s">
        <v>116</v>
      </c>
      <c r="K703" s="51" t="s">
        <v>162</v>
      </c>
      <c r="L703" s="41">
        <f t="shared" si="50"/>
        <v>4471000000</v>
      </c>
      <c r="M703" s="41">
        <f t="shared" si="51"/>
        <v>1333000000</v>
      </c>
      <c r="N703" s="41">
        <f t="shared" si="52"/>
        <v>3138000000</v>
      </c>
      <c r="O703" s="41">
        <f t="shared" si="53"/>
        <v>0.95466294809876884</v>
      </c>
      <c r="P703" s="41">
        <f t="shared" si="54"/>
        <v>0.10672743350792463</v>
      </c>
    </row>
    <row r="704" spans="1:16" ht="19.95" customHeight="1">
      <c r="A704" s="53">
        <v>729</v>
      </c>
      <c r="B704" s="54" t="s">
        <v>382</v>
      </c>
      <c r="C704" s="55" t="s">
        <v>16</v>
      </c>
      <c r="D704" s="55" t="s">
        <v>19</v>
      </c>
      <c r="E704" s="56">
        <v>32870000000</v>
      </c>
      <c r="F704" s="56">
        <v>27334000000</v>
      </c>
      <c r="G704" s="56">
        <v>293000000</v>
      </c>
      <c r="H704" s="56" t="s">
        <v>757</v>
      </c>
      <c r="I704" s="56" t="s">
        <v>757</v>
      </c>
      <c r="J704" s="55" t="s">
        <v>116</v>
      </c>
      <c r="K704" s="55" t="s">
        <v>162</v>
      </c>
      <c r="L704" s="57">
        <f t="shared" si="50"/>
        <v>5536000000</v>
      </c>
      <c r="M704" s="57">
        <f t="shared" si="51"/>
        <v>293000000</v>
      </c>
      <c r="N704" s="57">
        <f t="shared" si="52"/>
        <v>5243000000</v>
      </c>
      <c r="O704" s="57">
        <f t="shared" si="53"/>
        <v>0.99108609674475201</v>
      </c>
      <c r="P704" s="57">
        <f t="shared" si="54"/>
        <v>0.15950714937633101</v>
      </c>
    </row>
    <row r="705" spans="1:16" ht="19.95" customHeight="1">
      <c r="A705" s="49">
        <v>730</v>
      </c>
      <c r="B705" s="50" t="s">
        <v>382</v>
      </c>
      <c r="C705" s="51" t="s">
        <v>18</v>
      </c>
      <c r="D705" s="51" t="s">
        <v>21</v>
      </c>
      <c r="E705" s="52">
        <v>23633000000</v>
      </c>
      <c r="F705" s="52">
        <v>21113000000</v>
      </c>
      <c r="G705" s="52">
        <v>200000000</v>
      </c>
      <c r="H705" s="52" t="s">
        <v>757</v>
      </c>
      <c r="I705" s="52" t="s">
        <v>757</v>
      </c>
      <c r="J705" s="51" t="s">
        <v>116</v>
      </c>
      <c r="K705" s="51" t="s">
        <v>162</v>
      </c>
      <c r="L705" s="41">
        <f t="shared" si="50"/>
        <v>2520000000</v>
      </c>
      <c r="M705" s="41">
        <f t="shared" si="51"/>
        <v>200000000</v>
      </c>
      <c r="N705" s="41">
        <f t="shared" si="52"/>
        <v>2320000000</v>
      </c>
      <c r="O705" s="41">
        <f t="shared" si="53"/>
        <v>0.99153725722506669</v>
      </c>
      <c r="P705" s="41">
        <f t="shared" si="54"/>
        <v>9.8167816189226931E-2</v>
      </c>
    </row>
    <row r="706" spans="1:16" ht="19.95" customHeight="1">
      <c r="A706" s="49">
        <v>731</v>
      </c>
      <c r="B706" s="50" t="s">
        <v>382</v>
      </c>
      <c r="C706" s="51" t="s">
        <v>20</v>
      </c>
      <c r="D706" s="51" t="s">
        <v>84</v>
      </c>
      <c r="E706" s="52">
        <v>15887000000</v>
      </c>
      <c r="F706" s="52">
        <v>15023000000</v>
      </c>
      <c r="G706" s="52">
        <v>228000000</v>
      </c>
      <c r="H706" s="52" t="s">
        <v>757</v>
      </c>
      <c r="I706" s="52" t="s">
        <v>757</v>
      </c>
      <c r="J706" s="51" t="s">
        <v>116</v>
      </c>
      <c r="K706" s="51" t="s">
        <v>162</v>
      </c>
      <c r="L706" s="41">
        <f t="shared" si="50"/>
        <v>864000000</v>
      </c>
      <c r="M706" s="41">
        <f t="shared" si="51"/>
        <v>228000000</v>
      </c>
      <c r="N706" s="41">
        <f t="shared" si="52"/>
        <v>636000000</v>
      </c>
      <c r="O706" s="41">
        <f t="shared" si="53"/>
        <v>0.98564864354503678</v>
      </c>
      <c r="P706" s="41">
        <f t="shared" si="54"/>
        <v>4.0032731163844655E-2</v>
      </c>
    </row>
    <row r="707" spans="1:16" ht="19.95" customHeight="1">
      <c r="A707" s="49">
        <v>732</v>
      </c>
      <c r="B707" s="50" t="s">
        <v>383</v>
      </c>
      <c r="C707" s="51" t="s">
        <v>11</v>
      </c>
      <c r="D707" s="51" t="s">
        <v>178</v>
      </c>
      <c r="E707" s="52">
        <v>4297842000</v>
      </c>
      <c r="F707" s="52">
        <v>3193722000</v>
      </c>
      <c r="G707" s="52">
        <v>902869000</v>
      </c>
      <c r="H707" s="52" t="s">
        <v>757</v>
      </c>
      <c r="I707" s="52" t="s">
        <v>757</v>
      </c>
      <c r="J707" s="51" t="s">
        <v>24</v>
      </c>
      <c r="K707" s="51" t="s">
        <v>375</v>
      </c>
      <c r="L707" s="41">
        <f t="shared" ref="L707:L770" si="55">Total_Revenue-COGS</f>
        <v>1104120000</v>
      </c>
      <c r="M707" s="41">
        <f t="shared" ref="M707:M770" si="56">SGAA+RandD+OOI</f>
        <v>902869000</v>
      </c>
      <c r="N707" s="41">
        <f t="shared" ref="N707:N770" si="57">Gross_Profit-Total_Operating_Expenses</f>
        <v>201251000</v>
      </c>
      <c r="O707" s="41">
        <f t="shared" ref="O707:O770" si="58">1-(Total_Operating_Expenses/Total_Revenue)</f>
        <v>0.78992503679753701</v>
      </c>
      <c r="P707" s="41">
        <f t="shared" ref="P707:P770" si="59">Operating_Profit/Total_Revenue</f>
        <v>4.682605828692632E-2</v>
      </c>
    </row>
    <row r="708" spans="1:16" ht="19.95" customHeight="1">
      <c r="A708" s="49">
        <v>733</v>
      </c>
      <c r="B708" s="50" t="s">
        <v>383</v>
      </c>
      <c r="C708" s="51" t="s">
        <v>16</v>
      </c>
      <c r="D708" s="51" t="s">
        <v>179</v>
      </c>
      <c r="E708" s="52">
        <v>5348483000</v>
      </c>
      <c r="F708" s="52">
        <v>3891816000</v>
      </c>
      <c r="G708" s="52">
        <v>1126940000</v>
      </c>
      <c r="H708" s="52" t="s">
        <v>757</v>
      </c>
      <c r="I708" s="52" t="s">
        <v>757</v>
      </c>
      <c r="J708" s="51" t="s">
        <v>24</v>
      </c>
      <c r="K708" s="51" t="s">
        <v>375</v>
      </c>
      <c r="L708" s="41">
        <f t="shared" si="55"/>
        <v>1456667000</v>
      </c>
      <c r="M708" s="41">
        <f t="shared" si="56"/>
        <v>1126940000</v>
      </c>
      <c r="N708" s="41">
        <f t="shared" si="57"/>
        <v>329727000</v>
      </c>
      <c r="O708" s="41">
        <f t="shared" si="58"/>
        <v>0.78929726428970604</v>
      </c>
      <c r="P708" s="41">
        <f t="shared" si="59"/>
        <v>6.1648695527311205E-2</v>
      </c>
    </row>
    <row r="709" spans="1:16" ht="19.95" customHeight="1">
      <c r="A709" s="49">
        <v>734</v>
      </c>
      <c r="B709" s="50" t="s">
        <v>383</v>
      </c>
      <c r="C709" s="51" t="s">
        <v>18</v>
      </c>
      <c r="D709" s="51" t="s">
        <v>180</v>
      </c>
      <c r="E709" s="52">
        <v>6155297000</v>
      </c>
      <c r="F709" s="52">
        <v>4338193000</v>
      </c>
      <c r="G709" s="52">
        <v>1347510000</v>
      </c>
      <c r="H709" s="52" t="s">
        <v>757</v>
      </c>
      <c r="I709" s="52" t="s">
        <v>757</v>
      </c>
      <c r="J709" s="51" t="s">
        <v>24</v>
      </c>
      <c r="K709" s="51" t="s">
        <v>375</v>
      </c>
      <c r="L709" s="41">
        <f t="shared" si="55"/>
        <v>1817104000</v>
      </c>
      <c r="M709" s="41">
        <f t="shared" si="56"/>
        <v>1347510000</v>
      </c>
      <c r="N709" s="41">
        <f t="shared" si="57"/>
        <v>469594000</v>
      </c>
      <c r="O709" s="41">
        <f t="shared" si="58"/>
        <v>0.78108123783466499</v>
      </c>
      <c r="P709" s="41">
        <f t="shared" si="59"/>
        <v>7.6291038434051189E-2</v>
      </c>
    </row>
    <row r="710" spans="1:16" ht="19.95" customHeight="1">
      <c r="A710" s="49">
        <v>735</v>
      </c>
      <c r="B710" s="50" t="s">
        <v>383</v>
      </c>
      <c r="C710" s="51" t="s">
        <v>20</v>
      </c>
      <c r="D710" s="51" t="s">
        <v>181</v>
      </c>
      <c r="E710" s="52">
        <v>6911676000</v>
      </c>
      <c r="F710" s="52">
        <v>4818585000</v>
      </c>
      <c r="G710" s="52">
        <v>1513064000</v>
      </c>
      <c r="H710" s="52" t="s">
        <v>757</v>
      </c>
      <c r="I710" s="52" t="s">
        <v>757</v>
      </c>
      <c r="J710" s="51" t="s">
        <v>24</v>
      </c>
      <c r="K710" s="51" t="s">
        <v>375</v>
      </c>
      <c r="L710" s="41">
        <f t="shared" si="55"/>
        <v>2093091000</v>
      </c>
      <c r="M710" s="41">
        <f t="shared" si="56"/>
        <v>1513064000</v>
      </c>
      <c r="N710" s="41">
        <f t="shared" si="57"/>
        <v>580027000</v>
      </c>
      <c r="O710" s="41">
        <f t="shared" si="58"/>
        <v>0.7810858032118404</v>
      </c>
      <c r="P710" s="41">
        <f t="shared" si="59"/>
        <v>8.3919877031272877E-2</v>
      </c>
    </row>
    <row r="711" spans="1:16" ht="19.95" customHeight="1">
      <c r="A711" s="49">
        <v>736</v>
      </c>
      <c r="B711" s="50" t="s">
        <v>384</v>
      </c>
      <c r="C711" s="51" t="s">
        <v>11</v>
      </c>
      <c r="D711" s="51" t="s">
        <v>12</v>
      </c>
      <c r="E711" s="52">
        <v>4088983000</v>
      </c>
      <c r="F711" s="52">
        <v>1671980000</v>
      </c>
      <c r="G711" s="52">
        <v>1269586000</v>
      </c>
      <c r="H711" s="52">
        <v>201197000</v>
      </c>
      <c r="I711" s="52">
        <v>92369000</v>
      </c>
      <c r="J711" s="51" t="s">
        <v>24</v>
      </c>
      <c r="K711" s="51" t="s">
        <v>385</v>
      </c>
      <c r="L711" s="41">
        <f t="shared" si="55"/>
        <v>2417003000</v>
      </c>
      <c r="M711" s="41">
        <f t="shared" si="56"/>
        <v>1563152000</v>
      </c>
      <c r="N711" s="41">
        <f t="shared" si="57"/>
        <v>853851000</v>
      </c>
      <c r="O711" s="41">
        <f t="shared" si="58"/>
        <v>0.61771619006486456</v>
      </c>
      <c r="P711" s="41">
        <f t="shared" si="59"/>
        <v>0.20881744922881801</v>
      </c>
    </row>
    <row r="712" spans="1:16" ht="19.95" customHeight="1">
      <c r="A712" s="49">
        <v>737</v>
      </c>
      <c r="B712" s="50" t="s">
        <v>384</v>
      </c>
      <c r="C712" s="51" t="s">
        <v>16</v>
      </c>
      <c r="D712" s="51" t="s">
        <v>386</v>
      </c>
      <c r="E712" s="52">
        <v>4082157000</v>
      </c>
      <c r="F712" s="52">
        <v>1672901000</v>
      </c>
      <c r="G712" s="52">
        <v>1269777000</v>
      </c>
      <c r="H712" s="52">
        <v>207591000</v>
      </c>
      <c r="I712" s="52">
        <v>125876000</v>
      </c>
      <c r="J712" s="51" t="s">
        <v>24</v>
      </c>
      <c r="K712" s="51" t="s">
        <v>385</v>
      </c>
      <c r="L712" s="41">
        <f t="shared" si="55"/>
        <v>2409256000</v>
      </c>
      <c r="M712" s="41">
        <f t="shared" si="56"/>
        <v>1603244000</v>
      </c>
      <c r="N712" s="41">
        <f t="shared" si="57"/>
        <v>806012000</v>
      </c>
      <c r="O712" s="41">
        <f t="shared" si="58"/>
        <v>0.60725567389985247</v>
      </c>
      <c r="P712" s="41">
        <f t="shared" si="59"/>
        <v>0.19744757489729081</v>
      </c>
    </row>
    <row r="713" spans="1:16" ht="19.95" customHeight="1">
      <c r="A713" s="49">
        <v>738</v>
      </c>
      <c r="B713" s="50" t="s">
        <v>384</v>
      </c>
      <c r="C713" s="51" t="s">
        <v>18</v>
      </c>
      <c r="D713" s="51" t="s">
        <v>387</v>
      </c>
      <c r="E713" s="52">
        <v>4277207000</v>
      </c>
      <c r="F713" s="52">
        <v>1698372000</v>
      </c>
      <c r="G713" s="52">
        <v>1315793000</v>
      </c>
      <c r="H713" s="52">
        <v>222556000</v>
      </c>
      <c r="I713" s="52">
        <v>99794000</v>
      </c>
      <c r="J713" s="51" t="s">
        <v>24</v>
      </c>
      <c r="K713" s="51" t="s">
        <v>385</v>
      </c>
      <c r="L713" s="41">
        <f t="shared" si="55"/>
        <v>2578835000</v>
      </c>
      <c r="M713" s="41">
        <f t="shared" si="56"/>
        <v>1638143000</v>
      </c>
      <c r="N713" s="41">
        <f t="shared" si="57"/>
        <v>940692000</v>
      </c>
      <c r="O713" s="41">
        <f t="shared" si="58"/>
        <v>0.61700637822766113</v>
      </c>
      <c r="P713" s="41">
        <f t="shared" si="59"/>
        <v>0.21993137110268454</v>
      </c>
    </row>
    <row r="714" spans="1:16" ht="19.95" customHeight="1">
      <c r="A714" s="49">
        <v>739</v>
      </c>
      <c r="B714" s="50" t="s">
        <v>384</v>
      </c>
      <c r="C714" s="51" t="s">
        <v>20</v>
      </c>
      <c r="D714" s="51" t="s">
        <v>388</v>
      </c>
      <c r="E714" s="52">
        <v>4447509000</v>
      </c>
      <c r="F714" s="52">
        <v>1677033000</v>
      </c>
      <c r="G714" s="52">
        <v>1370183000</v>
      </c>
      <c r="H714" s="52">
        <v>242944000</v>
      </c>
      <c r="I714" s="52">
        <v>86171000</v>
      </c>
      <c r="J714" s="51" t="s">
        <v>24</v>
      </c>
      <c r="K714" s="51" t="s">
        <v>385</v>
      </c>
      <c r="L714" s="41">
        <f t="shared" si="55"/>
        <v>2770476000</v>
      </c>
      <c r="M714" s="41">
        <f t="shared" si="56"/>
        <v>1699298000</v>
      </c>
      <c r="N714" s="41">
        <f t="shared" si="57"/>
        <v>1071178000</v>
      </c>
      <c r="O714" s="41">
        <f t="shared" si="58"/>
        <v>0.61792140274477236</v>
      </c>
      <c r="P714" s="41">
        <f t="shared" si="59"/>
        <v>0.24084897860802529</v>
      </c>
    </row>
    <row r="715" spans="1:16" ht="19.95" customHeight="1">
      <c r="A715" s="49">
        <v>740</v>
      </c>
      <c r="B715" s="50" t="s">
        <v>389</v>
      </c>
      <c r="C715" s="51" t="s">
        <v>11</v>
      </c>
      <c r="D715" s="51" t="s">
        <v>12</v>
      </c>
      <c r="E715" s="52">
        <v>3036584000</v>
      </c>
      <c r="F715" s="52">
        <v>162167000</v>
      </c>
      <c r="G715" s="52">
        <v>1789327000</v>
      </c>
      <c r="H715" s="52" t="s">
        <v>757</v>
      </c>
      <c r="I715" s="52">
        <v>193937000</v>
      </c>
      <c r="J715" s="51" t="s">
        <v>75</v>
      </c>
      <c r="K715" s="51" t="s">
        <v>146</v>
      </c>
      <c r="L715" s="41">
        <f t="shared" si="55"/>
        <v>2874417000</v>
      </c>
      <c r="M715" s="41">
        <f t="shared" si="56"/>
        <v>1983264000</v>
      </c>
      <c r="N715" s="41">
        <f t="shared" si="57"/>
        <v>891153000</v>
      </c>
      <c r="O715" s="41">
        <f t="shared" si="58"/>
        <v>0.34687662188827972</v>
      </c>
      <c r="P715" s="41">
        <f t="shared" si="59"/>
        <v>0.29347220429271842</v>
      </c>
    </row>
    <row r="716" spans="1:16" ht="19.95" customHeight="1">
      <c r="A716" s="53">
        <v>741</v>
      </c>
      <c r="B716" s="54" t="s">
        <v>389</v>
      </c>
      <c r="C716" s="55" t="s">
        <v>16</v>
      </c>
      <c r="D716" s="55" t="s">
        <v>17</v>
      </c>
      <c r="E716" s="56">
        <v>2872833000</v>
      </c>
      <c r="F716" s="56">
        <v>116241000</v>
      </c>
      <c r="G716" s="56">
        <v>1716639000</v>
      </c>
      <c r="H716" s="56" t="s">
        <v>757</v>
      </c>
      <c r="I716" s="56">
        <v>131409000</v>
      </c>
      <c r="J716" s="55" t="s">
        <v>75</v>
      </c>
      <c r="K716" s="55" t="s">
        <v>146</v>
      </c>
      <c r="L716" s="57">
        <f t="shared" si="55"/>
        <v>2756592000</v>
      </c>
      <c r="M716" s="57">
        <f t="shared" si="56"/>
        <v>1848048000</v>
      </c>
      <c r="N716" s="57">
        <f t="shared" si="57"/>
        <v>908544000</v>
      </c>
      <c r="O716" s="57">
        <f t="shared" si="58"/>
        <v>0.35671582719914452</v>
      </c>
      <c r="P716" s="57">
        <f t="shared" si="59"/>
        <v>0.31625367711941488</v>
      </c>
    </row>
    <row r="717" spans="1:16" ht="19.95" customHeight="1">
      <c r="A717" s="49">
        <v>742</v>
      </c>
      <c r="B717" s="50" t="s">
        <v>389</v>
      </c>
      <c r="C717" s="51" t="s">
        <v>18</v>
      </c>
      <c r="D717" s="51" t="s">
        <v>19</v>
      </c>
      <c r="E717" s="52">
        <v>2955641000</v>
      </c>
      <c r="F717" s="52">
        <v>86453000</v>
      </c>
      <c r="G717" s="52">
        <v>1843069000</v>
      </c>
      <c r="H717" s="52" t="s">
        <v>757</v>
      </c>
      <c r="I717" s="52">
        <v>120266000</v>
      </c>
      <c r="J717" s="51" t="s">
        <v>75</v>
      </c>
      <c r="K717" s="51" t="s">
        <v>146</v>
      </c>
      <c r="L717" s="41">
        <f t="shared" si="55"/>
        <v>2869188000</v>
      </c>
      <c r="M717" s="41">
        <f t="shared" si="56"/>
        <v>1963335000</v>
      </c>
      <c r="N717" s="41">
        <f t="shared" si="57"/>
        <v>905853000</v>
      </c>
      <c r="O717" s="41">
        <f t="shared" si="58"/>
        <v>0.33573292561579704</v>
      </c>
      <c r="P717" s="41">
        <f t="shared" si="59"/>
        <v>0.30648275619400328</v>
      </c>
    </row>
    <row r="718" spans="1:16" ht="19.95" customHeight="1">
      <c r="A718" s="49">
        <v>743</v>
      </c>
      <c r="B718" s="50" t="s">
        <v>389</v>
      </c>
      <c r="C718" s="51" t="s">
        <v>20</v>
      </c>
      <c r="D718" s="51" t="s">
        <v>21</v>
      </c>
      <c r="E718" s="52">
        <v>3153251000</v>
      </c>
      <c r="F718" s="52">
        <v>82175000</v>
      </c>
      <c r="G718" s="52">
        <v>1948041000</v>
      </c>
      <c r="H718" s="52" t="s">
        <v>757</v>
      </c>
      <c r="I718" s="52">
        <v>127821000</v>
      </c>
      <c r="J718" s="51" t="s">
        <v>75</v>
      </c>
      <c r="K718" s="51" t="s">
        <v>146</v>
      </c>
      <c r="L718" s="41">
        <f t="shared" si="55"/>
        <v>3071076000</v>
      </c>
      <c r="M718" s="41">
        <f t="shared" si="56"/>
        <v>2075862000</v>
      </c>
      <c r="N718" s="41">
        <f t="shared" si="57"/>
        <v>995214000</v>
      </c>
      <c r="O718" s="41">
        <f t="shared" si="58"/>
        <v>0.34167562303159504</v>
      </c>
      <c r="P718" s="41">
        <f t="shared" si="59"/>
        <v>0.31561521743749549</v>
      </c>
    </row>
    <row r="719" spans="1:16" ht="19.95" customHeight="1">
      <c r="A719" s="49">
        <v>744</v>
      </c>
      <c r="B719" s="50" t="s">
        <v>390</v>
      </c>
      <c r="C719" s="51" t="s">
        <v>11</v>
      </c>
      <c r="D719" s="51" t="s">
        <v>26</v>
      </c>
      <c r="E719" s="52">
        <v>4627802000</v>
      </c>
      <c r="F719" s="52">
        <v>3016109000</v>
      </c>
      <c r="G719" s="52">
        <v>1096507000</v>
      </c>
      <c r="H719" s="52" t="s">
        <v>757</v>
      </c>
      <c r="I719" s="52" t="s">
        <v>757</v>
      </c>
      <c r="J719" s="51" t="s">
        <v>24</v>
      </c>
      <c r="K719" s="51" t="s">
        <v>391</v>
      </c>
      <c r="L719" s="41">
        <f t="shared" si="55"/>
        <v>1611693000</v>
      </c>
      <c r="M719" s="41">
        <f t="shared" si="56"/>
        <v>1096507000</v>
      </c>
      <c r="N719" s="41">
        <f t="shared" si="57"/>
        <v>515186000</v>
      </c>
      <c r="O719" s="41">
        <f t="shared" si="58"/>
        <v>0.76306095204591728</v>
      </c>
      <c r="P719" s="41">
        <f t="shared" si="59"/>
        <v>0.11132412320146799</v>
      </c>
    </row>
    <row r="720" spans="1:16" ht="19.95" customHeight="1">
      <c r="A720" s="49">
        <v>745</v>
      </c>
      <c r="B720" s="50" t="s">
        <v>390</v>
      </c>
      <c r="C720" s="51" t="s">
        <v>16</v>
      </c>
      <c r="D720" s="51" t="s">
        <v>27</v>
      </c>
      <c r="E720" s="52">
        <v>5324746000</v>
      </c>
      <c r="F720" s="52">
        <v>3420339000</v>
      </c>
      <c r="G720" s="52">
        <v>1340453000</v>
      </c>
      <c r="H720" s="52" t="s">
        <v>757</v>
      </c>
      <c r="I720" s="52" t="s">
        <v>757</v>
      </c>
      <c r="J720" s="51" t="s">
        <v>24</v>
      </c>
      <c r="K720" s="51" t="s">
        <v>391</v>
      </c>
      <c r="L720" s="41">
        <f t="shared" si="55"/>
        <v>1904407000</v>
      </c>
      <c r="M720" s="41">
        <f t="shared" si="56"/>
        <v>1340453000</v>
      </c>
      <c r="N720" s="41">
        <f t="shared" si="57"/>
        <v>563954000</v>
      </c>
      <c r="O720" s="41">
        <f t="shared" si="58"/>
        <v>0.74825972919647254</v>
      </c>
      <c r="P720" s="41">
        <f t="shared" si="59"/>
        <v>0.10591190640830567</v>
      </c>
    </row>
    <row r="721" spans="1:16" ht="19.95" customHeight="1">
      <c r="A721" s="49">
        <v>746</v>
      </c>
      <c r="B721" s="50" t="s">
        <v>390</v>
      </c>
      <c r="C721" s="51" t="s">
        <v>18</v>
      </c>
      <c r="D721" s="51" t="s">
        <v>28</v>
      </c>
      <c r="E721" s="52">
        <v>5731549000</v>
      </c>
      <c r="F721" s="52">
        <v>3595217000</v>
      </c>
      <c r="G721" s="52">
        <v>1541214000</v>
      </c>
      <c r="H721" s="52" t="s">
        <v>757</v>
      </c>
      <c r="I721" s="52" t="s">
        <v>757</v>
      </c>
      <c r="J721" s="51" t="s">
        <v>24</v>
      </c>
      <c r="K721" s="51" t="s">
        <v>391</v>
      </c>
      <c r="L721" s="41">
        <f t="shared" si="55"/>
        <v>2136332000</v>
      </c>
      <c r="M721" s="41">
        <f t="shared" si="56"/>
        <v>1541214000</v>
      </c>
      <c r="N721" s="41">
        <f t="shared" si="57"/>
        <v>595118000</v>
      </c>
      <c r="O721" s="41">
        <f t="shared" si="58"/>
        <v>0.73109991731729074</v>
      </c>
      <c r="P721" s="41">
        <f t="shared" si="59"/>
        <v>0.10383196584378848</v>
      </c>
    </row>
    <row r="722" spans="1:16" ht="19.95" customHeight="1">
      <c r="A722" s="49">
        <v>747</v>
      </c>
      <c r="B722" s="50" t="s">
        <v>390</v>
      </c>
      <c r="C722" s="51" t="s">
        <v>20</v>
      </c>
      <c r="D722" s="51" t="s">
        <v>84</v>
      </c>
      <c r="E722" s="52">
        <v>6028199000</v>
      </c>
      <c r="F722" s="52">
        <v>3752151000</v>
      </c>
      <c r="G722" s="52">
        <v>1500399000</v>
      </c>
      <c r="H722" s="52" t="s">
        <v>757</v>
      </c>
      <c r="I722" s="52" t="s">
        <v>757</v>
      </c>
      <c r="J722" s="51" t="s">
        <v>24</v>
      </c>
      <c r="K722" s="51" t="s">
        <v>391</v>
      </c>
      <c r="L722" s="41">
        <f t="shared" si="55"/>
        <v>2276048000</v>
      </c>
      <c r="M722" s="41">
        <f t="shared" si="56"/>
        <v>1500399000</v>
      </c>
      <c r="N722" s="41">
        <f t="shared" si="57"/>
        <v>775649000</v>
      </c>
      <c r="O722" s="41">
        <f t="shared" si="58"/>
        <v>0.75110327313348479</v>
      </c>
      <c r="P722" s="41">
        <f t="shared" si="59"/>
        <v>0.12867010528351835</v>
      </c>
    </row>
    <row r="723" spans="1:16" ht="19.95" customHeight="1">
      <c r="A723" s="49">
        <v>748</v>
      </c>
      <c r="B723" s="50" t="s">
        <v>392</v>
      </c>
      <c r="C723" s="51" t="s">
        <v>11</v>
      </c>
      <c r="D723" s="51" t="s">
        <v>12</v>
      </c>
      <c r="E723" s="52">
        <v>33013000000</v>
      </c>
      <c r="F723" s="52">
        <v>5717000000</v>
      </c>
      <c r="G723" s="52">
        <v>20801000000</v>
      </c>
      <c r="H723" s="52" t="s">
        <v>757</v>
      </c>
      <c r="I723" s="52">
        <v>1679000000</v>
      </c>
      <c r="J723" s="51" t="s">
        <v>37</v>
      </c>
      <c r="K723" s="51" t="s">
        <v>289</v>
      </c>
      <c r="L723" s="41">
        <f t="shared" si="55"/>
        <v>27296000000</v>
      </c>
      <c r="M723" s="41">
        <f t="shared" si="56"/>
        <v>22480000000</v>
      </c>
      <c r="N723" s="41">
        <f t="shared" si="57"/>
        <v>4816000000</v>
      </c>
      <c r="O723" s="41">
        <f t="shared" si="58"/>
        <v>0.31905612940356831</v>
      </c>
      <c r="P723" s="41">
        <f t="shared" si="59"/>
        <v>0.14588192530215369</v>
      </c>
    </row>
    <row r="724" spans="1:16" ht="19.95" customHeight="1">
      <c r="A724" s="49">
        <v>749</v>
      </c>
      <c r="B724" s="50" t="s">
        <v>392</v>
      </c>
      <c r="C724" s="51" t="s">
        <v>16</v>
      </c>
      <c r="D724" s="51" t="s">
        <v>17</v>
      </c>
      <c r="E724" s="52">
        <v>34182000000</v>
      </c>
      <c r="F724" s="52">
        <v>5970000000</v>
      </c>
      <c r="G724" s="52">
        <v>21667000000</v>
      </c>
      <c r="H724" s="52" t="s">
        <v>757</v>
      </c>
      <c r="I724" s="52">
        <v>1753000000</v>
      </c>
      <c r="J724" s="51" t="s">
        <v>37</v>
      </c>
      <c r="K724" s="51" t="s">
        <v>289</v>
      </c>
      <c r="L724" s="41">
        <f t="shared" si="55"/>
        <v>28212000000</v>
      </c>
      <c r="M724" s="41">
        <f t="shared" si="56"/>
        <v>23420000000</v>
      </c>
      <c r="N724" s="41">
        <f t="shared" si="57"/>
        <v>4792000000</v>
      </c>
      <c r="O724" s="41">
        <f t="shared" si="58"/>
        <v>0.31484406997835113</v>
      </c>
      <c r="P724" s="41">
        <f t="shared" si="59"/>
        <v>0.14019074366625708</v>
      </c>
    </row>
    <row r="725" spans="1:16" ht="19.95" customHeight="1">
      <c r="A725" s="49">
        <v>750</v>
      </c>
      <c r="B725" s="50" t="s">
        <v>392</v>
      </c>
      <c r="C725" s="51" t="s">
        <v>18</v>
      </c>
      <c r="D725" s="51" t="s">
        <v>19</v>
      </c>
      <c r="E725" s="52">
        <v>36918000000</v>
      </c>
      <c r="F725" s="52">
        <v>6262000000</v>
      </c>
      <c r="G725" s="52">
        <v>23271000000</v>
      </c>
      <c r="H725" s="52" t="s">
        <v>757</v>
      </c>
      <c r="I725" s="52">
        <v>1820000000</v>
      </c>
      <c r="J725" s="51" t="s">
        <v>37</v>
      </c>
      <c r="K725" s="51" t="s">
        <v>289</v>
      </c>
      <c r="L725" s="41">
        <f t="shared" si="55"/>
        <v>30656000000</v>
      </c>
      <c r="M725" s="41">
        <f t="shared" si="56"/>
        <v>25091000000</v>
      </c>
      <c r="N725" s="41">
        <f t="shared" si="57"/>
        <v>5565000000</v>
      </c>
      <c r="O725" s="41">
        <f t="shared" si="58"/>
        <v>0.32035863264532205</v>
      </c>
      <c r="P725" s="41">
        <f t="shared" si="59"/>
        <v>0.15073947667804324</v>
      </c>
    </row>
    <row r="726" spans="1:16" ht="19.95" customHeight="1">
      <c r="A726" s="49">
        <v>751</v>
      </c>
      <c r="B726" s="50" t="s">
        <v>392</v>
      </c>
      <c r="C726" s="51" t="s">
        <v>20</v>
      </c>
      <c r="D726" s="51" t="s">
        <v>21</v>
      </c>
      <c r="E726" s="52">
        <v>39678000000</v>
      </c>
      <c r="F726" s="52">
        <v>6638000000</v>
      </c>
      <c r="G726" s="52">
        <v>25171000000</v>
      </c>
      <c r="H726" s="52" t="s">
        <v>757</v>
      </c>
      <c r="I726" s="52">
        <v>1904000000</v>
      </c>
      <c r="J726" s="51" t="s">
        <v>37</v>
      </c>
      <c r="K726" s="51" t="s">
        <v>289</v>
      </c>
      <c r="L726" s="41">
        <f t="shared" si="55"/>
        <v>33040000000</v>
      </c>
      <c r="M726" s="41">
        <f t="shared" si="56"/>
        <v>27075000000</v>
      </c>
      <c r="N726" s="41">
        <f t="shared" si="57"/>
        <v>5965000000</v>
      </c>
      <c r="O726" s="41">
        <f t="shared" si="58"/>
        <v>0.31763193709360349</v>
      </c>
      <c r="P726" s="41">
        <f t="shared" si="59"/>
        <v>0.15033519834669087</v>
      </c>
    </row>
    <row r="727" spans="1:16" ht="19.95" customHeight="1">
      <c r="A727" s="49">
        <v>752</v>
      </c>
      <c r="B727" s="50" t="s">
        <v>393</v>
      </c>
      <c r="C727" s="51" t="s">
        <v>11</v>
      </c>
      <c r="D727" s="51" t="s">
        <v>12</v>
      </c>
      <c r="E727" s="52">
        <v>1765979000</v>
      </c>
      <c r="F727" s="52">
        <v>567989000</v>
      </c>
      <c r="G727" s="52">
        <v>158950000</v>
      </c>
      <c r="H727" s="52" t="s">
        <v>757</v>
      </c>
      <c r="I727" s="52">
        <v>506220000</v>
      </c>
      <c r="J727" s="51" t="s">
        <v>80</v>
      </c>
      <c r="K727" s="51" t="s">
        <v>81</v>
      </c>
      <c r="L727" s="41">
        <f t="shared" si="55"/>
        <v>1197990000</v>
      </c>
      <c r="M727" s="41">
        <f t="shared" si="56"/>
        <v>665170000</v>
      </c>
      <c r="N727" s="41">
        <f t="shared" si="57"/>
        <v>532820000</v>
      </c>
      <c r="O727" s="41">
        <f t="shared" si="58"/>
        <v>0.62334206692152061</v>
      </c>
      <c r="P727" s="41">
        <f t="shared" si="59"/>
        <v>0.30171366703681074</v>
      </c>
    </row>
    <row r="728" spans="1:16" ht="19.95" customHeight="1">
      <c r="A728" s="49">
        <v>753</v>
      </c>
      <c r="B728" s="50" t="s">
        <v>393</v>
      </c>
      <c r="C728" s="51" t="s">
        <v>16</v>
      </c>
      <c r="D728" s="51" t="s">
        <v>17</v>
      </c>
      <c r="E728" s="52">
        <v>2847945000</v>
      </c>
      <c r="F728" s="52">
        <v>1206813000</v>
      </c>
      <c r="G728" s="52">
        <v>241719000</v>
      </c>
      <c r="H728" s="52" t="s">
        <v>757</v>
      </c>
      <c r="I728" s="52">
        <v>865800000</v>
      </c>
      <c r="J728" s="51" t="s">
        <v>80</v>
      </c>
      <c r="K728" s="51" t="s">
        <v>81</v>
      </c>
      <c r="L728" s="41">
        <f t="shared" si="55"/>
        <v>1641132000</v>
      </c>
      <c r="M728" s="41">
        <f t="shared" si="56"/>
        <v>1107519000</v>
      </c>
      <c r="N728" s="41">
        <f t="shared" si="57"/>
        <v>533613000</v>
      </c>
      <c r="O728" s="41">
        <f t="shared" si="58"/>
        <v>0.61111643658848747</v>
      </c>
      <c r="P728" s="41">
        <f t="shared" si="59"/>
        <v>0.18736773357631556</v>
      </c>
    </row>
    <row r="729" spans="1:16" ht="19.95" customHeight="1">
      <c r="A729" s="49">
        <v>754</v>
      </c>
      <c r="B729" s="50" t="s">
        <v>393</v>
      </c>
      <c r="C729" s="51" t="s">
        <v>18</v>
      </c>
      <c r="D729" s="51" t="s">
        <v>19</v>
      </c>
      <c r="E729" s="52">
        <v>3305879000</v>
      </c>
      <c r="F729" s="52">
        <v>1403358000</v>
      </c>
      <c r="G729" s="52">
        <v>212481000</v>
      </c>
      <c r="H729" s="52" t="s">
        <v>757</v>
      </c>
      <c r="I729" s="52">
        <v>844130000</v>
      </c>
      <c r="J729" s="51" t="s">
        <v>80</v>
      </c>
      <c r="K729" s="51" t="s">
        <v>81</v>
      </c>
      <c r="L729" s="41">
        <f t="shared" si="55"/>
        <v>1902521000</v>
      </c>
      <c r="M729" s="41">
        <f t="shared" si="56"/>
        <v>1056611000</v>
      </c>
      <c r="N729" s="41">
        <f t="shared" si="57"/>
        <v>845910000</v>
      </c>
      <c r="O729" s="41">
        <f t="shared" si="58"/>
        <v>0.68038424878829495</v>
      </c>
      <c r="P729" s="41">
        <f t="shared" si="59"/>
        <v>0.25588050863325607</v>
      </c>
    </row>
    <row r="730" spans="1:16" ht="19.95" customHeight="1">
      <c r="A730" s="49">
        <v>755</v>
      </c>
      <c r="B730" s="50" t="s">
        <v>393</v>
      </c>
      <c r="C730" s="51" t="s">
        <v>20</v>
      </c>
      <c r="D730" s="51" t="s">
        <v>21</v>
      </c>
      <c r="E730" s="52">
        <v>3775685000</v>
      </c>
      <c r="F730" s="52">
        <v>1622257000</v>
      </c>
      <c r="G730" s="52">
        <v>258342000</v>
      </c>
      <c r="H730" s="52" t="s">
        <v>757</v>
      </c>
      <c r="I730" s="52">
        <v>826240000</v>
      </c>
      <c r="J730" s="51" t="s">
        <v>80</v>
      </c>
      <c r="K730" s="51" t="s">
        <v>81</v>
      </c>
      <c r="L730" s="41">
        <f t="shared" si="55"/>
        <v>2153428000</v>
      </c>
      <c r="M730" s="41">
        <f t="shared" si="56"/>
        <v>1084582000</v>
      </c>
      <c r="N730" s="41">
        <f t="shared" si="57"/>
        <v>1068846000</v>
      </c>
      <c r="O730" s="41">
        <f t="shared" si="58"/>
        <v>0.71274563423590687</v>
      </c>
      <c r="P730" s="41">
        <f t="shared" si="59"/>
        <v>0.28308664520477739</v>
      </c>
    </row>
    <row r="731" spans="1:16" ht="19.95" customHeight="1">
      <c r="A731" s="49">
        <v>756</v>
      </c>
      <c r="B731" s="50" t="s">
        <v>394</v>
      </c>
      <c r="C731" s="51" t="s">
        <v>11</v>
      </c>
      <c r="D731" s="51" t="s">
        <v>17</v>
      </c>
      <c r="E731" s="52">
        <v>2013719000</v>
      </c>
      <c r="F731" s="52" t="s">
        <v>757</v>
      </c>
      <c r="G731" s="52">
        <v>401324000</v>
      </c>
      <c r="H731" s="52" t="s">
        <v>757</v>
      </c>
      <c r="I731" s="52">
        <v>423312000</v>
      </c>
      <c r="J731" s="51" t="s">
        <v>80</v>
      </c>
      <c r="K731" s="51" t="s">
        <v>81</v>
      </c>
      <c r="L731" s="41">
        <f t="shared" si="55"/>
        <v>2013719000</v>
      </c>
      <c r="M731" s="41">
        <f t="shared" si="56"/>
        <v>824636000</v>
      </c>
      <c r="N731" s="41">
        <f t="shared" si="57"/>
        <v>1189083000</v>
      </c>
      <c r="O731" s="41">
        <f t="shared" si="58"/>
        <v>0.59049102680165411</v>
      </c>
      <c r="P731" s="41">
        <f t="shared" si="59"/>
        <v>0.59049102680165411</v>
      </c>
    </row>
    <row r="732" spans="1:16" ht="19.95" customHeight="1">
      <c r="A732" s="49">
        <v>757</v>
      </c>
      <c r="B732" s="50" t="s">
        <v>394</v>
      </c>
      <c r="C732" s="51" t="s">
        <v>16</v>
      </c>
      <c r="D732" s="51" t="s">
        <v>19</v>
      </c>
      <c r="E732" s="52">
        <v>1563210000</v>
      </c>
      <c r="F732" s="52" t="s">
        <v>757</v>
      </c>
      <c r="G732" s="52">
        <v>463059000</v>
      </c>
      <c r="H732" s="52" t="s">
        <v>757</v>
      </c>
      <c r="I732" s="52">
        <v>455016000</v>
      </c>
      <c r="J732" s="51" t="s">
        <v>80</v>
      </c>
      <c r="K732" s="51" t="s">
        <v>81</v>
      </c>
      <c r="L732" s="41">
        <f t="shared" si="55"/>
        <v>1563210000</v>
      </c>
      <c r="M732" s="41">
        <f t="shared" si="56"/>
        <v>918075000</v>
      </c>
      <c r="N732" s="41">
        <f t="shared" si="57"/>
        <v>645135000</v>
      </c>
      <c r="O732" s="41">
        <f t="shared" si="58"/>
        <v>0.41269886963363844</v>
      </c>
      <c r="P732" s="41">
        <f t="shared" si="59"/>
        <v>0.4126988696336385</v>
      </c>
    </row>
    <row r="733" spans="1:16" ht="19.95" customHeight="1">
      <c r="A733" s="49">
        <v>758</v>
      </c>
      <c r="B733" s="50" t="s">
        <v>394</v>
      </c>
      <c r="C733" s="51" t="s">
        <v>18</v>
      </c>
      <c r="D733" s="51" t="s">
        <v>21</v>
      </c>
      <c r="E733" s="52">
        <v>1828305000</v>
      </c>
      <c r="F733" s="52" t="s">
        <v>757</v>
      </c>
      <c r="G733" s="52">
        <v>706644000</v>
      </c>
      <c r="H733" s="52" t="s">
        <v>757</v>
      </c>
      <c r="I733" s="52">
        <v>504905000</v>
      </c>
      <c r="J733" s="51" t="s">
        <v>80</v>
      </c>
      <c r="K733" s="51" t="s">
        <v>81</v>
      </c>
      <c r="L733" s="41">
        <f t="shared" si="55"/>
        <v>1828305000</v>
      </c>
      <c r="M733" s="41">
        <f t="shared" si="56"/>
        <v>1211549000</v>
      </c>
      <c r="N733" s="41">
        <f t="shared" si="57"/>
        <v>616756000</v>
      </c>
      <c r="O733" s="41">
        <f t="shared" si="58"/>
        <v>0.33733758864084495</v>
      </c>
      <c r="P733" s="41">
        <f t="shared" si="59"/>
        <v>0.33733758864084495</v>
      </c>
    </row>
    <row r="734" spans="1:16" ht="19.95" customHeight="1">
      <c r="A734" s="49">
        <v>759</v>
      </c>
      <c r="B734" s="50" t="s">
        <v>394</v>
      </c>
      <c r="C734" s="51" t="s">
        <v>20</v>
      </c>
      <c r="D734" s="51" t="s">
        <v>84</v>
      </c>
      <c r="E734" s="52">
        <v>2040486000</v>
      </c>
      <c r="F734" s="52" t="s">
        <v>757</v>
      </c>
      <c r="G734" s="52">
        <v>842010000</v>
      </c>
      <c r="H734" s="52" t="s">
        <v>757</v>
      </c>
      <c r="I734" s="52">
        <v>568108000</v>
      </c>
      <c r="J734" s="51" t="s">
        <v>80</v>
      </c>
      <c r="K734" s="51" t="s">
        <v>81</v>
      </c>
      <c r="L734" s="41">
        <f t="shared" si="55"/>
        <v>2040486000</v>
      </c>
      <c r="M734" s="41">
        <f t="shared" si="56"/>
        <v>1410118000</v>
      </c>
      <c r="N734" s="41">
        <f t="shared" si="57"/>
        <v>630368000</v>
      </c>
      <c r="O734" s="41">
        <f t="shared" si="58"/>
        <v>0.30893032346215554</v>
      </c>
      <c r="P734" s="41">
        <f t="shared" si="59"/>
        <v>0.3089303234621556</v>
      </c>
    </row>
    <row r="735" spans="1:16" ht="19.95" customHeight="1">
      <c r="A735" s="49">
        <v>760</v>
      </c>
      <c r="B735" s="50" t="s">
        <v>395</v>
      </c>
      <c r="C735" s="51" t="s">
        <v>11</v>
      </c>
      <c r="D735" s="51" t="s">
        <v>396</v>
      </c>
      <c r="E735" s="52">
        <v>74754000000</v>
      </c>
      <c r="F735" s="52">
        <v>48912000000</v>
      </c>
      <c r="G735" s="52">
        <v>16508000000</v>
      </c>
      <c r="H735" s="52" t="s">
        <v>757</v>
      </c>
      <c r="I735" s="52">
        <v>1568000000</v>
      </c>
      <c r="J735" s="51" t="s">
        <v>24</v>
      </c>
      <c r="K735" s="51" t="s">
        <v>397</v>
      </c>
      <c r="L735" s="41">
        <f t="shared" si="55"/>
        <v>25842000000</v>
      </c>
      <c r="M735" s="41">
        <f t="shared" si="56"/>
        <v>18076000000</v>
      </c>
      <c r="N735" s="41">
        <f t="shared" si="57"/>
        <v>7766000000</v>
      </c>
      <c r="O735" s="41">
        <f t="shared" si="58"/>
        <v>0.75819354148272999</v>
      </c>
      <c r="P735" s="41">
        <f t="shared" si="59"/>
        <v>0.10388741739572464</v>
      </c>
    </row>
    <row r="736" spans="1:16" ht="19.95" customHeight="1">
      <c r="A736" s="49">
        <v>761</v>
      </c>
      <c r="B736" s="50" t="s">
        <v>395</v>
      </c>
      <c r="C736" s="51" t="s">
        <v>16</v>
      </c>
      <c r="D736" s="51" t="s">
        <v>398</v>
      </c>
      <c r="E736" s="52">
        <v>78812000000</v>
      </c>
      <c r="F736" s="52">
        <v>51897000000</v>
      </c>
      <c r="G736" s="52">
        <v>16122000000</v>
      </c>
      <c r="H736" s="52" t="s">
        <v>757</v>
      </c>
      <c r="I736" s="52">
        <v>1627000000</v>
      </c>
      <c r="J736" s="51" t="s">
        <v>24</v>
      </c>
      <c r="K736" s="51" t="s">
        <v>397</v>
      </c>
      <c r="L736" s="41">
        <f t="shared" si="55"/>
        <v>26915000000</v>
      </c>
      <c r="M736" s="41">
        <f t="shared" si="56"/>
        <v>17749000000</v>
      </c>
      <c r="N736" s="41">
        <f t="shared" si="57"/>
        <v>9166000000</v>
      </c>
      <c r="O736" s="41">
        <f t="shared" si="58"/>
        <v>0.77479317870375075</v>
      </c>
      <c r="P736" s="41">
        <f t="shared" si="59"/>
        <v>0.11630208597675482</v>
      </c>
    </row>
    <row r="737" spans="1:16" ht="19.95" customHeight="1">
      <c r="A737" s="49">
        <v>762</v>
      </c>
      <c r="B737" s="50" t="s">
        <v>395</v>
      </c>
      <c r="C737" s="51" t="s">
        <v>18</v>
      </c>
      <c r="D737" s="51" t="s">
        <v>399</v>
      </c>
      <c r="E737" s="52">
        <v>83176000000</v>
      </c>
      <c r="F737" s="52">
        <v>54787000000</v>
      </c>
      <c r="G737" s="52">
        <v>16280000000</v>
      </c>
      <c r="H737" s="52" t="s">
        <v>757</v>
      </c>
      <c r="I737" s="52">
        <v>1640000000</v>
      </c>
      <c r="J737" s="51" t="s">
        <v>24</v>
      </c>
      <c r="K737" s="51" t="s">
        <v>397</v>
      </c>
      <c r="L737" s="41">
        <f t="shared" si="55"/>
        <v>28389000000</v>
      </c>
      <c r="M737" s="41">
        <f t="shared" si="56"/>
        <v>17920000000</v>
      </c>
      <c r="N737" s="41">
        <f t="shared" si="57"/>
        <v>10469000000</v>
      </c>
      <c r="O737" s="41">
        <f t="shared" si="58"/>
        <v>0.78455323651053188</v>
      </c>
      <c r="P737" s="41">
        <f t="shared" si="59"/>
        <v>0.12586563431759162</v>
      </c>
    </row>
    <row r="738" spans="1:16" ht="19.95" customHeight="1">
      <c r="A738" s="49">
        <v>763</v>
      </c>
      <c r="B738" s="50" t="s">
        <v>395</v>
      </c>
      <c r="C738" s="51" t="s">
        <v>20</v>
      </c>
      <c r="D738" s="51" t="s">
        <v>68</v>
      </c>
      <c r="E738" s="52">
        <v>88519000000</v>
      </c>
      <c r="F738" s="52">
        <v>58254000000</v>
      </c>
      <c r="G738" s="52">
        <v>16801000000</v>
      </c>
      <c r="H738" s="52" t="s">
        <v>757</v>
      </c>
      <c r="I738" s="52">
        <v>1690000000</v>
      </c>
      <c r="J738" s="51" t="s">
        <v>24</v>
      </c>
      <c r="K738" s="51" t="s">
        <v>397</v>
      </c>
      <c r="L738" s="41">
        <f t="shared" si="55"/>
        <v>30265000000</v>
      </c>
      <c r="M738" s="41">
        <f t="shared" si="56"/>
        <v>18491000000</v>
      </c>
      <c r="N738" s="41">
        <f t="shared" si="57"/>
        <v>11774000000</v>
      </c>
      <c r="O738" s="41">
        <f t="shared" si="58"/>
        <v>0.79110699397869388</v>
      </c>
      <c r="P738" s="41">
        <f t="shared" si="59"/>
        <v>0.13301099199042013</v>
      </c>
    </row>
    <row r="739" spans="1:16" ht="19.95" customHeight="1">
      <c r="A739" s="49">
        <v>764</v>
      </c>
      <c r="B739" s="50" t="s">
        <v>400</v>
      </c>
      <c r="C739" s="51" t="s">
        <v>11</v>
      </c>
      <c r="D739" s="51" t="s">
        <v>12</v>
      </c>
      <c r="E739" s="52">
        <v>12245000000</v>
      </c>
      <c r="F739" s="52">
        <v>3535000000</v>
      </c>
      <c r="G739" s="52">
        <v>1126000000</v>
      </c>
      <c r="H739" s="52" t="s">
        <v>757</v>
      </c>
      <c r="I739" s="52">
        <v>2866000000</v>
      </c>
      <c r="J739" s="51" t="s">
        <v>116</v>
      </c>
      <c r="K739" s="51" t="s">
        <v>204</v>
      </c>
      <c r="L739" s="41">
        <f t="shared" si="55"/>
        <v>8710000000</v>
      </c>
      <c r="M739" s="41">
        <f t="shared" si="56"/>
        <v>3992000000</v>
      </c>
      <c r="N739" s="41">
        <f t="shared" si="57"/>
        <v>4718000000</v>
      </c>
      <c r="O739" s="41">
        <f t="shared" si="58"/>
        <v>0.67398938342180481</v>
      </c>
      <c r="P739" s="41">
        <f t="shared" si="59"/>
        <v>0.38530012249897916</v>
      </c>
    </row>
    <row r="740" spans="1:16" ht="19.95" customHeight="1">
      <c r="A740" s="53">
        <v>765</v>
      </c>
      <c r="B740" s="54" t="s">
        <v>400</v>
      </c>
      <c r="C740" s="55" t="s">
        <v>16</v>
      </c>
      <c r="D740" s="55" t="s">
        <v>17</v>
      </c>
      <c r="E740" s="56">
        <v>11905000000</v>
      </c>
      <c r="F740" s="56">
        <v>3969000000</v>
      </c>
      <c r="G740" s="56">
        <v>1045000000</v>
      </c>
      <c r="H740" s="56" t="s">
        <v>757</v>
      </c>
      <c r="I740" s="56">
        <v>2687000000</v>
      </c>
      <c r="J740" s="55" t="s">
        <v>116</v>
      </c>
      <c r="K740" s="55" t="s">
        <v>204</v>
      </c>
      <c r="L740" s="57">
        <f t="shared" si="55"/>
        <v>7936000000</v>
      </c>
      <c r="M740" s="57">
        <f t="shared" si="56"/>
        <v>3732000000</v>
      </c>
      <c r="N740" s="57">
        <f t="shared" si="57"/>
        <v>4204000000</v>
      </c>
      <c r="O740" s="57">
        <f t="shared" si="58"/>
        <v>0.68651826963460727</v>
      </c>
      <c r="P740" s="57">
        <f t="shared" si="59"/>
        <v>0.35312893742125157</v>
      </c>
    </row>
    <row r="741" spans="1:16" ht="19.95" customHeight="1">
      <c r="A741" s="49">
        <v>766</v>
      </c>
      <c r="B741" s="50" t="s">
        <v>400</v>
      </c>
      <c r="C741" s="51" t="s">
        <v>18</v>
      </c>
      <c r="D741" s="51" t="s">
        <v>19</v>
      </c>
      <c r="E741" s="52">
        <v>10737000000</v>
      </c>
      <c r="F741" s="52">
        <v>3753000000</v>
      </c>
      <c r="G741" s="52">
        <v>863000000</v>
      </c>
      <c r="H741" s="52" t="s">
        <v>757</v>
      </c>
      <c r="I741" s="52">
        <v>3224000000</v>
      </c>
      <c r="J741" s="51" t="s">
        <v>116</v>
      </c>
      <c r="K741" s="51" t="s">
        <v>204</v>
      </c>
      <c r="L741" s="41">
        <f t="shared" si="55"/>
        <v>6984000000</v>
      </c>
      <c r="M741" s="41">
        <f t="shared" si="56"/>
        <v>4087000000</v>
      </c>
      <c r="N741" s="41">
        <f t="shared" si="57"/>
        <v>2897000000</v>
      </c>
      <c r="O741" s="41">
        <f t="shared" si="58"/>
        <v>0.61935363695631929</v>
      </c>
      <c r="P741" s="41">
        <f t="shared" si="59"/>
        <v>0.26981465958833939</v>
      </c>
    </row>
    <row r="742" spans="1:16" ht="19.95" customHeight="1">
      <c r="A742" s="49">
        <v>767</v>
      </c>
      <c r="B742" s="50" t="s">
        <v>400</v>
      </c>
      <c r="C742" s="51" t="s">
        <v>20</v>
      </c>
      <c r="D742" s="51" t="s">
        <v>21</v>
      </c>
      <c r="E742" s="52">
        <v>6636000000</v>
      </c>
      <c r="F742" s="52">
        <v>3323000000</v>
      </c>
      <c r="G742" s="52">
        <v>703000000</v>
      </c>
      <c r="H742" s="52" t="s">
        <v>757</v>
      </c>
      <c r="I742" s="52">
        <v>3955000000</v>
      </c>
      <c r="J742" s="51" t="s">
        <v>116</v>
      </c>
      <c r="K742" s="51" t="s">
        <v>204</v>
      </c>
      <c r="L742" s="41">
        <f t="shared" si="55"/>
        <v>3313000000</v>
      </c>
      <c r="M742" s="41">
        <f t="shared" si="56"/>
        <v>4658000000</v>
      </c>
      <c r="N742" s="41">
        <f t="shared" si="57"/>
        <v>-1345000000</v>
      </c>
      <c r="O742" s="41">
        <f t="shared" si="58"/>
        <v>0.29807112718505124</v>
      </c>
      <c r="P742" s="41">
        <f t="shared" si="59"/>
        <v>-0.20268233875828812</v>
      </c>
    </row>
    <row r="743" spans="1:16" ht="19.95" customHeight="1">
      <c r="A743" s="49">
        <v>768</v>
      </c>
      <c r="B743" s="50" t="s">
        <v>401</v>
      </c>
      <c r="C743" s="51" t="s">
        <v>11</v>
      </c>
      <c r="D743" s="51" t="s">
        <v>12</v>
      </c>
      <c r="E743" s="52">
        <v>22086000000</v>
      </c>
      <c r="F743" s="52">
        <v>13195000000</v>
      </c>
      <c r="G743" s="52" t="s">
        <v>757</v>
      </c>
      <c r="H743" s="52" t="s">
        <v>757</v>
      </c>
      <c r="I743" s="52">
        <v>7080000000</v>
      </c>
      <c r="J743" s="51" t="s">
        <v>75</v>
      </c>
      <c r="K743" s="51" t="s">
        <v>78</v>
      </c>
      <c r="L743" s="41">
        <f t="shared" si="55"/>
        <v>8891000000</v>
      </c>
      <c r="M743" s="41">
        <f t="shared" si="56"/>
        <v>7080000000</v>
      </c>
      <c r="N743" s="41">
        <f t="shared" si="57"/>
        <v>1811000000</v>
      </c>
      <c r="O743" s="41">
        <f t="shared" si="58"/>
        <v>0.67943493615865247</v>
      </c>
      <c r="P743" s="41">
        <f t="shared" si="59"/>
        <v>8.199764556732772E-2</v>
      </c>
    </row>
    <row r="744" spans="1:16" ht="19.95" customHeight="1">
      <c r="A744" s="53">
        <v>769</v>
      </c>
      <c r="B744" s="54" t="s">
        <v>401</v>
      </c>
      <c r="C744" s="55" t="s">
        <v>16</v>
      </c>
      <c r="D744" s="55" t="s">
        <v>17</v>
      </c>
      <c r="E744" s="56">
        <v>20673000000</v>
      </c>
      <c r="F744" s="56">
        <v>11048000000</v>
      </c>
      <c r="G744" s="56" t="s">
        <v>757</v>
      </c>
      <c r="H744" s="56" t="s">
        <v>757</v>
      </c>
      <c r="I744" s="56">
        <v>5970000000</v>
      </c>
      <c r="J744" s="55" t="s">
        <v>75</v>
      </c>
      <c r="K744" s="55" t="s">
        <v>78</v>
      </c>
      <c r="L744" s="57">
        <f t="shared" si="55"/>
        <v>9625000000</v>
      </c>
      <c r="M744" s="57">
        <f t="shared" si="56"/>
        <v>5970000000</v>
      </c>
      <c r="N744" s="57">
        <f t="shared" si="57"/>
        <v>3655000000</v>
      </c>
      <c r="O744" s="57">
        <f t="shared" si="58"/>
        <v>0.71121753011173994</v>
      </c>
      <c r="P744" s="57">
        <f t="shared" si="59"/>
        <v>0.17680065786291299</v>
      </c>
    </row>
    <row r="745" spans="1:16" ht="19.95" customHeight="1">
      <c r="A745" s="49">
        <v>770</v>
      </c>
      <c r="B745" s="50" t="s">
        <v>401</v>
      </c>
      <c r="C745" s="51" t="s">
        <v>18</v>
      </c>
      <c r="D745" s="51" t="s">
        <v>19</v>
      </c>
      <c r="E745" s="52">
        <v>18614000000</v>
      </c>
      <c r="F745" s="52">
        <v>10805000000</v>
      </c>
      <c r="G745" s="52" t="s">
        <v>757</v>
      </c>
      <c r="H745" s="52" t="s">
        <v>757</v>
      </c>
      <c r="I745" s="52">
        <v>5757000000</v>
      </c>
      <c r="J745" s="51" t="s">
        <v>75</v>
      </c>
      <c r="K745" s="51" t="s">
        <v>78</v>
      </c>
      <c r="L745" s="41">
        <f t="shared" si="55"/>
        <v>7809000000</v>
      </c>
      <c r="M745" s="41">
        <f t="shared" si="56"/>
        <v>5757000000</v>
      </c>
      <c r="N745" s="41">
        <f t="shared" si="57"/>
        <v>2052000000</v>
      </c>
      <c r="O745" s="41">
        <f t="shared" si="58"/>
        <v>0.69071666487589978</v>
      </c>
      <c r="P745" s="41">
        <f t="shared" si="59"/>
        <v>0.11023960459868916</v>
      </c>
    </row>
    <row r="746" spans="1:16" ht="19.95" customHeight="1">
      <c r="A746" s="49">
        <v>771</v>
      </c>
      <c r="B746" s="50" t="s">
        <v>401</v>
      </c>
      <c r="C746" s="51" t="s">
        <v>20</v>
      </c>
      <c r="D746" s="51" t="s">
        <v>21</v>
      </c>
      <c r="E746" s="52">
        <v>18377000000</v>
      </c>
      <c r="F746" s="52">
        <v>10775000000</v>
      </c>
      <c r="G746" s="52" t="s">
        <v>757</v>
      </c>
      <c r="H746" s="52" t="s">
        <v>757</v>
      </c>
      <c r="I746" s="52">
        <v>5274000000</v>
      </c>
      <c r="J746" s="51" t="s">
        <v>75</v>
      </c>
      <c r="K746" s="51" t="s">
        <v>78</v>
      </c>
      <c r="L746" s="41">
        <f t="shared" si="55"/>
        <v>7602000000</v>
      </c>
      <c r="M746" s="41">
        <f t="shared" si="56"/>
        <v>5274000000</v>
      </c>
      <c r="N746" s="41">
        <f t="shared" si="57"/>
        <v>2328000000</v>
      </c>
      <c r="O746" s="41">
        <f t="shared" si="58"/>
        <v>0.71301082875333299</v>
      </c>
      <c r="P746" s="41">
        <f t="shared" si="59"/>
        <v>0.12668008924198726</v>
      </c>
    </row>
    <row r="747" spans="1:16" ht="19.95" customHeight="1">
      <c r="A747" s="49">
        <v>772</v>
      </c>
      <c r="B747" s="50" t="s">
        <v>402</v>
      </c>
      <c r="C747" s="51" t="s">
        <v>11</v>
      </c>
      <c r="D747" s="51" t="s">
        <v>12</v>
      </c>
      <c r="E747" s="52">
        <v>5580506000</v>
      </c>
      <c r="F747" s="52">
        <v>3440623000</v>
      </c>
      <c r="G747" s="52">
        <v>1111232000</v>
      </c>
      <c r="H747" s="52" t="s">
        <v>757</v>
      </c>
      <c r="I747" s="52" t="s">
        <v>757</v>
      </c>
      <c r="J747" s="51" t="s">
        <v>24</v>
      </c>
      <c r="K747" s="51" t="s">
        <v>403</v>
      </c>
      <c r="L747" s="41">
        <f t="shared" si="55"/>
        <v>2139883000</v>
      </c>
      <c r="M747" s="41">
        <f t="shared" si="56"/>
        <v>1111232000</v>
      </c>
      <c r="N747" s="41">
        <f t="shared" si="57"/>
        <v>1028651000</v>
      </c>
      <c r="O747" s="41">
        <f t="shared" si="58"/>
        <v>0.80087253736489128</v>
      </c>
      <c r="P747" s="41">
        <f t="shared" si="59"/>
        <v>0.18432934217793154</v>
      </c>
    </row>
    <row r="748" spans="1:16" ht="19.95" customHeight="1">
      <c r="A748" s="49">
        <v>773</v>
      </c>
      <c r="B748" s="50" t="s">
        <v>402</v>
      </c>
      <c r="C748" s="51" t="s">
        <v>16</v>
      </c>
      <c r="D748" s="51" t="s">
        <v>17</v>
      </c>
      <c r="E748" s="52">
        <v>5899872000</v>
      </c>
      <c r="F748" s="52">
        <v>3621417000</v>
      </c>
      <c r="G748" s="52">
        <v>1124753000</v>
      </c>
      <c r="H748" s="52" t="s">
        <v>757</v>
      </c>
      <c r="I748" s="52" t="s">
        <v>757</v>
      </c>
      <c r="J748" s="51" t="s">
        <v>24</v>
      </c>
      <c r="K748" s="51" t="s">
        <v>403</v>
      </c>
      <c r="L748" s="41">
        <f t="shared" si="55"/>
        <v>2278455000</v>
      </c>
      <c r="M748" s="41">
        <f t="shared" si="56"/>
        <v>1124753000</v>
      </c>
      <c r="N748" s="41">
        <f t="shared" si="57"/>
        <v>1153702000</v>
      </c>
      <c r="O748" s="41">
        <f t="shared" si="58"/>
        <v>0.8093597623812856</v>
      </c>
      <c r="P748" s="41">
        <f t="shared" si="59"/>
        <v>0.19554695423900723</v>
      </c>
    </row>
    <row r="749" spans="1:16" ht="19.95" customHeight="1">
      <c r="A749" s="49">
        <v>774</v>
      </c>
      <c r="B749" s="50" t="s">
        <v>402</v>
      </c>
      <c r="C749" s="51" t="s">
        <v>18</v>
      </c>
      <c r="D749" s="51" t="s">
        <v>19</v>
      </c>
      <c r="E749" s="52">
        <v>6228508000</v>
      </c>
      <c r="F749" s="52">
        <v>3788023000</v>
      </c>
      <c r="G749" s="52">
        <v>1159502000</v>
      </c>
      <c r="H749" s="52" t="s">
        <v>757</v>
      </c>
      <c r="I749" s="52" t="s">
        <v>757</v>
      </c>
      <c r="J749" s="51" t="s">
        <v>24</v>
      </c>
      <c r="K749" s="51" t="s">
        <v>403</v>
      </c>
      <c r="L749" s="41">
        <f t="shared" si="55"/>
        <v>2440485000</v>
      </c>
      <c r="M749" s="41">
        <f t="shared" si="56"/>
        <v>1159502000</v>
      </c>
      <c r="N749" s="41">
        <f t="shared" si="57"/>
        <v>1280983000</v>
      </c>
      <c r="O749" s="41">
        <f t="shared" si="58"/>
        <v>0.81383952625572609</v>
      </c>
      <c r="P749" s="41">
        <f t="shared" si="59"/>
        <v>0.2056645026385131</v>
      </c>
    </row>
    <row r="750" spans="1:16" ht="19.95" customHeight="1">
      <c r="A750" s="49">
        <v>775</v>
      </c>
      <c r="B750" s="50" t="s">
        <v>402</v>
      </c>
      <c r="C750" s="51" t="s">
        <v>20</v>
      </c>
      <c r="D750" s="51" t="s">
        <v>21</v>
      </c>
      <c r="E750" s="52">
        <v>5995402000</v>
      </c>
      <c r="F750" s="52">
        <v>3619612000</v>
      </c>
      <c r="G750" s="52">
        <v>1220095000</v>
      </c>
      <c r="H750" s="52" t="s">
        <v>757</v>
      </c>
      <c r="I750" s="52" t="s">
        <v>757</v>
      </c>
      <c r="J750" s="51" t="s">
        <v>24</v>
      </c>
      <c r="K750" s="51" t="s">
        <v>403</v>
      </c>
      <c r="L750" s="41">
        <f t="shared" si="55"/>
        <v>2375790000</v>
      </c>
      <c r="M750" s="41">
        <f t="shared" si="56"/>
        <v>1220095000</v>
      </c>
      <c r="N750" s="41">
        <f t="shared" si="57"/>
        <v>1155695000</v>
      </c>
      <c r="O750" s="41">
        <f t="shared" si="58"/>
        <v>0.79649488057681539</v>
      </c>
      <c r="P750" s="41">
        <f t="shared" si="59"/>
        <v>0.19276355447057594</v>
      </c>
    </row>
    <row r="751" spans="1:16" ht="19.95" customHeight="1">
      <c r="A751" s="49">
        <v>776</v>
      </c>
      <c r="B751" s="50" t="s">
        <v>404</v>
      </c>
      <c r="C751" s="51" t="s">
        <v>11</v>
      </c>
      <c r="D751" s="51" t="s">
        <v>30</v>
      </c>
      <c r="E751" s="52">
        <v>2492300000</v>
      </c>
      <c r="F751" s="52">
        <v>1330900000</v>
      </c>
      <c r="G751" s="52">
        <v>661100000</v>
      </c>
      <c r="H751" s="52">
        <v>197600000</v>
      </c>
      <c r="I751" s="52">
        <v>112600000</v>
      </c>
      <c r="J751" s="51" t="s">
        <v>37</v>
      </c>
      <c r="K751" s="51" t="s">
        <v>46</v>
      </c>
      <c r="L751" s="41">
        <f t="shared" si="55"/>
        <v>1161400000</v>
      </c>
      <c r="M751" s="41">
        <f t="shared" si="56"/>
        <v>971300000</v>
      </c>
      <c r="N751" s="41">
        <f t="shared" si="57"/>
        <v>190100000</v>
      </c>
      <c r="O751" s="41">
        <f t="shared" si="58"/>
        <v>0.61027966135697942</v>
      </c>
      <c r="P751" s="41">
        <f t="shared" si="59"/>
        <v>7.627492677446536E-2</v>
      </c>
    </row>
    <row r="752" spans="1:16" ht="19.95" customHeight="1">
      <c r="A752" s="49">
        <v>777</v>
      </c>
      <c r="B752" s="50" t="s">
        <v>404</v>
      </c>
      <c r="C752" s="51" t="s">
        <v>16</v>
      </c>
      <c r="D752" s="51" t="s">
        <v>33</v>
      </c>
      <c r="E752" s="52">
        <v>2530700000</v>
      </c>
      <c r="F752" s="52">
        <v>1285200000</v>
      </c>
      <c r="G752" s="52">
        <v>591500000</v>
      </c>
      <c r="H752" s="52">
        <v>203200000</v>
      </c>
      <c r="I752" s="52">
        <v>113800000</v>
      </c>
      <c r="J752" s="51" t="s">
        <v>37</v>
      </c>
      <c r="K752" s="51" t="s">
        <v>46</v>
      </c>
      <c r="L752" s="41">
        <f t="shared" si="55"/>
        <v>1245500000</v>
      </c>
      <c r="M752" s="41">
        <f t="shared" si="56"/>
        <v>908500000</v>
      </c>
      <c r="N752" s="41">
        <f t="shared" si="57"/>
        <v>337000000</v>
      </c>
      <c r="O752" s="41">
        <f t="shared" si="58"/>
        <v>0.64100841664361641</v>
      </c>
      <c r="P752" s="41">
        <f t="shared" si="59"/>
        <v>0.13316473702928044</v>
      </c>
    </row>
    <row r="753" spans="1:16" ht="19.95" customHeight="1">
      <c r="A753" s="49">
        <v>778</v>
      </c>
      <c r="B753" s="50" t="s">
        <v>404</v>
      </c>
      <c r="C753" s="51" t="s">
        <v>18</v>
      </c>
      <c r="D753" s="51" t="s">
        <v>34</v>
      </c>
      <c r="E753" s="52">
        <v>2705000000</v>
      </c>
      <c r="F753" s="52">
        <v>1272300000</v>
      </c>
      <c r="G753" s="52">
        <v>624000000</v>
      </c>
      <c r="H753" s="52">
        <v>214900000</v>
      </c>
      <c r="I753" s="52">
        <v>110200000</v>
      </c>
      <c r="J753" s="51" t="s">
        <v>37</v>
      </c>
      <c r="K753" s="51" t="s">
        <v>46</v>
      </c>
      <c r="L753" s="41">
        <f t="shared" si="55"/>
        <v>1432700000</v>
      </c>
      <c r="M753" s="41">
        <f t="shared" si="56"/>
        <v>949100000</v>
      </c>
      <c r="N753" s="41">
        <f t="shared" si="57"/>
        <v>483600000</v>
      </c>
      <c r="O753" s="41">
        <f t="shared" si="58"/>
        <v>0.64913123844731979</v>
      </c>
      <c r="P753" s="41">
        <f t="shared" si="59"/>
        <v>0.17878003696857672</v>
      </c>
    </row>
    <row r="754" spans="1:16" ht="19.95" customHeight="1">
      <c r="A754" s="49">
        <v>779</v>
      </c>
      <c r="B754" s="50" t="s">
        <v>404</v>
      </c>
      <c r="C754" s="51" t="s">
        <v>20</v>
      </c>
      <c r="D754" s="51" t="s">
        <v>35</v>
      </c>
      <c r="E754" s="52">
        <v>2832700000</v>
      </c>
      <c r="F754" s="52">
        <v>1269400000</v>
      </c>
      <c r="G754" s="52">
        <v>682400000</v>
      </c>
      <c r="H754" s="52">
        <v>232100000</v>
      </c>
      <c r="I754" s="52">
        <v>89700000</v>
      </c>
      <c r="J754" s="51" t="s">
        <v>37</v>
      </c>
      <c r="K754" s="51" t="s">
        <v>46</v>
      </c>
      <c r="L754" s="41">
        <f t="shared" si="55"/>
        <v>1563300000</v>
      </c>
      <c r="M754" s="41">
        <f t="shared" si="56"/>
        <v>1004200000</v>
      </c>
      <c r="N754" s="41">
        <f t="shared" si="57"/>
        <v>559100000</v>
      </c>
      <c r="O754" s="41">
        <f t="shared" si="58"/>
        <v>0.6454972287923183</v>
      </c>
      <c r="P754" s="41">
        <f t="shared" si="59"/>
        <v>0.19737353055388851</v>
      </c>
    </row>
    <row r="755" spans="1:16" ht="19.95" customHeight="1">
      <c r="A755" s="49">
        <v>780</v>
      </c>
      <c r="B755" s="50" t="s">
        <v>405</v>
      </c>
      <c r="C755" s="51" t="s">
        <v>11</v>
      </c>
      <c r="D755" s="51" t="s">
        <v>17</v>
      </c>
      <c r="E755" s="52">
        <v>39055000000</v>
      </c>
      <c r="F755" s="52">
        <v>28364000000</v>
      </c>
      <c r="G755" s="52">
        <v>5190000000</v>
      </c>
      <c r="H755" s="52" t="s">
        <v>757</v>
      </c>
      <c r="I755" s="52" t="s">
        <v>757</v>
      </c>
      <c r="J755" s="51" t="s">
        <v>14</v>
      </c>
      <c r="K755" s="51" t="s">
        <v>224</v>
      </c>
      <c r="L755" s="41">
        <f t="shared" si="55"/>
        <v>10691000000</v>
      </c>
      <c r="M755" s="41">
        <f t="shared" si="56"/>
        <v>5190000000</v>
      </c>
      <c r="N755" s="41">
        <f t="shared" si="57"/>
        <v>5501000000</v>
      </c>
      <c r="O755" s="41">
        <f t="shared" si="58"/>
        <v>0.86711048521316092</v>
      </c>
      <c r="P755" s="41">
        <f t="shared" si="59"/>
        <v>0.14085264370759185</v>
      </c>
    </row>
    <row r="756" spans="1:16" ht="19.95" customHeight="1">
      <c r="A756" s="49">
        <v>781</v>
      </c>
      <c r="B756" s="50" t="s">
        <v>405</v>
      </c>
      <c r="C756" s="51" t="s">
        <v>16</v>
      </c>
      <c r="D756" s="51" t="s">
        <v>19</v>
      </c>
      <c r="E756" s="52">
        <v>40306000000</v>
      </c>
      <c r="F756" s="52">
        <v>28957000000</v>
      </c>
      <c r="G756" s="52">
        <v>5518000000</v>
      </c>
      <c r="H756" s="52" t="s">
        <v>757</v>
      </c>
      <c r="I756" s="52" t="s">
        <v>757</v>
      </c>
      <c r="J756" s="51" t="s">
        <v>14</v>
      </c>
      <c r="K756" s="51" t="s">
        <v>224</v>
      </c>
      <c r="L756" s="41">
        <f t="shared" si="55"/>
        <v>11349000000</v>
      </c>
      <c r="M756" s="41">
        <f t="shared" si="56"/>
        <v>5518000000</v>
      </c>
      <c r="N756" s="41">
        <f t="shared" si="57"/>
        <v>5831000000</v>
      </c>
      <c r="O756" s="41">
        <f t="shared" si="58"/>
        <v>0.86309730561206766</v>
      </c>
      <c r="P756" s="41">
        <f t="shared" si="59"/>
        <v>0.14466828759986106</v>
      </c>
    </row>
    <row r="757" spans="1:16" ht="19.95" customHeight="1">
      <c r="A757" s="49">
        <v>782</v>
      </c>
      <c r="B757" s="50" t="s">
        <v>405</v>
      </c>
      <c r="C757" s="51" t="s">
        <v>18</v>
      </c>
      <c r="D757" s="51" t="s">
        <v>21</v>
      </c>
      <c r="E757" s="52">
        <v>38581000000</v>
      </c>
      <c r="F757" s="52">
        <v>26747000000</v>
      </c>
      <c r="G757" s="52">
        <v>5006000000</v>
      </c>
      <c r="H757" s="52" t="s">
        <v>757</v>
      </c>
      <c r="I757" s="52" t="s">
        <v>757</v>
      </c>
      <c r="J757" s="51" t="s">
        <v>14</v>
      </c>
      <c r="K757" s="51" t="s">
        <v>224</v>
      </c>
      <c r="L757" s="41">
        <f t="shared" si="55"/>
        <v>11834000000</v>
      </c>
      <c r="M757" s="41">
        <f t="shared" si="56"/>
        <v>5006000000</v>
      </c>
      <c r="N757" s="41">
        <f t="shared" si="57"/>
        <v>6828000000</v>
      </c>
      <c r="O757" s="41">
        <f t="shared" si="58"/>
        <v>0.87024701277831062</v>
      </c>
      <c r="P757" s="41">
        <f t="shared" si="59"/>
        <v>0.17697830538347892</v>
      </c>
    </row>
    <row r="758" spans="1:16" ht="19.95" customHeight="1">
      <c r="A758" s="49">
        <v>783</v>
      </c>
      <c r="B758" s="50" t="s">
        <v>405</v>
      </c>
      <c r="C758" s="51" t="s">
        <v>20</v>
      </c>
      <c r="D758" s="51" t="s">
        <v>84</v>
      </c>
      <c r="E758" s="52">
        <v>39302000000</v>
      </c>
      <c r="F758" s="52">
        <v>27150000000</v>
      </c>
      <c r="G758" s="52">
        <v>5469000000</v>
      </c>
      <c r="H758" s="52" t="s">
        <v>757</v>
      </c>
      <c r="I758" s="52" t="s">
        <v>757</v>
      </c>
      <c r="J758" s="51" t="s">
        <v>14</v>
      </c>
      <c r="K758" s="51" t="s">
        <v>224</v>
      </c>
      <c r="L758" s="41">
        <f t="shared" si="55"/>
        <v>12152000000</v>
      </c>
      <c r="M758" s="41">
        <f t="shared" si="56"/>
        <v>5469000000</v>
      </c>
      <c r="N758" s="41">
        <f t="shared" si="57"/>
        <v>6683000000</v>
      </c>
      <c r="O758" s="41">
        <f t="shared" si="58"/>
        <v>0.86084677624548367</v>
      </c>
      <c r="P758" s="41">
        <f t="shared" si="59"/>
        <v>0.17004223703628313</v>
      </c>
    </row>
    <row r="759" spans="1:16" ht="19.95" customHeight="1">
      <c r="A759" s="49">
        <v>784</v>
      </c>
      <c r="B759" s="50" t="s">
        <v>406</v>
      </c>
      <c r="C759" s="51" t="s">
        <v>11</v>
      </c>
      <c r="D759" s="51" t="s">
        <v>40</v>
      </c>
      <c r="E759" s="52">
        <v>3387614000</v>
      </c>
      <c r="F759" s="52">
        <v>1852768000</v>
      </c>
      <c r="G759" s="52">
        <v>126250000</v>
      </c>
      <c r="H759" s="52">
        <v>15235000</v>
      </c>
      <c r="I759" s="52">
        <v>455623000</v>
      </c>
      <c r="J759" s="51" t="s">
        <v>116</v>
      </c>
      <c r="K759" s="51" t="s">
        <v>407</v>
      </c>
      <c r="L759" s="41">
        <f t="shared" si="55"/>
        <v>1534846000</v>
      </c>
      <c r="M759" s="41">
        <f t="shared" si="56"/>
        <v>597108000</v>
      </c>
      <c r="N759" s="41">
        <f t="shared" si="57"/>
        <v>937738000</v>
      </c>
      <c r="O759" s="41">
        <f t="shared" si="58"/>
        <v>0.82373788749249477</v>
      </c>
      <c r="P759" s="41">
        <f t="shared" si="59"/>
        <v>0.27681371018067585</v>
      </c>
    </row>
    <row r="760" spans="1:16" ht="19.95" customHeight="1">
      <c r="A760" s="53">
        <v>785</v>
      </c>
      <c r="B760" s="54" t="s">
        <v>406</v>
      </c>
      <c r="C760" s="55" t="s">
        <v>16</v>
      </c>
      <c r="D760" s="55" t="s">
        <v>42</v>
      </c>
      <c r="E760" s="56">
        <v>3715968000</v>
      </c>
      <c r="F760" s="56">
        <v>2006715000</v>
      </c>
      <c r="G760" s="56">
        <v>116190000</v>
      </c>
      <c r="H760" s="56">
        <v>15905000</v>
      </c>
      <c r="I760" s="56">
        <v>523984000</v>
      </c>
      <c r="J760" s="55" t="s">
        <v>116</v>
      </c>
      <c r="K760" s="55" t="s">
        <v>407</v>
      </c>
      <c r="L760" s="57">
        <f t="shared" si="55"/>
        <v>1709253000</v>
      </c>
      <c r="M760" s="57">
        <f t="shared" si="56"/>
        <v>656079000</v>
      </c>
      <c r="N760" s="57">
        <f t="shared" si="57"/>
        <v>1053174000</v>
      </c>
      <c r="O760" s="57">
        <f t="shared" si="58"/>
        <v>0.82344331275188587</v>
      </c>
      <c r="P760" s="57">
        <f t="shared" si="59"/>
        <v>0.28341847938410664</v>
      </c>
    </row>
    <row r="761" spans="1:16" ht="19.95" customHeight="1">
      <c r="A761" s="49">
        <v>786</v>
      </c>
      <c r="B761" s="50" t="s">
        <v>406</v>
      </c>
      <c r="C761" s="51" t="s">
        <v>18</v>
      </c>
      <c r="D761" s="51" t="s">
        <v>43</v>
      </c>
      <c r="E761" s="52">
        <v>3161702000</v>
      </c>
      <c r="F761" s="52">
        <v>1703476000</v>
      </c>
      <c r="G761" s="52">
        <v>122878000</v>
      </c>
      <c r="H761" s="52">
        <v>16104000</v>
      </c>
      <c r="I761" s="52">
        <v>608039000</v>
      </c>
      <c r="J761" s="51" t="s">
        <v>116</v>
      </c>
      <c r="K761" s="51" t="s">
        <v>407</v>
      </c>
      <c r="L761" s="41">
        <f t="shared" si="55"/>
        <v>1458226000</v>
      </c>
      <c r="M761" s="41">
        <f t="shared" si="56"/>
        <v>747021000</v>
      </c>
      <c r="N761" s="41">
        <f t="shared" si="57"/>
        <v>711205000</v>
      </c>
      <c r="O761" s="41">
        <f t="shared" si="58"/>
        <v>0.76372820714918732</v>
      </c>
      <c r="P761" s="41">
        <f t="shared" si="59"/>
        <v>0.22494371702329949</v>
      </c>
    </row>
    <row r="762" spans="1:16" ht="19.95" customHeight="1">
      <c r="A762" s="49">
        <v>787</v>
      </c>
      <c r="B762" s="50" t="s">
        <v>406</v>
      </c>
      <c r="C762" s="51" t="s">
        <v>20</v>
      </c>
      <c r="D762" s="51" t="s">
        <v>44</v>
      </c>
      <c r="E762" s="52">
        <v>1624232000</v>
      </c>
      <c r="F762" s="52">
        <v>898805000</v>
      </c>
      <c r="G762" s="52">
        <v>136287000</v>
      </c>
      <c r="H762" s="52">
        <v>10269000</v>
      </c>
      <c r="I762" s="52">
        <v>598587000</v>
      </c>
      <c r="J762" s="51" t="s">
        <v>116</v>
      </c>
      <c r="K762" s="51" t="s">
        <v>407</v>
      </c>
      <c r="L762" s="41">
        <f t="shared" si="55"/>
        <v>725427000</v>
      </c>
      <c r="M762" s="41">
        <f t="shared" si="56"/>
        <v>745143000</v>
      </c>
      <c r="N762" s="41">
        <f t="shared" si="57"/>
        <v>-19716000</v>
      </c>
      <c r="O762" s="41">
        <f t="shared" si="58"/>
        <v>0.54123364149949027</v>
      </c>
      <c r="P762" s="41">
        <f t="shared" si="59"/>
        <v>-1.2138659994385039E-2</v>
      </c>
    </row>
    <row r="763" spans="1:16" ht="19.95" customHeight="1">
      <c r="A763" s="49">
        <v>788</v>
      </c>
      <c r="B763" s="50" t="s">
        <v>408</v>
      </c>
      <c r="C763" s="51" t="s">
        <v>11</v>
      </c>
      <c r="D763" s="51" t="s">
        <v>228</v>
      </c>
      <c r="E763" s="52">
        <v>55123000000</v>
      </c>
      <c r="F763" s="52">
        <v>39486000000</v>
      </c>
      <c r="G763" s="52">
        <v>8717000000</v>
      </c>
      <c r="H763" s="52">
        <v>2197000000</v>
      </c>
      <c r="I763" s="52">
        <v>906000000</v>
      </c>
      <c r="J763" s="51" t="s">
        <v>31</v>
      </c>
      <c r="K763" s="51" t="s">
        <v>409</v>
      </c>
      <c r="L763" s="41">
        <f t="shared" si="55"/>
        <v>15637000000</v>
      </c>
      <c r="M763" s="41">
        <f t="shared" si="56"/>
        <v>11820000000</v>
      </c>
      <c r="N763" s="41">
        <f t="shared" si="57"/>
        <v>3817000000</v>
      </c>
      <c r="O763" s="41">
        <f t="shared" si="58"/>
        <v>0.78557045153565663</v>
      </c>
      <c r="P763" s="41">
        <f t="shared" si="59"/>
        <v>6.9245142680913599E-2</v>
      </c>
    </row>
    <row r="764" spans="1:16" ht="19.95" customHeight="1">
      <c r="A764" s="49">
        <v>789</v>
      </c>
      <c r="B764" s="50" t="s">
        <v>408</v>
      </c>
      <c r="C764" s="51" t="s">
        <v>16</v>
      </c>
      <c r="D764" s="51" t="s">
        <v>57</v>
      </c>
      <c r="E764" s="52">
        <v>52107000000</v>
      </c>
      <c r="F764" s="52">
        <v>37168000000</v>
      </c>
      <c r="G764" s="52">
        <v>9047000000</v>
      </c>
      <c r="H764" s="52">
        <v>2338000000</v>
      </c>
      <c r="I764" s="52">
        <v>852000000</v>
      </c>
      <c r="J764" s="51" t="s">
        <v>31</v>
      </c>
      <c r="K764" s="51" t="s">
        <v>409</v>
      </c>
      <c r="L764" s="41">
        <f t="shared" si="55"/>
        <v>14939000000</v>
      </c>
      <c r="M764" s="41">
        <f t="shared" si="56"/>
        <v>12237000000</v>
      </c>
      <c r="N764" s="41">
        <f t="shared" si="57"/>
        <v>2702000000</v>
      </c>
      <c r="O764" s="41">
        <f t="shared" si="58"/>
        <v>0.76515631297138587</v>
      </c>
      <c r="P764" s="41">
        <f t="shared" si="59"/>
        <v>5.1854837161993593E-2</v>
      </c>
    </row>
    <row r="765" spans="1:16" ht="19.95" customHeight="1">
      <c r="A765" s="49">
        <v>790</v>
      </c>
      <c r="B765" s="50" t="s">
        <v>408</v>
      </c>
      <c r="C765" s="51" t="s">
        <v>18</v>
      </c>
      <c r="D765" s="51" t="s">
        <v>229</v>
      </c>
      <c r="E765" s="52">
        <v>50123000000</v>
      </c>
      <c r="F765" s="52">
        <v>35507000000</v>
      </c>
      <c r="G765" s="52">
        <v>8419000000</v>
      </c>
      <c r="H765" s="52">
        <v>2298000000</v>
      </c>
      <c r="I765" s="52">
        <v>755000000</v>
      </c>
      <c r="J765" s="51" t="s">
        <v>31</v>
      </c>
      <c r="K765" s="51" t="s">
        <v>409</v>
      </c>
      <c r="L765" s="41">
        <f t="shared" si="55"/>
        <v>14616000000</v>
      </c>
      <c r="M765" s="41">
        <f t="shared" si="56"/>
        <v>11472000000</v>
      </c>
      <c r="N765" s="41">
        <f t="shared" si="57"/>
        <v>3144000000</v>
      </c>
      <c r="O765" s="41">
        <f t="shared" si="58"/>
        <v>0.77112303732817267</v>
      </c>
      <c r="P765" s="41">
        <f t="shared" si="59"/>
        <v>6.2725694790814593E-2</v>
      </c>
    </row>
    <row r="766" spans="1:16" ht="19.95" customHeight="1">
      <c r="A766" s="49">
        <v>791</v>
      </c>
      <c r="B766" s="50" t="s">
        <v>410</v>
      </c>
      <c r="C766" s="51" t="s">
        <v>11</v>
      </c>
      <c r="D766" s="51" t="s">
        <v>226</v>
      </c>
      <c r="E766" s="52">
        <v>1122980000</v>
      </c>
      <c r="F766" s="52">
        <v>86380000000</v>
      </c>
      <c r="G766" s="52">
        <v>13267000000</v>
      </c>
      <c r="H766" s="52">
        <v>3135000000</v>
      </c>
      <c r="I766" s="52">
        <v>1373000000</v>
      </c>
      <c r="J766" s="51" t="s">
        <v>31</v>
      </c>
      <c r="K766" s="51" t="s">
        <v>32</v>
      </c>
      <c r="L766" s="41">
        <f t="shared" si="55"/>
        <v>-85257020000</v>
      </c>
      <c r="M766" s="41">
        <f t="shared" si="56"/>
        <v>17775000000</v>
      </c>
      <c r="N766" s="41">
        <f t="shared" si="57"/>
        <v>-103032020000</v>
      </c>
      <c r="O766" s="41">
        <f t="shared" si="58"/>
        <v>-14.828420808919127</v>
      </c>
      <c r="P766" s="41">
        <f t="shared" si="59"/>
        <v>-91.748757769506142</v>
      </c>
    </row>
    <row r="767" spans="1:16" ht="19.95" customHeight="1">
      <c r="A767" s="49">
        <v>792</v>
      </c>
      <c r="B767" s="50" t="s">
        <v>410</v>
      </c>
      <c r="C767" s="51" t="s">
        <v>16</v>
      </c>
      <c r="D767" s="51" t="s">
        <v>228</v>
      </c>
      <c r="E767" s="52">
        <v>56651000000</v>
      </c>
      <c r="F767" s="52">
        <v>45431000000</v>
      </c>
      <c r="G767" s="52">
        <v>5361000000</v>
      </c>
      <c r="H767" s="52">
        <v>1298000000</v>
      </c>
      <c r="I767" s="52">
        <v>129000000</v>
      </c>
      <c r="J767" s="51" t="s">
        <v>31</v>
      </c>
      <c r="K767" s="51" t="s">
        <v>32</v>
      </c>
      <c r="L767" s="41">
        <f t="shared" si="55"/>
        <v>11220000000</v>
      </c>
      <c r="M767" s="41">
        <f t="shared" si="56"/>
        <v>6788000000</v>
      </c>
      <c r="N767" s="41">
        <f t="shared" si="57"/>
        <v>4432000000</v>
      </c>
      <c r="O767" s="41">
        <f t="shared" si="58"/>
        <v>0.88017863762334292</v>
      </c>
      <c r="P767" s="41">
        <f t="shared" si="59"/>
        <v>7.8233393938324125E-2</v>
      </c>
    </row>
    <row r="768" spans="1:16" ht="19.95" customHeight="1">
      <c r="A768" s="49">
        <v>793</v>
      </c>
      <c r="B768" s="50" t="s">
        <v>410</v>
      </c>
      <c r="C768" s="51" t="s">
        <v>18</v>
      </c>
      <c r="D768" s="51" t="s">
        <v>57</v>
      </c>
      <c r="E768" s="52">
        <v>51463000000</v>
      </c>
      <c r="F768" s="52">
        <v>41524000000</v>
      </c>
      <c r="G768" s="52">
        <v>4663000000</v>
      </c>
      <c r="H768" s="52">
        <v>1191000000</v>
      </c>
      <c r="I768" s="52">
        <v>102000000</v>
      </c>
      <c r="J768" s="51" t="s">
        <v>31</v>
      </c>
      <c r="K768" s="51" t="s">
        <v>32</v>
      </c>
      <c r="L768" s="41">
        <f t="shared" si="55"/>
        <v>9939000000</v>
      </c>
      <c r="M768" s="41">
        <f t="shared" si="56"/>
        <v>5956000000</v>
      </c>
      <c r="N768" s="41">
        <f t="shared" si="57"/>
        <v>3983000000</v>
      </c>
      <c r="O768" s="41">
        <f t="shared" si="58"/>
        <v>0.8842663661271204</v>
      </c>
      <c r="P768" s="41">
        <f t="shared" si="59"/>
        <v>7.7395410294774883E-2</v>
      </c>
    </row>
    <row r="769" spans="1:16" ht="19.95" customHeight="1">
      <c r="A769" s="49">
        <v>794</v>
      </c>
      <c r="B769" s="50" t="s">
        <v>410</v>
      </c>
      <c r="C769" s="51" t="s">
        <v>20</v>
      </c>
      <c r="D769" s="51" t="s">
        <v>229</v>
      </c>
      <c r="E769" s="52">
        <v>48238000000</v>
      </c>
      <c r="F769" s="52">
        <v>39240000000</v>
      </c>
      <c r="G769" s="52">
        <v>4019000000</v>
      </c>
      <c r="H769" s="52">
        <v>1209000000</v>
      </c>
      <c r="I769" s="52">
        <v>16000000</v>
      </c>
      <c r="J769" s="51" t="s">
        <v>31</v>
      </c>
      <c r="K769" s="51" t="s">
        <v>32</v>
      </c>
      <c r="L769" s="41">
        <f t="shared" si="55"/>
        <v>8998000000</v>
      </c>
      <c r="M769" s="41">
        <f t="shared" si="56"/>
        <v>5244000000</v>
      </c>
      <c r="N769" s="41">
        <f t="shared" si="57"/>
        <v>3754000000</v>
      </c>
      <c r="O769" s="41">
        <f t="shared" si="58"/>
        <v>0.89128902524980302</v>
      </c>
      <c r="P769" s="41">
        <f t="shared" si="59"/>
        <v>7.7822463617894605E-2</v>
      </c>
    </row>
    <row r="770" spans="1:16" ht="19.95" customHeight="1">
      <c r="A770" s="49">
        <v>795</v>
      </c>
      <c r="B770" s="50" t="s">
        <v>411</v>
      </c>
      <c r="C770" s="51" t="s">
        <v>11</v>
      </c>
      <c r="D770" s="51" t="s">
        <v>412</v>
      </c>
      <c r="E770" s="52">
        <v>2807114000</v>
      </c>
      <c r="F770" s="52">
        <v>1123773000</v>
      </c>
      <c r="G770" s="52">
        <v>828095000</v>
      </c>
      <c r="H770" s="52" t="s">
        <v>757</v>
      </c>
      <c r="I770" s="52">
        <v>92407000</v>
      </c>
      <c r="J770" s="51" t="s">
        <v>75</v>
      </c>
      <c r="K770" s="51" t="s">
        <v>134</v>
      </c>
      <c r="L770" s="41">
        <f t="shared" si="55"/>
        <v>1683341000</v>
      </c>
      <c r="M770" s="41">
        <f t="shared" si="56"/>
        <v>920502000</v>
      </c>
      <c r="N770" s="41">
        <f t="shared" si="57"/>
        <v>762839000</v>
      </c>
      <c r="O770" s="41">
        <f t="shared" si="58"/>
        <v>0.67208243056747963</v>
      </c>
      <c r="P770" s="41">
        <f t="shared" si="59"/>
        <v>0.27175205566998706</v>
      </c>
    </row>
    <row r="771" spans="1:16" ht="19.95" customHeight="1">
      <c r="A771" s="53">
        <v>796</v>
      </c>
      <c r="B771" s="54" t="s">
        <v>411</v>
      </c>
      <c r="C771" s="55" t="s">
        <v>16</v>
      </c>
      <c r="D771" s="55" t="s">
        <v>413</v>
      </c>
      <c r="E771" s="56">
        <v>3024295000</v>
      </c>
      <c r="F771" s="56">
        <v>1179405000</v>
      </c>
      <c r="G771" s="56">
        <v>830789000</v>
      </c>
      <c r="H771" s="56" t="s">
        <v>757</v>
      </c>
      <c r="I771" s="56">
        <v>115604000</v>
      </c>
      <c r="J771" s="55" t="s">
        <v>75</v>
      </c>
      <c r="K771" s="55" t="s">
        <v>134</v>
      </c>
      <c r="L771" s="57">
        <f t="shared" ref="L771:L834" si="60">Total_Revenue-COGS</f>
        <v>1844890000</v>
      </c>
      <c r="M771" s="57">
        <f t="shared" ref="M771:M834" si="61">SGAA+RandD+OOI</f>
        <v>946393000</v>
      </c>
      <c r="N771" s="57">
        <f t="shared" ref="N771:N834" si="62">Gross_Profit-Total_Operating_Expenses</f>
        <v>898497000</v>
      </c>
      <c r="O771" s="57">
        <f t="shared" ref="O771:O834" si="63">1-(Total_Operating_Expenses/Total_Revenue)</f>
        <v>0.6870698790957892</v>
      </c>
      <c r="P771" s="57">
        <f t="shared" ref="P771:P834" si="64">Operating_Profit/Total_Revenue</f>
        <v>0.2970930415187672</v>
      </c>
    </row>
    <row r="772" spans="1:16" ht="19.95" customHeight="1">
      <c r="A772" s="49">
        <v>797</v>
      </c>
      <c r="B772" s="50" t="s">
        <v>411</v>
      </c>
      <c r="C772" s="51" t="s">
        <v>18</v>
      </c>
      <c r="D772" s="51" t="s">
        <v>414</v>
      </c>
      <c r="E772" s="52">
        <v>3078658000</v>
      </c>
      <c r="F772" s="52">
        <v>1231104000</v>
      </c>
      <c r="G772" s="52">
        <v>818091000</v>
      </c>
      <c r="H772" s="52" t="s">
        <v>757</v>
      </c>
      <c r="I772" s="52">
        <v>159804000</v>
      </c>
      <c r="J772" s="51" t="s">
        <v>75</v>
      </c>
      <c r="K772" s="51" t="s">
        <v>134</v>
      </c>
      <c r="L772" s="41">
        <f t="shared" si="60"/>
        <v>1847554000</v>
      </c>
      <c r="M772" s="41">
        <f t="shared" si="61"/>
        <v>977895000</v>
      </c>
      <c r="N772" s="41">
        <f t="shared" si="62"/>
        <v>869659000</v>
      </c>
      <c r="O772" s="41">
        <f t="shared" si="63"/>
        <v>0.68236322449586795</v>
      </c>
      <c r="P772" s="41">
        <f t="shared" si="64"/>
        <v>0.28247989870911289</v>
      </c>
    </row>
    <row r="773" spans="1:16" ht="19.95" customHeight="1">
      <c r="A773" s="49">
        <v>798</v>
      </c>
      <c r="B773" s="50" t="s">
        <v>411</v>
      </c>
      <c r="C773" s="51" t="s">
        <v>20</v>
      </c>
      <c r="D773" s="51" t="s">
        <v>415</v>
      </c>
      <c r="E773" s="52">
        <v>3038153000</v>
      </c>
      <c r="F773" s="52">
        <v>1250320000</v>
      </c>
      <c r="G773" s="52">
        <v>905648000</v>
      </c>
      <c r="H773" s="52" t="s">
        <v>757</v>
      </c>
      <c r="I773" s="52">
        <v>173598000</v>
      </c>
      <c r="J773" s="51" t="s">
        <v>75</v>
      </c>
      <c r="K773" s="51" t="s">
        <v>134</v>
      </c>
      <c r="L773" s="41">
        <f t="shared" si="60"/>
        <v>1787833000</v>
      </c>
      <c r="M773" s="41">
        <f t="shared" si="61"/>
        <v>1079246000</v>
      </c>
      <c r="N773" s="41">
        <f t="shared" si="62"/>
        <v>708587000</v>
      </c>
      <c r="O773" s="41">
        <f t="shared" si="63"/>
        <v>0.64476904224375797</v>
      </c>
      <c r="P773" s="41">
        <f t="shared" si="64"/>
        <v>0.23322953123163975</v>
      </c>
    </row>
    <row r="774" spans="1:16" ht="19.95" customHeight="1">
      <c r="A774" s="49">
        <v>799</v>
      </c>
      <c r="B774" s="50" t="s">
        <v>416</v>
      </c>
      <c r="C774" s="51" t="s">
        <v>11</v>
      </c>
      <c r="D774" s="51" t="s">
        <v>97</v>
      </c>
      <c r="E774" s="52">
        <v>8751654000</v>
      </c>
      <c r="F774" s="52">
        <v>7338838000</v>
      </c>
      <c r="G774" s="52">
        <v>627340000</v>
      </c>
      <c r="H774" s="52" t="s">
        <v>757</v>
      </c>
      <c r="I774" s="52" t="s">
        <v>757</v>
      </c>
      <c r="J774" s="51" t="s">
        <v>60</v>
      </c>
      <c r="K774" s="51" t="s">
        <v>173</v>
      </c>
      <c r="L774" s="41">
        <f t="shared" si="60"/>
        <v>1412816000</v>
      </c>
      <c r="M774" s="41">
        <f t="shared" si="61"/>
        <v>627340000</v>
      </c>
      <c r="N774" s="41">
        <f t="shared" si="62"/>
        <v>785476000</v>
      </c>
      <c r="O774" s="41">
        <f t="shared" si="63"/>
        <v>0.92831755003111416</v>
      </c>
      <c r="P774" s="41">
        <f t="shared" si="64"/>
        <v>8.9751720074856711E-2</v>
      </c>
    </row>
    <row r="775" spans="1:16" ht="19.95" customHeight="1">
      <c r="A775" s="49">
        <v>800</v>
      </c>
      <c r="B775" s="50" t="s">
        <v>416</v>
      </c>
      <c r="C775" s="51" t="s">
        <v>16</v>
      </c>
      <c r="D775" s="51" t="s">
        <v>99</v>
      </c>
      <c r="E775" s="52">
        <v>9316256000</v>
      </c>
      <c r="F775" s="52">
        <v>7751273000</v>
      </c>
      <c r="G775" s="52">
        <v>650948000</v>
      </c>
      <c r="H775" s="52" t="s">
        <v>757</v>
      </c>
      <c r="I775" s="52" t="s">
        <v>757</v>
      </c>
      <c r="J775" s="51" t="s">
        <v>60</v>
      </c>
      <c r="K775" s="51" t="s">
        <v>173</v>
      </c>
      <c r="L775" s="41">
        <f t="shared" si="60"/>
        <v>1564983000</v>
      </c>
      <c r="M775" s="41">
        <f t="shared" si="61"/>
        <v>650948000</v>
      </c>
      <c r="N775" s="41">
        <f t="shared" si="62"/>
        <v>914035000</v>
      </c>
      <c r="O775" s="41">
        <f t="shared" si="63"/>
        <v>0.93012772512906472</v>
      </c>
      <c r="P775" s="41">
        <f t="shared" si="64"/>
        <v>9.8111838060267992E-2</v>
      </c>
    </row>
    <row r="776" spans="1:16" ht="19.95" customHeight="1">
      <c r="A776" s="49">
        <v>801</v>
      </c>
      <c r="B776" s="50" t="s">
        <v>416</v>
      </c>
      <c r="C776" s="51" t="s">
        <v>18</v>
      </c>
      <c r="D776" s="51" t="s">
        <v>57</v>
      </c>
      <c r="E776" s="52">
        <v>9263863000</v>
      </c>
      <c r="F776" s="52">
        <v>7455282000</v>
      </c>
      <c r="G776" s="52">
        <v>743611000</v>
      </c>
      <c r="H776" s="52" t="s">
        <v>757</v>
      </c>
      <c r="I776" s="52" t="s">
        <v>757</v>
      </c>
      <c r="J776" s="51" t="s">
        <v>60</v>
      </c>
      <c r="K776" s="51" t="s">
        <v>173</v>
      </c>
      <c r="L776" s="41">
        <f t="shared" si="60"/>
        <v>1808581000</v>
      </c>
      <c r="M776" s="41">
        <f t="shared" si="61"/>
        <v>743611000</v>
      </c>
      <c r="N776" s="41">
        <f t="shared" si="62"/>
        <v>1064970000</v>
      </c>
      <c r="O776" s="41">
        <f t="shared" si="63"/>
        <v>0.91972992260356179</v>
      </c>
      <c r="P776" s="41">
        <f t="shared" si="64"/>
        <v>0.11495960162623303</v>
      </c>
    </row>
    <row r="777" spans="1:16" ht="19.95" customHeight="1">
      <c r="A777" s="49">
        <v>802</v>
      </c>
      <c r="B777" s="50" t="s">
        <v>416</v>
      </c>
      <c r="C777" s="51" t="s">
        <v>20</v>
      </c>
      <c r="D777" s="51" t="s">
        <v>101</v>
      </c>
      <c r="E777" s="52">
        <v>9523224000</v>
      </c>
      <c r="F777" s="52">
        <v>7365049000</v>
      </c>
      <c r="G777" s="52">
        <v>871974000</v>
      </c>
      <c r="H777" s="52" t="s">
        <v>757</v>
      </c>
      <c r="I777" s="52" t="s">
        <v>757</v>
      </c>
      <c r="J777" s="51" t="s">
        <v>60</v>
      </c>
      <c r="K777" s="51" t="s">
        <v>173</v>
      </c>
      <c r="L777" s="41">
        <f t="shared" si="60"/>
        <v>2158175000</v>
      </c>
      <c r="M777" s="41">
        <f t="shared" si="61"/>
        <v>871974000</v>
      </c>
      <c r="N777" s="41">
        <f t="shared" si="62"/>
        <v>1286201000</v>
      </c>
      <c r="O777" s="41">
        <f t="shared" si="63"/>
        <v>0.90843710071295181</v>
      </c>
      <c r="P777" s="41">
        <f t="shared" si="64"/>
        <v>0.13505940845243167</v>
      </c>
    </row>
    <row r="778" spans="1:16" ht="19.95" customHeight="1">
      <c r="A778" s="49">
        <v>803</v>
      </c>
      <c r="B778" s="50" t="s">
        <v>417</v>
      </c>
      <c r="C778" s="51" t="s">
        <v>11</v>
      </c>
      <c r="D778" s="51" t="s">
        <v>418</v>
      </c>
      <c r="E778" s="52">
        <v>5112000000</v>
      </c>
      <c r="F778" s="52">
        <v>3385000000</v>
      </c>
      <c r="G778" s="52">
        <v>914000000</v>
      </c>
      <c r="H778" s="52" t="s">
        <v>757</v>
      </c>
      <c r="I778" s="52" t="s">
        <v>757</v>
      </c>
      <c r="J778" s="51" t="s">
        <v>31</v>
      </c>
      <c r="K778" s="51" t="s">
        <v>419</v>
      </c>
      <c r="L778" s="41">
        <f t="shared" si="60"/>
        <v>1727000000</v>
      </c>
      <c r="M778" s="41">
        <f t="shared" si="61"/>
        <v>914000000</v>
      </c>
      <c r="N778" s="41">
        <f t="shared" si="62"/>
        <v>813000000</v>
      </c>
      <c r="O778" s="41">
        <f t="shared" si="63"/>
        <v>0.82120500782472616</v>
      </c>
      <c r="P778" s="41">
        <f t="shared" si="64"/>
        <v>0.159037558685446</v>
      </c>
    </row>
    <row r="779" spans="1:16" ht="19.95" customHeight="1">
      <c r="A779" s="49">
        <v>804</v>
      </c>
      <c r="B779" s="50" t="s">
        <v>417</v>
      </c>
      <c r="C779" s="51" t="s">
        <v>16</v>
      </c>
      <c r="D779" s="51" t="s">
        <v>420</v>
      </c>
      <c r="E779" s="52">
        <v>5012000000</v>
      </c>
      <c r="F779" s="52">
        <v>3310000000</v>
      </c>
      <c r="G779" s="52">
        <v>820000000</v>
      </c>
      <c r="H779" s="52" t="s">
        <v>757</v>
      </c>
      <c r="I779" s="52" t="s">
        <v>757</v>
      </c>
      <c r="J779" s="51" t="s">
        <v>31</v>
      </c>
      <c r="K779" s="51" t="s">
        <v>419</v>
      </c>
      <c r="L779" s="41">
        <f t="shared" si="60"/>
        <v>1702000000</v>
      </c>
      <c r="M779" s="41">
        <f t="shared" si="61"/>
        <v>820000000</v>
      </c>
      <c r="N779" s="41">
        <f t="shared" si="62"/>
        <v>882000000</v>
      </c>
      <c r="O779" s="41">
        <f t="shared" si="63"/>
        <v>0.83639265762170789</v>
      </c>
      <c r="P779" s="41">
        <f t="shared" si="64"/>
        <v>0.17597765363128492</v>
      </c>
    </row>
    <row r="780" spans="1:16" ht="19.95" customHeight="1">
      <c r="A780" s="49">
        <v>805</v>
      </c>
      <c r="B780" s="50" t="s">
        <v>417</v>
      </c>
      <c r="C780" s="51" t="s">
        <v>18</v>
      </c>
      <c r="D780" s="51" t="s">
        <v>421</v>
      </c>
      <c r="E780" s="52">
        <v>5083000000</v>
      </c>
      <c r="F780" s="52">
        <v>3348000000</v>
      </c>
      <c r="G780" s="52">
        <v>976000000</v>
      </c>
      <c r="H780" s="52" t="s">
        <v>757</v>
      </c>
      <c r="I780" s="52" t="s">
        <v>757</v>
      </c>
      <c r="J780" s="51" t="s">
        <v>31</v>
      </c>
      <c r="K780" s="51" t="s">
        <v>419</v>
      </c>
      <c r="L780" s="41">
        <f t="shared" si="60"/>
        <v>1735000000</v>
      </c>
      <c r="M780" s="41">
        <f t="shared" si="61"/>
        <v>976000000</v>
      </c>
      <c r="N780" s="41">
        <f t="shared" si="62"/>
        <v>759000000</v>
      </c>
      <c r="O780" s="41">
        <f t="shared" si="63"/>
        <v>0.80798740901042687</v>
      </c>
      <c r="P780" s="41">
        <f t="shared" si="64"/>
        <v>0.14932126696832579</v>
      </c>
    </row>
    <row r="781" spans="1:16" ht="19.95" customHeight="1">
      <c r="A781" s="49">
        <v>806</v>
      </c>
      <c r="B781" s="50" t="s">
        <v>417</v>
      </c>
      <c r="C781" s="51" t="s">
        <v>20</v>
      </c>
      <c r="D781" s="51" t="s">
        <v>422</v>
      </c>
      <c r="E781" s="52">
        <v>7467000000</v>
      </c>
      <c r="F781" s="52">
        <v>5132000000</v>
      </c>
      <c r="G781" s="52">
        <v>1186000000</v>
      </c>
      <c r="H781" s="52" t="s">
        <v>757</v>
      </c>
      <c r="I781" s="52" t="s">
        <v>757</v>
      </c>
      <c r="J781" s="51" t="s">
        <v>31</v>
      </c>
      <c r="K781" s="51" t="s">
        <v>419</v>
      </c>
      <c r="L781" s="41">
        <f t="shared" si="60"/>
        <v>2335000000</v>
      </c>
      <c r="M781" s="41">
        <f t="shared" si="61"/>
        <v>1186000000</v>
      </c>
      <c r="N781" s="41">
        <f t="shared" si="62"/>
        <v>1149000000</v>
      </c>
      <c r="O781" s="41">
        <f t="shared" si="63"/>
        <v>0.84116780500870503</v>
      </c>
      <c r="P781" s="41">
        <f t="shared" si="64"/>
        <v>0.1538770590598634</v>
      </c>
    </row>
    <row r="782" spans="1:16" ht="19.95" customHeight="1">
      <c r="A782" s="49">
        <v>807</v>
      </c>
      <c r="B782" s="50" t="s">
        <v>423</v>
      </c>
      <c r="C782" s="51" t="s">
        <v>11</v>
      </c>
      <c r="D782" s="51" t="s">
        <v>23</v>
      </c>
      <c r="E782" s="52">
        <v>8939967000</v>
      </c>
      <c r="F782" s="52">
        <v>6432454000</v>
      </c>
      <c r="G782" s="52">
        <v>1873360000</v>
      </c>
      <c r="H782" s="52" t="s">
        <v>757</v>
      </c>
      <c r="I782" s="52" t="s">
        <v>757</v>
      </c>
      <c r="J782" s="51" t="s">
        <v>37</v>
      </c>
      <c r="K782" s="51" t="s">
        <v>41</v>
      </c>
      <c r="L782" s="41">
        <f t="shared" si="60"/>
        <v>2507513000</v>
      </c>
      <c r="M782" s="41">
        <f t="shared" si="61"/>
        <v>1873360000</v>
      </c>
      <c r="N782" s="41">
        <f t="shared" si="62"/>
        <v>634153000</v>
      </c>
      <c r="O782" s="41">
        <f t="shared" si="63"/>
        <v>0.79045112806344808</v>
      </c>
      <c r="P782" s="41">
        <f t="shared" si="64"/>
        <v>7.0934601883877194E-2</v>
      </c>
    </row>
    <row r="783" spans="1:16" ht="19.95" customHeight="1">
      <c r="A783" s="49">
        <v>808</v>
      </c>
      <c r="B783" s="50" t="s">
        <v>423</v>
      </c>
      <c r="C783" s="51" t="s">
        <v>16</v>
      </c>
      <c r="D783" s="51" t="s">
        <v>26</v>
      </c>
      <c r="E783" s="52">
        <v>9560647000</v>
      </c>
      <c r="F783" s="52">
        <v>6904633000</v>
      </c>
      <c r="G783" s="52">
        <v>1978960000</v>
      </c>
      <c r="H783" s="52" t="s">
        <v>757</v>
      </c>
      <c r="I783" s="52" t="s">
        <v>757</v>
      </c>
      <c r="J783" s="51" t="s">
        <v>37</v>
      </c>
      <c r="K783" s="51" t="s">
        <v>41</v>
      </c>
      <c r="L783" s="41">
        <f t="shared" si="60"/>
        <v>2656014000</v>
      </c>
      <c r="M783" s="41">
        <f t="shared" si="61"/>
        <v>1978960000</v>
      </c>
      <c r="N783" s="41">
        <f t="shared" si="62"/>
        <v>677054000</v>
      </c>
      <c r="O783" s="41">
        <f t="shared" si="63"/>
        <v>0.79300982454430125</v>
      </c>
      <c r="P783" s="41">
        <f t="shared" si="64"/>
        <v>7.0816755393228098E-2</v>
      </c>
    </row>
    <row r="784" spans="1:16" ht="19.95" customHeight="1">
      <c r="A784" s="49">
        <v>809</v>
      </c>
      <c r="B784" s="50" t="s">
        <v>423</v>
      </c>
      <c r="C784" s="51" t="s">
        <v>18</v>
      </c>
      <c r="D784" s="51" t="s">
        <v>376</v>
      </c>
      <c r="E784" s="52">
        <v>10371390000</v>
      </c>
      <c r="F784" s="52">
        <v>7460075000</v>
      </c>
      <c r="G784" s="52">
        <v>2196173000</v>
      </c>
      <c r="H784" s="52" t="s">
        <v>757</v>
      </c>
      <c r="I784" s="52" t="s">
        <v>757</v>
      </c>
      <c r="J784" s="51" t="s">
        <v>37</v>
      </c>
      <c r="K784" s="51" t="s">
        <v>41</v>
      </c>
      <c r="L784" s="41">
        <f t="shared" si="60"/>
        <v>2911315000</v>
      </c>
      <c r="M784" s="41">
        <f t="shared" si="61"/>
        <v>2196173000</v>
      </c>
      <c r="N784" s="41">
        <f t="shared" si="62"/>
        <v>715142000</v>
      </c>
      <c r="O784" s="41">
        <f t="shared" si="63"/>
        <v>0.7882469948579699</v>
      </c>
      <c r="P784" s="41">
        <f t="shared" si="64"/>
        <v>6.8953341837497198E-2</v>
      </c>
    </row>
    <row r="785" spans="1:16" ht="19.95" customHeight="1">
      <c r="A785" s="49">
        <v>810</v>
      </c>
      <c r="B785" s="50" t="s">
        <v>423</v>
      </c>
      <c r="C785" s="51" t="s">
        <v>20</v>
      </c>
      <c r="D785" s="51" t="s">
        <v>377</v>
      </c>
      <c r="E785" s="52">
        <v>10629719000</v>
      </c>
      <c r="F785" s="52">
        <v>7617460000</v>
      </c>
      <c r="G785" s="52">
        <v>2243356000</v>
      </c>
      <c r="H785" s="52" t="s">
        <v>757</v>
      </c>
      <c r="I785" s="52" t="s">
        <v>757</v>
      </c>
      <c r="J785" s="51" t="s">
        <v>37</v>
      </c>
      <c r="K785" s="51" t="s">
        <v>41</v>
      </c>
      <c r="L785" s="41">
        <f t="shared" si="60"/>
        <v>3012259000</v>
      </c>
      <c r="M785" s="41">
        <f t="shared" si="61"/>
        <v>2243356000</v>
      </c>
      <c r="N785" s="41">
        <f t="shared" si="62"/>
        <v>768903000</v>
      </c>
      <c r="O785" s="41">
        <f t="shared" si="63"/>
        <v>0.78895434582983803</v>
      </c>
      <c r="P785" s="41">
        <f t="shared" si="64"/>
        <v>7.2335214129366915E-2</v>
      </c>
    </row>
    <row r="786" spans="1:16" ht="19.95" customHeight="1">
      <c r="A786" s="49">
        <v>811</v>
      </c>
      <c r="B786" s="50" t="s">
        <v>424</v>
      </c>
      <c r="C786" s="51" t="s">
        <v>11</v>
      </c>
      <c r="D786" s="51" t="s">
        <v>12</v>
      </c>
      <c r="E786" s="52">
        <v>5059000000</v>
      </c>
      <c r="F786" s="52">
        <v>1885000000</v>
      </c>
      <c r="G786" s="52">
        <v>2101000000</v>
      </c>
      <c r="H786" s="52" t="s">
        <v>757</v>
      </c>
      <c r="I786" s="52">
        <v>722000000</v>
      </c>
      <c r="J786" s="51" t="s">
        <v>80</v>
      </c>
      <c r="K786" s="51" t="s">
        <v>81</v>
      </c>
      <c r="L786" s="41">
        <f t="shared" si="60"/>
        <v>3174000000</v>
      </c>
      <c r="M786" s="41">
        <f t="shared" si="61"/>
        <v>2823000000</v>
      </c>
      <c r="N786" s="41">
        <f t="shared" si="62"/>
        <v>351000000</v>
      </c>
      <c r="O786" s="41">
        <f t="shared" si="63"/>
        <v>0.44198458193318835</v>
      </c>
      <c r="P786" s="41">
        <f t="shared" si="64"/>
        <v>6.938130065230283E-2</v>
      </c>
    </row>
    <row r="787" spans="1:16" ht="19.95" customHeight="1">
      <c r="A787" s="49">
        <v>812</v>
      </c>
      <c r="B787" s="50" t="s">
        <v>424</v>
      </c>
      <c r="C787" s="51" t="s">
        <v>16</v>
      </c>
      <c r="D787" s="51" t="s">
        <v>17</v>
      </c>
      <c r="E787" s="52">
        <v>5166000000</v>
      </c>
      <c r="F787" s="52">
        <v>1989000000</v>
      </c>
      <c r="G787" s="52">
        <v>1968000000</v>
      </c>
      <c r="H787" s="52" t="s">
        <v>757</v>
      </c>
      <c r="I787" s="52">
        <v>697000000</v>
      </c>
      <c r="J787" s="51" t="s">
        <v>80</v>
      </c>
      <c r="K787" s="51" t="s">
        <v>81</v>
      </c>
      <c r="L787" s="41">
        <f t="shared" si="60"/>
        <v>3177000000</v>
      </c>
      <c r="M787" s="41">
        <f t="shared" si="61"/>
        <v>2665000000</v>
      </c>
      <c r="N787" s="41">
        <f t="shared" si="62"/>
        <v>512000000</v>
      </c>
      <c r="O787" s="41">
        <f t="shared" si="63"/>
        <v>0.48412698412698407</v>
      </c>
      <c r="P787" s="41">
        <f t="shared" si="64"/>
        <v>9.910956252419667E-2</v>
      </c>
    </row>
    <row r="788" spans="1:16" ht="19.95" customHeight="1">
      <c r="A788" s="49">
        <v>813</v>
      </c>
      <c r="B788" s="50" t="s">
        <v>424</v>
      </c>
      <c r="C788" s="51" t="s">
        <v>18</v>
      </c>
      <c r="D788" s="51" t="s">
        <v>19</v>
      </c>
      <c r="E788" s="52">
        <v>5354000000</v>
      </c>
      <c r="F788" s="52">
        <v>2033000000</v>
      </c>
      <c r="G788" s="52">
        <v>1920000000</v>
      </c>
      <c r="H788" s="52" t="s">
        <v>757</v>
      </c>
      <c r="I788" s="52">
        <v>701000000</v>
      </c>
      <c r="J788" s="51" t="s">
        <v>80</v>
      </c>
      <c r="K788" s="51" t="s">
        <v>81</v>
      </c>
      <c r="L788" s="41">
        <f t="shared" si="60"/>
        <v>3321000000</v>
      </c>
      <c r="M788" s="41">
        <f t="shared" si="61"/>
        <v>2621000000</v>
      </c>
      <c r="N788" s="41">
        <f t="shared" si="62"/>
        <v>700000000</v>
      </c>
      <c r="O788" s="41">
        <f t="shared" si="63"/>
        <v>0.5104594695554725</v>
      </c>
      <c r="P788" s="41">
        <f t="shared" si="64"/>
        <v>0.13074336944340681</v>
      </c>
    </row>
    <row r="789" spans="1:16" ht="19.95" customHeight="1">
      <c r="A789" s="49">
        <v>814</v>
      </c>
      <c r="B789" s="50" t="s">
        <v>424</v>
      </c>
      <c r="C789" s="51" t="s">
        <v>20</v>
      </c>
      <c r="D789" s="51" t="s">
        <v>21</v>
      </c>
      <c r="E789" s="52">
        <v>5387000000</v>
      </c>
      <c r="F789" s="52">
        <v>2012000000</v>
      </c>
      <c r="G789" s="52">
        <v>2011000000</v>
      </c>
      <c r="H789" s="52" t="s">
        <v>757</v>
      </c>
      <c r="I789" s="52">
        <v>716000000</v>
      </c>
      <c r="J789" s="51" t="s">
        <v>80</v>
      </c>
      <c r="K789" s="51" t="s">
        <v>81</v>
      </c>
      <c r="L789" s="41">
        <f t="shared" si="60"/>
        <v>3375000000</v>
      </c>
      <c r="M789" s="41">
        <f t="shared" si="61"/>
        <v>2727000000</v>
      </c>
      <c r="N789" s="41">
        <f t="shared" si="62"/>
        <v>648000000</v>
      </c>
      <c r="O789" s="41">
        <f t="shared" si="63"/>
        <v>0.49378132541303132</v>
      </c>
      <c r="P789" s="41">
        <f t="shared" si="64"/>
        <v>0.1202895860404678</v>
      </c>
    </row>
    <row r="790" spans="1:16" ht="19.95" customHeight="1">
      <c r="A790" s="49">
        <v>815</v>
      </c>
      <c r="B790" s="50" t="s">
        <v>425</v>
      </c>
      <c r="C790" s="51" t="s">
        <v>11</v>
      </c>
      <c r="D790" s="51" t="s">
        <v>12</v>
      </c>
      <c r="E790" s="52">
        <v>6644252000</v>
      </c>
      <c r="F790" s="52">
        <v>3784370000</v>
      </c>
      <c r="G790" s="52">
        <v>1703796000</v>
      </c>
      <c r="H790" s="52" t="s">
        <v>757</v>
      </c>
      <c r="I790" s="52" t="s">
        <v>757</v>
      </c>
      <c r="J790" s="51" t="s">
        <v>60</v>
      </c>
      <c r="K790" s="51" t="s">
        <v>173</v>
      </c>
      <c r="L790" s="41">
        <f t="shared" si="60"/>
        <v>2859882000</v>
      </c>
      <c r="M790" s="41">
        <f t="shared" si="61"/>
        <v>1703796000</v>
      </c>
      <c r="N790" s="41">
        <f t="shared" si="62"/>
        <v>1156086000</v>
      </c>
      <c r="O790" s="41">
        <f t="shared" si="63"/>
        <v>0.74356842576109394</v>
      </c>
      <c r="P790" s="41">
        <f t="shared" si="64"/>
        <v>0.17399791579247748</v>
      </c>
    </row>
    <row r="791" spans="1:16" ht="19.95" customHeight="1">
      <c r="A791" s="49">
        <v>816</v>
      </c>
      <c r="B791" s="50" t="s">
        <v>425</v>
      </c>
      <c r="C791" s="51" t="s">
        <v>16</v>
      </c>
      <c r="D791" s="51" t="s">
        <v>17</v>
      </c>
      <c r="E791" s="52">
        <v>7146079000</v>
      </c>
      <c r="F791" s="52">
        <v>3865231000</v>
      </c>
      <c r="G791" s="52">
        <v>1924132000</v>
      </c>
      <c r="H791" s="52" t="s">
        <v>757</v>
      </c>
      <c r="I791" s="52" t="s">
        <v>757</v>
      </c>
      <c r="J791" s="51" t="s">
        <v>60</v>
      </c>
      <c r="K791" s="51" t="s">
        <v>173</v>
      </c>
      <c r="L791" s="41">
        <f t="shared" si="60"/>
        <v>3280848000</v>
      </c>
      <c r="M791" s="41">
        <f t="shared" si="61"/>
        <v>1924132000</v>
      </c>
      <c r="N791" s="41">
        <f t="shared" si="62"/>
        <v>1356716000</v>
      </c>
      <c r="O791" s="41">
        <f t="shared" si="63"/>
        <v>0.73074297107546671</v>
      </c>
      <c r="P791" s="41">
        <f t="shared" si="64"/>
        <v>0.18985460418223757</v>
      </c>
    </row>
    <row r="792" spans="1:16" ht="19.95" customHeight="1">
      <c r="A792" s="49">
        <v>817</v>
      </c>
      <c r="B792" s="50" t="s">
        <v>425</v>
      </c>
      <c r="C792" s="51" t="s">
        <v>18</v>
      </c>
      <c r="D792" s="51" t="s">
        <v>19</v>
      </c>
      <c r="E792" s="52">
        <v>7421768000</v>
      </c>
      <c r="F792" s="52">
        <v>4085602000</v>
      </c>
      <c r="G792" s="52">
        <v>1898284000</v>
      </c>
      <c r="H792" s="52" t="s">
        <v>757</v>
      </c>
      <c r="I792" s="52" t="s">
        <v>757</v>
      </c>
      <c r="J792" s="51" t="s">
        <v>60</v>
      </c>
      <c r="K792" s="51" t="s">
        <v>173</v>
      </c>
      <c r="L792" s="41">
        <f t="shared" si="60"/>
        <v>3336166000</v>
      </c>
      <c r="M792" s="41">
        <f t="shared" si="61"/>
        <v>1898284000</v>
      </c>
      <c r="N792" s="41">
        <f t="shared" si="62"/>
        <v>1437882000</v>
      </c>
      <c r="O792" s="41">
        <f t="shared" si="63"/>
        <v>0.74422752098960787</v>
      </c>
      <c r="P792" s="41">
        <f t="shared" si="64"/>
        <v>0.19373847309697637</v>
      </c>
    </row>
    <row r="793" spans="1:16" ht="19.95" customHeight="1">
      <c r="A793" s="49">
        <v>818</v>
      </c>
      <c r="B793" s="50" t="s">
        <v>425</v>
      </c>
      <c r="C793" s="51" t="s">
        <v>20</v>
      </c>
      <c r="D793" s="51" t="s">
        <v>21</v>
      </c>
      <c r="E793" s="52">
        <v>7386626000</v>
      </c>
      <c r="F793" s="52">
        <v>4003951000</v>
      </c>
      <c r="G793" s="52">
        <v>1969308000</v>
      </c>
      <c r="H793" s="52" t="s">
        <v>757</v>
      </c>
      <c r="I793" s="52" t="s">
        <v>757</v>
      </c>
      <c r="J793" s="51" t="s">
        <v>60</v>
      </c>
      <c r="K793" s="51" t="s">
        <v>173</v>
      </c>
      <c r="L793" s="41">
        <f t="shared" si="60"/>
        <v>3382675000</v>
      </c>
      <c r="M793" s="41">
        <f t="shared" si="61"/>
        <v>1969308000</v>
      </c>
      <c r="N793" s="41">
        <f t="shared" si="62"/>
        <v>1413367000</v>
      </c>
      <c r="O793" s="41">
        <f t="shared" si="63"/>
        <v>0.73339546363928543</v>
      </c>
      <c r="P793" s="41">
        <f t="shared" si="64"/>
        <v>0.19134135124751139</v>
      </c>
    </row>
    <row r="794" spans="1:16" ht="19.95" customHeight="1">
      <c r="A794" s="49">
        <v>819</v>
      </c>
      <c r="B794" s="50" t="s">
        <v>426</v>
      </c>
      <c r="C794" s="51" t="s">
        <v>11</v>
      </c>
      <c r="D794" s="51" t="s">
        <v>17</v>
      </c>
      <c r="E794" s="52">
        <v>41313000000</v>
      </c>
      <c r="F794" s="52">
        <v>32564000000</v>
      </c>
      <c r="G794" s="52" t="s">
        <v>757</v>
      </c>
      <c r="H794" s="52" t="s">
        <v>757</v>
      </c>
      <c r="I794" s="52">
        <v>6688000000</v>
      </c>
      <c r="J794" s="51" t="s">
        <v>37</v>
      </c>
      <c r="K794" s="51" t="s">
        <v>114</v>
      </c>
      <c r="L794" s="41">
        <f t="shared" si="60"/>
        <v>8749000000</v>
      </c>
      <c r="M794" s="41">
        <f t="shared" si="61"/>
        <v>6688000000</v>
      </c>
      <c r="N794" s="41">
        <f t="shared" si="62"/>
        <v>2061000000</v>
      </c>
      <c r="O794" s="41">
        <f t="shared" si="63"/>
        <v>0.83811391087551135</v>
      </c>
      <c r="P794" s="41">
        <f t="shared" si="64"/>
        <v>4.9887444630019609E-2</v>
      </c>
    </row>
    <row r="795" spans="1:16" ht="19.95" customHeight="1">
      <c r="A795" s="49">
        <v>820</v>
      </c>
      <c r="B795" s="50" t="s">
        <v>426</v>
      </c>
      <c r="C795" s="51" t="s">
        <v>16</v>
      </c>
      <c r="D795" s="51" t="s">
        <v>19</v>
      </c>
      <c r="E795" s="52">
        <v>48500000000</v>
      </c>
      <c r="F795" s="52">
        <v>38166000000</v>
      </c>
      <c r="G795" s="52" t="s">
        <v>757</v>
      </c>
      <c r="H795" s="52" t="s">
        <v>757</v>
      </c>
      <c r="I795" s="52">
        <v>7972000000</v>
      </c>
      <c r="J795" s="51" t="s">
        <v>37</v>
      </c>
      <c r="K795" s="51" t="s">
        <v>114</v>
      </c>
      <c r="L795" s="41">
        <f t="shared" si="60"/>
        <v>10334000000</v>
      </c>
      <c r="M795" s="41">
        <f t="shared" si="61"/>
        <v>7972000000</v>
      </c>
      <c r="N795" s="41">
        <f t="shared" si="62"/>
        <v>2362000000</v>
      </c>
      <c r="O795" s="41">
        <f t="shared" si="63"/>
        <v>0.83562886597938146</v>
      </c>
      <c r="P795" s="41">
        <f t="shared" si="64"/>
        <v>4.8701030927835051E-2</v>
      </c>
    </row>
    <row r="796" spans="1:16" ht="19.95" customHeight="1">
      <c r="A796" s="49">
        <v>821</v>
      </c>
      <c r="B796" s="50" t="s">
        <v>426</v>
      </c>
      <c r="C796" s="51" t="s">
        <v>18</v>
      </c>
      <c r="D796" s="51" t="s">
        <v>21</v>
      </c>
      <c r="E796" s="52">
        <v>54289000000</v>
      </c>
      <c r="F796" s="52">
        <v>44269000000</v>
      </c>
      <c r="G796" s="52" t="s">
        <v>757</v>
      </c>
      <c r="H796" s="52" t="s">
        <v>757</v>
      </c>
      <c r="I796" s="52">
        <v>7673000000</v>
      </c>
      <c r="J796" s="51" t="s">
        <v>37</v>
      </c>
      <c r="K796" s="51" t="s">
        <v>114</v>
      </c>
      <c r="L796" s="41">
        <f t="shared" si="60"/>
        <v>10020000000</v>
      </c>
      <c r="M796" s="41">
        <f t="shared" si="61"/>
        <v>7673000000</v>
      </c>
      <c r="N796" s="41">
        <f t="shared" si="62"/>
        <v>2347000000</v>
      </c>
      <c r="O796" s="41">
        <f t="shared" si="63"/>
        <v>0.85866381771629618</v>
      </c>
      <c r="P796" s="41">
        <f t="shared" si="64"/>
        <v>4.3231593877212697E-2</v>
      </c>
    </row>
    <row r="797" spans="1:16" ht="19.95" customHeight="1">
      <c r="A797" s="49">
        <v>822</v>
      </c>
      <c r="B797" s="50" t="s">
        <v>426</v>
      </c>
      <c r="C797" s="51" t="s">
        <v>20</v>
      </c>
      <c r="D797" s="51" t="s">
        <v>84</v>
      </c>
      <c r="E797" s="52">
        <v>54379000000</v>
      </c>
      <c r="F797" s="52">
        <v>45007000000</v>
      </c>
      <c r="G797" s="52" t="s">
        <v>757</v>
      </c>
      <c r="H797" s="52" t="s">
        <v>757</v>
      </c>
      <c r="I797" s="52">
        <v>7631000000</v>
      </c>
      <c r="J797" s="51" t="s">
        <v>37</v>
      </c>
      <c r="K797" s="51" t="s">
        <v>114</v>
      </c>
      <c r="L797" s="41">
        <f t="shared" si="60"/>
        <v>9372000000</v>
      </c>
      <c r="M797" s="41">
        <f t="shared" si="61"/>
        <v>7631000000</v>
      </c>
      <c r="N797" s="41">
        <f t="shared" si="62"/>
        <v>1741000000</v>
      </c>
      <c r="O797" s="41">
        <f t="shared" si="63"/>
        <v>0.8596700932345207</v>
      </c>
      <c r="P797" s="41">
        <f t="shared" si="64"/>
        <v>3.2016035601978708E-2</v>
      </c>
    </row>
    <row r="798" spans="1:16" ht="19.95" customHeight="1">
      <c r="A798" s="49">
        <v>823</v>
      </c>
      <c r="B798" s="50" t="s">
        <v>427</v>
      </c>
      <c r="C798" s="51" t="s">
        <v>11</v>
      </c>
      <c r="D798" s="51" t="s">
        <v>12</v>
      </c>
      <c r="E798" s="52">
        <v>1028740000</v>
      </c>
      <c r="F798" s="52">
        <v>52513000000</v>
      </c>
      <c r="G798" s="52">
        <v>22389000000</v>
      </c>
      <c r="H798" s="52">
        <v>5816000000</v>
      </c>
      <c r="I798" s="52" t="s">
        <v>757</v>
      </c>
      <c r="J798" s="51" t="s">
        <v>31</v>
      </c>
      <c r="K798" s="51" t="s">
        <v>255</v>
      </c>
      <c r="L798" s="41">
        <f t="shared" si="60"/>
        <v>-51484260000</v>
      </c>
      <c r="M798" s="41">
        <f t="shared" si="61"/>
        <v>28205000000</v>
      </c>
      <c r="N798" s="41">
        <f t="shared" si="62"/>
        <v>-79689260000</v>
      </c>
      <c r="O798" s="41">
        <f t="shared" si="63"/>
        <v>-26.417034430468341</v>
      </c>
      <c r="P798" s="41">
        <f t="shared" si="64"/>
        <v>-77.462974123685285</v>
      </c>
    </row>
    <row r="799" spans="1:16" ht="19.95" customHeight="1">
      <c r="A799" s="49">
        <v>824</v>
      </c>
      <c r="B799" s="50" t="s">
        <v>427</v>
      </c>
      <c r="C799" s="51" t="s">
        <v>16</v>
      </c>
      <c r="D799" s="51" t="s">
        <v>17</v>
      </c>
      <c r="E799" s="52">
        <v>98367000000</v>
      </c>
      <c r="F799" s="52">
        <v>49683000000</v>
      </c>
      <c r="G799" s="52">
        <v>22629000000</v>
      </c>
      <c r="H799" s="52">
        <v>5743000000</v>
      </c>
      <c r="I799" s="52" t="s">
        <v>757</v>
      </c>
      <c r="J799" s="51" t="s">
        <v>31</v>
      </c>
      <c r="K799" s="51" t="s">
        <v>255</v>
      </c>
      <c r="L799" s="41">
        <f t="shared" si="60"/>
        <v>48684000000</v>
      </c>
      <c r="M799" s="41">
        <f t="shared" si="61"/>
        <v>28372000000</v>
      </c>
      <c r="N799" s="41">
        <f t="shared" si="62"/>
        <v>20312000000</v>
      </c>
      <c r="O799" s="41">
        <f t="shared" si="63"/>
        <v>0.71156993707239224</v>
      </c>
      <c r="P799" s="41">
        <f t="shared" si="64"/>
        <v>0.20649201459839173</v>
      </c>
    </row>
    <row r="800" spans="1:16" ht="19.95" customHeight="1">
      <c r="A800" s="49">
        <v>825</v>
      </c>
      <c r="B800" s="50" t="s">
        <v>427</v>
      </c>
      <c r="C800" s="51" t="s">
        <v>18</v>
      </c>
      <c r="D800" s="51" t="s">
        <v>19</v>
      </c>
      <c r="E800" s="52">
        <v>92793000000</v>
      </c>
      <c r="F800" s="52">
        <v>46386000000</v>
      </c>
      <c r="G800" s="52">
        <v>22438000000</v>
      </c>
      <c r="H800" s="52">
        <v>5437000000</v>
      </c>
      <c r="I800" s="52" t="s">
        <v>757</v>
      </c>
      <c r="J800" s="51" t="s">
        <v>31</v>
      </c>
      <c r="K800" s="51" t="s">
        <v>255</v>
      </c>
      <c r="L800" s="41">
        <f t="shared" si="60"/>
        <v>46407000000</v>
      </c>
      <c r="M800" s="41">
        <f t="shared" si="61"/>
        <v>27875000000</v>
      </c>
      <c r="N800" s="41">
        <f t="shared" si="62"/>
        <v>18532000000</v>
      </c>
      <c r="O800" s="41">
        <f t="shared" si="63"/>
        <v>0.69960018535880941</v>
      </c>
      <c r="P800" s="41">
        <f t="shared" si="64"/>
        <v>0.1997133404459388</v>
      </c>
    </row>
    <row r="801" spans="1:16" ht="19.95" customHeight="1">
      <c r="A801" s="49">
        <v>826</v>
      </c>
      <c r="B801" s="50" t="s">
        <v>427</v>
      </c>
      <c r="C801" s="51" t="s">
        <v>20</v>
      </c>
      <c r="D801" s="51" t="s">
        <v>21</v>
      </c>
      <c r="E801" s="52">
        <v>81741000000</v>
      </c>
      <c r="F801" s="52">
        <v>41057000000</v>
      </c>
      <c r="G801" s="52">
        <v>19748000000</v>
      </c>
      <c r="H801" s="52">
        <v>5247000000</v>
      </c>
      <c r="I801" s="52" t="s">
        <v>757</v>
      </c>
      <c r="J801" s="51" t="s">
        <v>31</v>
      </c>
      <c r="K801" s="51" t="s">
        <v>255</v>
      </c>
      <c r="L801" s="41">
        <f t="shared" si="60"/>
        <v>40684000000</v>
      </c>
      <c r="M801" s="41">
        <f t="shared" si="61"/>
        <v>24995000000</v>
      </c>
      <c r="N801" s="41">
        <f t="shared" si="62"/>
        <v>15689000000</v>
      </c>
      <c r="O801" s="41">
        <f t="shared" si="63"/>
        <v>0.69421710035355577</v>
      </c>
      <c r="P801" s="41">
        <f t="shared" si="64"/>
        <v>0.19193550360284312</v>
      </c>
    </row>
    <row r="802" spans="1:16" ht="19.95" customHeight="1">
      <c r="A802" s="49">
        <v>827</v>
      </c>
      <c r="B802" s="50" t="s">
        <v>428</v>
      </c>
      <c r="C802" s="51" t="s">
        <v>11</v>
      </c>
      <c r="D802" s="51" t="s">
        <v>12</v>
      </c>
      <c r="E802" s="52">
        <v>1293338000</v>
      </c>
      <c r="F802" s="52">
        <v>594190000</v>
      </c>
      <c r="G802" s="52">
        <v>354571000</v>
      </c>
      <c r="H802" s="52">
        <v>82014000</v>
      </c>
      <c r="I802" s="52" t="s">
        <v>757</v>
      </c>
      <c r="J802" s="51" t="s">
        <v>37</v>
      </c>
      <c r="K802" s="51" t="s">
        <v>46</v>
      </c>
      <c r="L802" s="41">
        <f t="shared" si="60"/>
        <v>699148000</v>
      </c>
      <c r="M802" s="41">
        <f t="shared" si="61"/>
        <v>436585000</v>
      </c>
      <c r="N802" s="41">
        <f t="shared" si="62"/>
        <v>262563000</v>
      </c>
      <c r="O802" s="41">
        <f t="shared" si="63"/>
        <v>0.66243549636676569</v>
      </c>
      <c r="P802" s="41">
        <f t="shared" si="64"/>
        <v>0.2030118963488276</v>
      </c>
    </row>
    <row r="803" spans="1:16" ht="19.95" customHeight="1">
      <c r="A803" s="49">
        <v>828</v>
      </c>
      <c r="B803" s="50" t="s">
        <v>428</v>
      </c>
      <c r="C803" s="51" t="s">
        <v>16</v>
      </c>
      <c r="D803" s="51" t="s">
        <v>17</v>
      </c>
      <c r="E803" s="52">
        <v>1377058000</v>
      </c>
      <c r="F803" s="52">
        <v>620940000</v>
      </c>
      <c r="G803" s="52">
        <v>401353000</v>
      </c>
      <c r="H803" s="52">
        <v>88003000</v>
      </c>
      <c r="I803" s="52" t="s">
        <v>757</v>
      </c>
      <c r="J803" s="51" t="s">
        <v>37</v>
      </c>
      <c r="K803" s="51" t="s">
        <v>46</v>
      </c>
      <c r="L803" s="41">
        <f t="shared" si="60"/>
        <v>756118000</v>
      </c>
      <c r="M803" s="41">
        <f t="shared" si="61"/>
        <v>489356000</v>
      </c>
      <c r="N803" s="41">
        <f t="shared" si="62"/>
        <v>266762000</v>
      </c>
      <c r="O803" s="41">
        <f t="shared" si="63"/>
        <v>0.64463660935124012</v>
      </c>
      <c r="P803" s="41">
        <f t="shared" si="64"/>
        <v>0.19371878308684165</v>
      </c>
    </row>
    <row r="804" spans="1:16" ht="19.95" customHeight="1">
      <c r="A804" s="49">
        <v>829</v>
      </c>
      <c r="B804" s="50" t="s">
        <v>428</v>
      </c>
      <c r="C804" s="51" t="s">
        <v>18</v>
      </c>
      <c r="D804" s="51" t="s">
        <v>19</v>
      </c>
      <c r="E804" s="52">
        <v>1485807000</v>
      </c>
      <c r="F804" s="52">
        <v>669691000</v>
      </c>
      <c r="G804" s="52">
        <v>457598000</v>
      </c>
      <c r="H804" s="52">
        <v>98263000</v>
      </c>
      <c r="I804" s="52" t="s">
        <v>757</v>
      </c>
      <c r="J804" s="51" t="s">
        <v>37</v>
      </c>
      <c r="K804" s="51" t="s">
        <v>46</v>
      </c>
      <c r="L804" s="41">
        <f t="shared" si="60"/>
        <v>816116000</v>
      </c>
      <c r="M804" s="41">
        <f t="shared" si="61"/>
        <v>555861000</v>
      </c>
      <c r="N804" s="41">
        <f t="shared" si="62"/>
        <v>260255000</v>
      </c>
      <c r="O804" s="41">
        <f t="shared" si="63"/>
        <v>0.62588613460563858</v>
      </c>
      <c r="P804" s="41">
        <f t="shared" si="64"/>
        <v>0.17516070391376537</v>
      </c>
    </row>
    <row r="805" spans="1:16" ht="19.95" customHeight="1">
      <c r="A805" s="49">
        <v>830</v>
      </c>
      <c r="B805" s="50" t="s">
        <v>428</v>
      </c>
      <c r="C805" s="51" t="s">
        <v>20</v>
      </c>
      <c r="D805" s="51" t="s">
        <v>21</v>
      </c>
      <c r="E805" s="52">
        <v>1601892000</v>
      </c>
      <c r="F805" s="52">
        <v>711622000</v>
      </c>
      <c r="G805" s="52">
        <v>482465000</v>
      </c>
      <c r="H805" s="52">
        <v>99681000</v>
      </c>
      <c r="I805" s="52" t="s">
        <v>757</v>
      </c>
      <c r="J805" s="51" t="s">
        <v>37</v>
      </c>
      <c r="K805" s="51" t="s">
        <v>46</v>
      </c>
      <c r="L805" s="41">
        <f t="shared" si="60"/>
        <v>890270000</v>
      </c>
      <c r="M805" s="41">
        <f t="shared" si="61"/>
        <v>582146000</v>
      </c>
      <c r="N805" s="41">
        <f t="shared" si="62"/>
        <v>308124000</v>
      </c>
      <c r="O805" s="41">
        <f t="shared" si="63"/>
        <v>0.63658848411753099</v>
      </c>
      <c r="P805" s="41">
        <f t="shared" si="64"/>
        <v>0.19235004607052161</v>
      </c>
    </row>
    <row r="806" spans="1:16" ht="19.95" customHeight="1">
      <c r="A806" s="49">
        <v>831</v>
      </c>
      <c r="B806" s="50" t="s">
        <v>429</v>
      </c>
      <c r="C806" s="51" t="s">
        <v>11</v>
      </c>
      <c r="D806" s="51" t="s">
        <v>12</v>
      </c>
      <c r="E806" s="52">
        <v>2821446000</v>
      </c>
      <c r="F806" s="52">
        <v>1645912000</v>
      </c>
      <c r="G806" s="52">
        <v>453535000</v>
      </c>
      <c r="H806" s="52">
        <v>233713000</v>
      </c>
      <c r="I806" s="52" t="s">
        <v>757</v>
      </c>
      <c r="J806" s="51" t="s">
        <v>88</v>
      </c>
      <c r="K806" s="51" t="s">
        <v>89</v>
      </c>
      <c r="L806" s="41">
        <f t="shared" si="60"/>
        <v>1175534000</v>
      </c>
      <c r="M806" s="41">
        <f t="shared" si="61"/>
        <v>687248000</v>
      </c>
      <c r="N806" s="41">
        <f t="shared" si="62"/>
        <v>488286000</v>
      </c>
      <c r="O806" s="41">
        <f t="shared" si="63"/>
        <v>0.75641993502622418</v>
      </c>
      <c r="P806" s="41">
        <f t="shared" si="64"/>
        <v>0.17306232336185062</v>
      </c>
    </row>
    <row r="807" spans="1:16" ht="19.95" customHeight="1">
      <c r="A807" s="49">
        <v>832</v>
      </c>
      <c r="B807" s="50" t="s">
        <v>429</v>
      </c>
      <c r="C807" s="51" t="s">
        <v>16</v>
      </c>
      <c r="D807" s="51" t="s">
        <v>17</v>
      </c>
      <c r="E807" s="52">
        <v>2952896000</v>
      </c>
      <c r="F807" s="52">
        <v>1668691000</v>
      </c>
      <c r="G807" s="52">
        <v>505877000</v>
      </c>
      <c r="H807" s="52">
        <v>259838000</v>
      </c>
      <c r="I807" s="52" t="s">
        <v>757</v>
      </c>
      <c r="J807" s="51" t="s">
        <v>88</v>
      </c>
      <c r="K807" s="51" t="s">
        <v>89</v>
      </c>
      <c r="L807" s="41">
        <f t="shared" si="60"/>
        <v>1284205000</v>
      </c>
      <c r="M807" s="41">
        <f t="shared" si="61"/>
        <v>765715000</v>
      </c>
      <c r="N807" s="41">
        <f t="shared" si="62"/>
        <v>518490000</v>
      </c>
      <c r="O807" s="41">
        <f t="shared" si="63"/>
        <v>0.74069015637530078</v>
      </c>
      <c r="P807" s="41">
        <f t="shared" si="64"/>
        <v>0.17558694921866533</v>
      </c>
    </row>
    <row r="808" spans="1:16" ht="19.95" customHeight="1">
      <c r="A808" s="49">
        <v>833</v>
      </c>
      <c r="B808" s="50" t="s">
        <v>429</v>
      </c>
      <c r="C808" s="51" t="s">
        <v>18</v>
      </c>
      <c r="D808" s="51" t="s">
        <v>19</v>
      </c>
      <c r="E808" s="52">
        <v>3088533000</v>
      </c>
      <c r="F808" s="52">
        <v>1726383000</v>
      </c>
      <c r="G808" s="52">
        <v>514891000</v>
      </c>
      <c r="H808" s="52">
        <v>253640000</v>
      </c>
      <c r="I808" s="52" t="s">
        <v>757</v>
      </c>
      <c r="J808" s="51" t="s">
        <v>88</v>
      </c>
      <c r="K808" s="51" t="s">
        <v>89</v>
      </c>
      <c r="L808" s="41">
        <f t="shared" si="60"/>
        <v>1362150000</v>
      </c>
      <c r="M808" s="41">
        <f t="shared" si="61"/>
        <v>768531000</v>
      </c>
      <c r="N808" s="41">
        <f t="shared" si="62"/>
        <v>593619000</v>
      </c>
      <c r="O808" s="41">
        <f t="shared" si="63"/>
        <v>0.75116633042289005</v>
      </c>
      <c r="P808" s="41">
        <f t="shared" si="64"/>
        <v>0.19220095754197866</v>
      </c>
    </row>
    <row r="809" spans="1:16" ht="19.95" customHeight="1">
      <c r="A809" s="49">
        <v>834</v>
      </c>
      <c r="B809" s="50" t="s">
        <v>429</v>
      </c>
      <c r="C809" s="51" t="s">
        <v>20</v>
      </c>
      <c r="D809" s="51" t="s">
        <v>21</v>
      </c>
      <c r="E809" s="52">
        <v>3023189000</v>
      </c>
      <c r="F809" s="52">
        <v>1671590000</v>
      </c>
      <c r="G809" s="52">
        <v>509557000</v>
      </c>
      <c r="H809" s="52">
        <v>246101000</v>
      </c>
      <c r="I809" s="52" t="s">
        <v>757</v>
      </c>
      <c r="J809" s="51" t="s">
        <v>88</v>
      </c>
      <c r="K809" s="51" t="s">
        <v>89</v>
      </c>
      <c r="L809" s="41">
        <f t="shared" si="60"/>
        <v>1351599000</v>
      </c>
      <c r="M809" s="41">
        <f t="shared" si="61"/>
        <v>755658000</v>
      </c>
      <c r="N809" s="41">
        <f t="shared" si="62"/>
        <v>595941000</v>
      </c>
      <c r="O809" s="41">
        <f t="shared" si="63"/>
        <v>0.75004606063332457</v>
      </c>
      <c r="P809" s="41">
        <f t="shared" si="64"/>
        <v>0.19712330257883315</v>
      </c>
    </row>
    <row r="810" spans="1:16" ht="19.95" customHeight="1">
      <c r="A810" s="49">
        <v>835</v>
      </c>
      <c r="B810" s="50" t="s">
        <v>430</v>
      </c>
      <c r="C810" s="51" t="s">
        <v>11</v>
      </c>
      <c r="D810" s="51" t="s">
        <v>386</v>
      </c>
      <c r="E810" s="52">
        <v>1421178000</v>
      </c>
      <c r="F810" s="52">
        <v>509291000</v>
      </c>
      <c r="G810" s="52">
        <v>397285000</v>
      </c>
      <c r="H810" s="52">
        <v>276743000</v>
      </c>
      <c r="I810" s="52" t="s">
        <v>757</v>
      </c>
      <c r="J810" s="51" t="s">
        <v>37</v>
      </c>
      <c r="K810" s="51" t="s">
        <v>431</v>
      </c>
      <c r="L810" s="41">
        <f t="shared" si="60"/>
        <v>911887000</v>
      </c>
      <c r="M810" s="41">
        <f t="shared" si="61"/>
        <v>674028000</v>
      </c>
      <c r="N810" s="41">
        <f t="shared" si="62"/>
        <v>237859000</v>
      </c>
      <c r="O810" s="41">
        <f t="shared" si="63"/>
        <v>0.52572584152020374</v>
      </c>
      <c r="P810" s="41">
        <f t="shared" si="64"/>
        <v>0.16736749372703488</v>
      </c>
    </row>
    <row r="811" spans="1:16" ht="19.95" customHeight="1">
      <c r="A811" s="49">
        <v>836</v>
      </c>
      <c r="B811" s="50" t="s">
        <v>430</v>
      </c>
      <c r="C811" s="51" t="s">
        <v>16</v>
      </c>
      <c r="D811" s="51" t="s">
        <v>387</v>
      </c>
      <c r="E811" s="52">
        <v>1861358000</v>
      </c>
      <c r="F811" s="52">
        <v>563648000</v>
      </c>
      <c r="G811" s="52">
        <v>471921000</v>
      </c>
      <c r="H811" s="52">
        <v>388055000</v>
      </c>
      <c r="I811" s="52" t="s">
        <v>757</v>
      </c>
      <c r="J811" s="51" t="s">
        <v>37</v>
      </c>
      <c r="K811" s="51" t="s">
        <v>431</v>
      </c>
      <c r="L811" s="41">
        <f t="shared" si="60"/>
        <v>1297710000</v>
      </c>
      <c r="M811" s="41">
        <f t="shared" si="61"/>
        <v>859976000</v>
      </c>
      <c r="N811" s="41">
        <f t="shared" si="62"/>
        <v>437734000</v>
      </c>
      <c r="O811" s="41">
        <f t="shared" si="63"/>
        <v>0.53798463272513941</v>
      </c>
      <c r="P811" s="41">
        <f t="shared" si="64"/>
        <v>0.23516916144019581</v>
      </c>
    </row>
    <row r="812" spans="1:16" ht="19.95" customHeight="1">
      <c r="A812" s="49">
        <v>837</v>
      </c>
      <c r="B812" s="50" t="s">
        <v>430</v>
      </c>
      <c r="C812" s="51" t="s">
        <v>18</v>
      </c>
      <c r="D812" s="51" t="s">
        <v>432</v>
      </c>
      <c r="E812" s="52">
        <v>2219762000</v>
      </c>
      <c r="F812" s="52">
        <v>670472000</v>
      </c>
      <c r="G812" s="52">
        <v>522046000</v>
      </c>
      <c r="H812" s="52">
        <v>401527000</v>
      </c>
      <c r="I812" s="52" t="s">
        <v>757</v>
      </c>
      <c r="J812" s="51" t="s">
        <v>37</v>
      </c>
      <c r="K812" s="51" t="s">
        <v>431</v>
      </c>
      <c r="L812" s="41">
        <f t="shared" si="60"/>
        <v>1549290000</v>
      </c>
      <c r="M812" s="41">
        <f t="shared" si="61"/>
        <v>923573000</v>
      </c>
      <c r="N812" s="41">
        <f t="shared" si="62"/>
        <v>625717000</v>
      </c>
      <c r="O812" s="41">
        <f t="shared" si="63"/>
        <v>0.58393152058644127</v>
      </c>
      <c r="P812" s="41">
        <f t="shared" si="64"/>
        <v>0.28188472457858094</v>
      </c>
    </row>
    <row r="813" spans="1:16" ht="19.95" customHeight="1">
      <c r="A813" s="49">
        <v>838</v>
      </c>
      <c r="B813" s="50" t="s">
        <v>430</v>
      </c>
      <c r="C813" s="51" t="s">
        <v>20</v>
      </c>
      <c r="D813" s="51" t="s">
        <v>433</v>
      </c>
      <c r="E813" s="52">
        <v>2398373000</v>
      </c>
      <c r="F813" s="52">
        <v>731925000</v>
      </c>
      <c r="G813" s="52">
        <v>584491000</v>
      </c>
      <c r="H813" s="52">
        <v>504415000</v>
      </c>
      <c r="I813" s="52" t="s">
        <v>757</v>
      </c>
      <c r="J813" s="51" t="s">
        <v>37</v>
      </c>
      <c r="K813" s="51" t="s">
        <v>431</v>
      </c>
      <c r="L813" s="41">
        <f t="shared" si="60"/>
        <v>1666448000</v>
      </c>
      <c r="M813" s="41">
        <f t="shared" si="61"/>
        <v>1088906000</v>
      </c>
      <c r="N813" s="41">
        <f t="shared" si="62"/>
        <v>577542000</v>
      </c>
      <c r="O813" s="41">
        <f t="shared" si="63"/>
        <v>0.54598137987710837</v>
      </c>
      <c r="P813" s="41">
        <f t="shared" si="64"/>
        <v>0.24080574622879761</v>
      </c>
    </row>
    <row r="814" spans="1:16" ht="19.95" customHeight="1">
      <c r="A814" s="49">
        <v>839</v>
      </c>
      <c r="B814" s="50" t="s">
        <v>434</v>
      </c>
      <c r="C814" s="51" t="s">
        <v>11</v>
      </c>
      <c r="D814" s="51" t="s">
        <v>26</v>
      </c>
      <c r="E814" s="52">
        <v>52708000000</v>
      </c>
      <c r="F814" s="52">
        <v>21187000000</v>
      </c>
      <c r="G814" s="52">
        <v>8088000000</v>
      </c>
      <c r="H814" s="52">
        <v>10611000000</v>
      </c>
      <c r="I814" s="52">
        <v>291000000</v>
      </c>
      <c r="J814" s="51" t="s">
        <v>31</v>
      </c>
      <c r="K814" s="51" t="s">
        <v>55</v>
      </c>
      <c r="L814" s="41">
        <f t="shared" si="60"/>
        <v>31521000000</v>
      </c>
      <c r="M814" s="41">
        <f t="shared" si="61"/>
        <v>18990000000</v>
      </c>
      <c r="N814" s="41">
        <f t="shared" si="62"/>
        <v>12531000000</v>
      </c>
      <c r="O814" s="41">
        <f t="shared" si="63"/>
        <v>0.63971313652576467</v>
      </c>
      <c r="P814" s="41">
        <f t="shared" si="64"/>
        <v>0.23774379600819609</v>
      </c>
    </row>
    <row r="815" spans="1:16" ht="19.95" customHeight="1">
      <c r="A815" s="49">
        <v>840</v>
      </c>
      <c r="B815" s="50" t="s">
        <v>434</v>
      </c>
      <c r="C815" s="51" t="s">
        <v>16</v>
      </c>
      <c r="D815" s="51" t="s">
        <v>376</v>
      </c>
      <c r="E815" s="52">
        <v>55870000000</v>
      </c>
      <c r="F815" s="52">
        <v>20261000000</v>
      </c>
      <c r="G815" s="52">
        <v>8136000000</v>
      </c>
      <c r="H815" s="52">
        <v>11537000000</v>
      </c>
      <c r="I815" s="52">
        <v>294000000</v>
      </c>
      <c r="J815" s="51" t="s">
        <v>31</v>
      </c>
      <c r="K815" s="51" t="s">
        <v>55</v>
      </c>
      <c r="L815" s="41">
        <f t="shared" si="60"/>
        <v>35609000000</v>
      </c>
      <c r="M815" s="41">
        <f t="shared" si="61"/>
        <v>19967000000</v>
      </c>
      <c r="N815" s="41">
        <f t="shared" si="62"/>
        <v>15642000000</v>
      </c>
      <c r="O815" s="41">
        <f t="shared" si="63"/>
        <v>0.64261678897440488</v>
      </c>
      <c r="P815" s="41">
        <f t="shared" si="64"/>
        <v>0.27997136209056739</v>
      </c>
    </row>
    <row r="816" spans="1:16" ht="19.95" customHeight="1">
      <c r="A816" s="49">
        <v>841</v>
      </c>
      <c r="B816" s="50" t="s">
        <v>434</v>
      </c>
      <c r="C816" s="51" t="s">
        <v>18</v>
      </c>
      <c r="D816" s="51" t="s">
        <v>377</v>
      </c>
      <c r="E816" s="52">
        <v>55355000000</v>
      </c>
      <c r="F816" s="52">
        <v>20676000000</v>
      </c>
      <c r="G816" s="52">
        <v>7930000000</v>
      </c>
      <c r="H816" s="52">
        <v>12128000000</v>
      </c>
      <c r="I816" s="52">
        <v>265000000</v>
      </c>
      <c r="J816" s="51" t="s">
        <v>31</v>
      </c>
      <c r="K816" s="51" t="s">
        <v>55</v>
      </c>
      <c r="L816" s="41">
        <f t="shared" si="60"/>
        <v>34679000000</v>
      </c>
      <c r="M816" s="41">
        <f t="shared" si="61"/>
        <v>20323000000</v>
      </c>
      <c r="N816" s="41">
        <f t="shared" si="62"/>
        <v>14356000000</v>
      </c>
      <c r="O816" s="41">
        <f t="shared" si="63"/>
        <v>0.63286062686297528</v>
      </c>
      <c r="P816" s="41">
        <f t="shared" si="64"/>
        <v>0.2593442326799747</v>
      </c>
    </row>
    <row r="817" spans="1:16" ht="19.95" customHeight="1">
      <c r="A817" s="49">
        <v>842</v>
      </c>
      <c r="B817" s="50" t="s">
        <v>434</v>
      </c>
      <c r="C817" s="51" t="s">
        <v>20</v>
      </c>
      <c r="D817" s="51" t="s">
        <v>84</v>
      </c>
      <c r="E817" s="52">
        <v>59387000000</v>
      </c>
      <c r="F817" s="52">
        <v>23196000000</v>
      </c>
      <c r="G817" s="52">
        <v>8397000000</v>
      </c>
      <c r="H817" s="52">
        <v>12740000000</v>
      </c>
      <c r="I817" s="52">
        <v>294000000</v>
      </c>
      <c r="J817" s="51" t="s">
        <v>31</v>
      </c>
      <c r="K817" s="51" t="s">
        <v>55</v>
      </c>
      <c r="L817" s="41">
        <f t="shared" si="60"/>
        <v>36191000000</v>
      </c>
      <c r="M817" s="41">
        <f t="shared" si="61"/>
        <v>21431000000</v>
      </c>
      <c r="N817" s="41">
        <f t="shared" si="62"/>
        <v>14760000000</v>
      </c>
      <c r="O817" s="41">
        <f t="shared" si="63"/>
        <v>0.63912977587687547</v>
      </c>
      <c r="P817" s="41">
        <f t="shared" si="64"/>
        <v>0.24853924259518076</v>
      </c>
    </row>
    <row r="818" spans="1:16" ht="19.95" customHeight="1">
      <c r="A818" s="49">
        <v>843</v>
      </c>
      <c r="B818" s="50" t="s">
        <v>435</v>
      </c>
      <c r="C818" s="51" t="s">
        <v>11</v>
      </c>
      <c r="D818" s="51" t="s">
        <v>436</v>
      </c>
      <c r="E818" s="52">
        <v>3946000000</v>
      </c>
      <c r="F818" s="52">
        <v>527000000</v>
      </c>
      <c r="G818" s="52">
        <v>1534000000</v>
      </c>
      <c r="H818" s="52">
        <v>647000000</v>
      </c>
      <c r="I818" s="52">
        <v>30000000</v>
      </c>
      <c r="J818" s="51" t="s">
        <v>31</v>
      </c>
      <c r="K818" s="51" t="s">
        <v>86</v>
      </c>
      <c r="L818" s="41">
        <f t="shared" si="60"/>
        <v>3419000000</v>
      </c>
      <c r="M818" s="41">
        <f t="shared" si="61"/>
        <v>2211000000</v>
      </c>
      <c r="N818" s="41">
        <f t="shared" si="62"/>
        <v>1208000000</v>
      </c>
      <c r="O818" s="41">
        <f t="shared" si="63"/>
        <v>0.43968575772934615</v>
      </c>
      <c r="P818" s="41">
        <f t="shared" si="64"/>
        <v>0.30613279270146987</v>
      </c>
    </row>
    <row r="819" spans="1:16" ht="19.95" customHeight="1">
      <c r="A819" s="49">
        <v>844</v>
      </c>
      <c r="B819" s="50" t="s">
        <v>435</v>
      </c>
      <c r="C819" s="51" t="s">
        <v>16</v>
      </c>
      <c r="D819" s="51" t="s">
        <v>437</v>
      </c>
      <c r="E819" s="52">
        <v>4243000000</v>
      </c>
      <c r="F819" s="52">
        <v>603000000</v>
      </c>
      <c r="G819" s="52">
        <v>1601000000</v>
      </c>
      <c r="H819" s="52">
        <v>714000000</v>
      </c>
      <c r="I819" s="52">
        <v>25000000</v>
      </c>
      <c r="J819" s="51" t="s">
        <v>31</v>
      </c>
      <c r="K819" s="51" t="s">
        <v>86</v>
      </c>
      <c r="L819" s="41">
        <f t="shared" si="60"/>
        <v>3640000000</v>
      </c>
      <c r="M819" s="41">
        <f t="shared" si="61"/>
        <v>2340000000</v>
      </c>
      <c r="N819" s="41">
        <f t="shared" si="62"/>
        <v>1300000000</v>
      </c>
      <c r="O819" s="41">
        <f t="shared" si="63"/>
        <v>0.44850341739335375</v>
      </c>
      <c r="P819" s="41">
        <f t="shared" si="64"/>
        <v>0.30638699033702571</v>
      </c>
    </row>
    <row r="820" spans="1:16" ht="19.95" customHeight="1">
      <c r="A820" s="49">
        <v>845</v>
      </c>
      <c r="B820" s="50" t="s">
        <v>435</v>
      </c>
      <c r="C820" s="51" t="s">
        <v>18</v>
      </c>
      <c r="D820" s="51" t="s">
        <v>438</v>
      </c>
      <c r="E820" s="52">
        <v>4192000000</v>
      </c>
      <c r="F820" s="52">
        <v>695000000</v>
      </c>
      <c r="G820" s="52">
        <v>1771000000</v>
      </c>
      <c r="H820" s="52">
        <v>798000000</v>
      </c>
      <c r="I820" s="52">
        <v>42000000</v>
      </c>
      <c r="J820" s="51" t="s">
        <v>31</v>
      </c>
      <c r="K820" s="51" t="s">
        <v>86</v>
      </c>
      <c r="L820" s="41">
        <f t="shared" si="60"/>
        <v>3497000000</v>
      </c>
      <c r="M820" s="41">
        <f t="shared" si="61"/>
        <v>2611000000</v>
      </c>
      <c r="N820" s="41">
        <f t="shared" si="62"/>
        <v>886000000</v>
      </c>
      <c r="O820" s="41">
        <f t="shared" si="63"/>
        <v>0.37714694656488545</v>
      </c>
      <c r="P820" s="41">
        <f t="shared" si="64"/>
        <v>0.21135496183206107</v>
      </c>
    </row>
    <row r="821" spans="1:16" ht="19.95" customHeight="1">
      <c r="A821" s="49">
        <v>846</v>
      </c>
      <c r="B821" s="50" t="s">
        <v>435</v>
      </c>
      <c r="C821" s="51" t="s">
        <v>20</v>
      </c>
      <c r="D821" s="51" t="s">
        <v>245</v>
      </c>
      <c r="E821" s="52">
        <v>4694000000</v>
      </c>
      <c r="F821" s="52">
        <v>730000000</v>
      </c>
      <c r="G821" s="52">
        <v>1807000000</v>
      </c>
      <c r="H821" s="52">
        <v>881000000</v>
      </c>
      <c r="I821" s="52">
        <v>34000000</v>
      </c>
      <c r="J821" s="51" t="s">
        <v>31</v>
      </c>
      <c r="K821" s="51" t="s">
        <v>86</v>
      </c>
      <c r="L821" s="41">
        <f t="shared" si="60"/>
        <v>3964000000</v>
      </c>
      <c r="M821" s="41">
        <f t="shared" si="61"/>
        <v>2722000000</v>
      </c>
      <c r="N821" s="41">
        <f t="shared" si="62"/>
        <v>1242000000</v>
      </c>
      <c r="O821" s="41">
        <f t="shared" si="63"/>
        <v>0.42011077971878996</v>
      </c>
      <c r="P821" s="41">
        <f t="shared" si="64"/>
        <v>0.26459309757136773</v>
      </c>
    </row>
    <row r="822" spans="1:16" ht="19.95" customHeight="1">
      <c r="A822" s="49">
        <v>847</v>
      </c>
      <c r="B822" s="50" t="s">
        <v>439</v>
      </c>
      <c r="C822" s="51" t="s">
        <v>11</v>
      </c>
      <c r="D822" s="51" t="s">
        <v>12</v>
      </c>
      <c r="E822" s="52">
        <v>21852000000</v>
      </c>
      <c r="F822" s="52">
        <v>15287000000</v>
      </c>
      <c r="G822" s="52">
        <v>3303000000</v>
      </c>
      <c r="H822" s="52" t="s">
        <v>757</v>
      </c>
      <c r="I822" s="52">
        <v>1473000000</v>
      </c>
      <c r="J822" s="51" t="s">
        <v>88</v>
      </c>
      <c r="K822" s="51" t="s">
        <v>130</v>
      </c>
      <c r="L822" s="41">
        <f t="shared" si="60"/>
        <v>6565000000</v>
      </c>
      <c r="M822" s="41">
        <f t="shared" si="61"/>
        <v>4776000000</v>
      </c>
      <c r="N822" s="41">
        <f t="shared" si="62"/>
        <v>1789000000</v>
      </c>
      <c r="O822" s="41">
        <f t="shared" si="63"/>
        <v>0.78143876990664474</v>
      </c>
      <c r="P822" s="41">
        <f t="shared" si="64"/>
        <v>8.1868936481786558E-2</v>
      </c>
    </row>
    <row r="823" spans="1:16" ht="19.95" customHeight="1">
      <c r="A823" s="49">
        <v>848</v>
      </c>
      <c r="B823" s="50" t="s">
        <v>439</v>
      </c>
      <c r="C823" s="51" t="s">
        <v>16</v>
      </c>
      <c r="D823" s="51" t="s">
        <v>17</v>
      </c>
      <c r="E823" s="52">
        <v>23483000000</v>
      </c>
      <c r="F823" s="52">
        <v>16282000000</v>
      </c>
      <c r="G823" s="52">
        <v>3557000000</v>
      </c>
      <c r="H823" s="52" t="s">
        <v>757</v>
      </c>
      <c r="I823" s="52">
        <v>1531000000</v>
      </c>
      <c r="J823" s="51" t="s">
        <v>88</v>
      </c>
      <c r="K823" s="51" t="s">
        <v>130</v>
      </c>
      <c r="L823" s="41">
        <f t="shared" si="60"/>
        <v>7201000000</v>
      </c>
      <c r="M823" s="41">
        <f t="shared" si="61"/>
        <v>5088000000</v>
      </c>
      <c r="N823" s="41">
        <f t="shared" si="62"/>
        <v>2113000000</v>
      </c>
      <c r="O823" s="41">
        <f t="shared" si="63"/>
        <v>0.78333262360005107</v>
      </c>
      <c r="P823" s="41">
        <f t="shared" si="64"/>
        <v>8.9979985521441042E-2</v>
      </c>
    </row>
    <row r="824" spans="1:16" ht="19.95" customHeight="1">
      <c r="A824" s="49">
        <v>849</v>
      </c>
      <c r="B824" s="50" t="s">
        <v>439</v>
      </c>
      <c r="C824" s="51" t="s">
        <v>18</v>
      </c>
      <c r="D824" s="51" t="s">
        <v>19</v>
      </c>
      <c r="E824" s="52">
        <v>23617000000</v>
      </c>
      <c r="F824" s="52">
        <v>16254000000</v>
      </c>
      <c r="G824" s="52">
        <v>3494000000</v>
      </c>
      <c r="H824" s="52" t="s">
        <v>757</v>
      </c>
      <c r="I824" s="52">
        <v>1406000000</v>
      </c>
      <c r="J824" s="51" t="s">
        <v>88</v>
      </c>
      <c r="K824" s="51" t="s">
        <v>130</v>
      </c>
      <c r="L824" s="41">
        <f t="shared" si="60"/>
        <v>7363000000</v>
      </c>
      <c r="M824" s="41">
        <f t="shared" si="61"/>
        <v>4900000000</v>
      </c>
      <c r="N824" s="41">
        <f t="shared" si="62"/>
        <v>2463000000</v>
      </c>
      <c r="O824" s="41">
        <f t="shared" si="63"/>
        <v>0.79252233560570773</v>
      </c>
      <c r="P824" s="41">
        <f t="shared" si="64"/>
        <v>0.10428928314349832</v>
      </c>
    </row>
    <row r="825" spans="1:16" ht="19.95" customHeight="1">
      <c r="A825" s="49">
        <v>850</v>
      </c>
      <c r="B825" s="50" t="s">
        <v>439</v>
      </c>
      <c r="C825" s="51" t="s">
        <v>20</v>
      </c>
      <c r="D825" s="51" t="s">
        <v>21</v>
      </c>
      <c r="E825" s="52">
        <v>22365000000</v>
      </c>
      <c r="F825" s="52">
        <v>15468000000</v>
      </c>
      <c r="G825" s="52">
        <v>3219000000</v>
      </c>
      <c r="H825" s="52" t="s">
        <v>757</v>
      </c>
      <c r="I825" s="52">
        <v>1294000000</v>
      </c>
      <c r="J825" s="51" t="s">
        <v>88</v>
      </c>
      <c r="K825" s="51" t="s">
        <v>130</v>
      </c>
      <c r="L825" s="41">
        <f t="shared" si="60"/>
        <v>6897000000</v>
      </c>
      <c r="M825" s="41">
        <f t="shared" si="61"/>
        <v>4513000000</v>
      </c>
      <c r="N825" s="41">
        <f t="shared" si="62"/>
        <v>2384000000</v>
      </c>
      <c r="O825" s="41">
        <f t="shared" si="63"/>
        <v>0.79821149116923762</v>
      </c>
      <c r="P825" s="41">
        <f t="shared" si="64"/>
        <v>0.10659512631343618</v>
      </c>
    </row>
    <row r="826" spans="1:16" ht="19.95" customHeight="1">
      <c r="A826" s="49">
        <v>851</v>
      </c>
      <c r="B826" s="50" t="s">
        <v>440</v>
      </c>
      <c r="C826" s="51" t="s">
        <v>11</v>
      </c>
      <c r="D826" s="51" t="s">
        <v>12</v>
      </c>
      <c r="E826" s="52">
        <v>6956200000</v>
      </c>
      <c r="F826" s="52" t="s">
        <v>757</v>
      </c>
      <c r="G826" s="52">
        <v>6279100000</v>
      </c>
      <c r="H826" s="52" t="s">
        <v>757</v>
      </c>
      <c r="I826" s="52" t="s">
        <v>757</v>
      </c>
      <c r="J826" s="51" t="s">
        <v>24</v>
      </c>
      <c r="K826" s="51" t="s">
        <v>441</v>
      </c>
      <c r="L826" s="41">
        <f t="shared" si="60"/>
        <v>6956200000</v>
      </c>
      <c r="M826" s="41">
        <f t="shared" si="61"/>
        <v>6279100000</v>
      </c>
      <c r="N826" s="41">
        <f t="shared" si="62"/>
        <v>677100000</v>
      </c>
      <c r="O826" s="41">
        <f t="shared" si="63"/>
        <v>9.7337626865242499E-2</v>
      </c>
      <c r="P826" s="41">
        <f t="shared" si="64"/>
        <v>9.7337626865242513E-2</v>
      </c>
    </row>
    <row r="827" spans="1:16" ht="19.95" customHeight="1">
      <c r="A827" s="49">
        <v>852</v>
      </c>
      <c r="B827" s="50" t="s">
        <v>440</v>
      </c>
      <c r="C827" s="51" t="s">
        <v>16</v>
      </c>
      <c r="D827" s="51" t="s">
        <v>17</v>
      </c>
      <c r="E827" s="52">
        <v>7122300000</v>
      </c>
      <c r="F827" s="52" t="s">
        <v>757</v>
      </c>
      <c r="G827" s="52">
        <v>6463400000</v>
      </c>
      <c r="H827" s="52" t="s">
        <v>757</v>
      </c>
      <c r="I827" s="52" t="s">
        <v>757</v>
      </c>
      <c r="J827" s="51" t="s">
        <v>24</v>
      </c>
      <c r="K827" s="51" t="s">
        <v>441</v>
      </c>
      <c r="L827" s="41">
        <f t="shared" si="60"/>
        <v>7122300000</v>
      </c>
      <c r="M827" s="41">
        <f t="shared" si="61"/>
        <v>6463400000</v>
      </c>
      <c r="N827" s="41">
        <f t="shared" si="62"/>
        <v>658900000</v>
      </c>
      <c r="O827" s="41">
        <f t="shared" si="63"/>
        <v>9.2512250256237438E-2</v>
      </c>
      <c r="P827" s="41">
        <f t="shared" si="64"/>
        <v>9.2512250256237452E-2</v>
      </c>
    </row>
    <row r="828" spans="1:16" ht="19.95" customHeight="1">
      <c r="A828" s="49">
        <v>853</v>
      </c>
      <c r="B828" s="50" t="s">
        <v>440</v>
      </c>
      <c r="C828" s="51" t="s">
        <v>18</v>
      </c>
      <c r="D828" s="51" t="s">
        <v>19</v>
      </c>
      <c r="E828" s="52">
        <v>7537100000</v>
      </c>
      <c r="F828" s="52" t="s">
        <v>757</v>
      </c>
      <c r="G828" s="52">
        <v>6748500000</v>
      </c>
      <c r="H828" s="52" t="s">
        <v>757</v>
      </c>
      <c r="I828" s="52" t="s">
        <v>757</v>
      </c>
      <c r="J828" s="51" t="s">
        <v>24</v>
      </c>
      <c r="K828" s="51" t="s">
        <v>441</v>
      </c>
      <c r="L828" s="41">
        <f t="shared" si="60"/>
        <v>7537100000</v>
      </c>
      <c r="M828" s="41">
        <f t="shared" si="61"/>
        <v>6748500000</v>
      </c>
      <c r="N828" s="41">
        <f t="shared" si="62"/>
        <v>788600000</v>
      </c>
      <c r="O828" s="41">
        <f t="shared" si="63"/>
        <v>0.10462910137851433</v>
      </c>
      <c r="P828" s="41">
        <f t="shared" si="64"/>
        <v>0.10462910137851428</v>
      </c>
    </row>
    <row r="829" spans="1:16" ht="19.95" customHeight="1">
      <c r="A829" s="49">
        <v>854</v>
      </c>
      <c r="B829" s="50" t="s">
        <v>440</v>
      </c>
      <c r="C829" s="51" t="s">
        <v>20</v>
      </c>
      <c r="D829" s="51" t="s">
        <v>21</v>
      </c>
      <c r="E829" s="52">
        <v>7613800000</v>
      </c>
      <c r="F829" s="52" t="s">
        <v>757</v>
      </c>
      <c r="G829" s="52">
        <v>6742700000</v>
      </c>
      <c r="H829" s="52" t="s">
        <v>757</v>
      </c>
      <c r="I829" s="52" t="s">
        <v>757</v>
      </c>
      <c r="J829" s="51" t="s">
        <v>24</v>
      </c>
      <c r="K829" s="51" t="s">
        <v>441</v>
      </c>
      <c r="L829" s="41">
        <f t="shared" si="60"/>
        <v>7613800000</v>
      </c>
      <c r="M829" s="41">
        <f t="shared" si="61"/>
        <v>6742700000</v>
      </c>
      <c r="N829" s="41">
        <f t="shared" si="62"/>
        <v>871100000</v>
      </c>
      <c r="O829" s="41">
        <f t="shared" si="63"/>
        <v>0.11441067535264915</v>
      </c>
      <c r="P829" s="41">
        <f t="shared" si="64"/>
        <v>0.11441067535264914</v>
      </c>
    </row>
    <row r="830" spans="1:16" ht="19.95" customHeight="1">
      <c r="A830" s="49">
        <v>855</v>
      </c>
      <c r="B830" s="50" t="s">
        <v>442</v>
      </c>
      <c r="C830" s="51" t="s">
        <v>11</v>
      </c>
      <c r="D830" s="51" t="s">
        <v>12</v>
      </c>
      <c r="E830" s="52">
        <v>3003955000</v>
      </c>
      <c r="F830" s="52">
        <v>1277113000</v>
      </c>
      <c r="G830" s="52">
        <v>850371000</v>
      </c>
      <c r="H830" s="52" t="s">
        <v>757</v>
      </c>
      <c r="I830" s="52">
        <v>316344000</v>
      </c>
      <c r="J830" s="51" t="s">
        <v>80</v>
      </c>
      <c r="K830" s="51" t="s">
        <v>81</v>
      </c>
      <c r="L830" s="41">
        <f t="shared" si="60"/>
        <v>1726842000</v>
      </c>
      <c r="M830" s="41">
        <f t="shared" si="61"/>
        <v>1166715000</v>
      </c>
      <c r="N830" s="41">
        <f t="shared" si="62"/>
        <v>560127000</v>
      </c>
      <c r="O830" s="41">
        <f t="shared" si="63"/>
        <v>0.61160703139694172</v>
      </c>
      <c r="P830" s="41">
        <f t="shared" si="64"/>
        <v>0.18646317937519039</v>
      </c>
    </row>
    <row r="831" spans="1:16" ht="19.95" customHeight="1">
      <c r="A831" s="49">
        <v>856</v>
      </c>
      <c r="B831" s="50" t="s">
        <v>442</v>
      </c>
      <c r="C831" s="51" t="s">
        <v>16</v>
      </c>
      <c r="D831" s="51" t="s">
        <v>17</v>
      </c>
      <c r="E831" s="52">
        <v>3024623000</v>
      </c>
      <c r="F831" s="52">
        <v>1288878000</v>
      </c>
      <c r="G831" s="52">
        <v>924031000</v>
      </c>
      <c r="H831" s="52" t="s">
        <v>757</v>
      </c>
      <c r="I831" s="52">
        <v>322037000</v>
      </c>
      <c r="J831" s="51" t="s">
        <v>80</v>
      </c>
      <c r="K831" s="51" t="s">
        <v>81</v>
      </c>
      <c r="L831" s="41">
        <f t="shared" si="60"/>
        <v>1735745000</v>
      </c>
      <c r="M831" s="41">
        <f t="shared" si="61"/>
        <v>1246068000</v>
      </c>
      <c r="N831" s="41">
        <f t="shared" si="62"/>
        <v>489677000</v>
      </c>
      <c r="O831" s="41">
        <f t="shared" si="63"/>
        <v>0.58802535059741334</v>
      </c>
      <c r="P831" s="41">
        <f t="shared" si="64"/>
        <v>0.16189687111418513</v>
      </c>
    </row>
    <row r="832" spans="1:16" ht="19.95" customHeight="1">
      <c r="A832" s="49">
        <v>857</v>
      </c>
      <c r="B832" s="50" t="s">
        <v>442</v>
      </c>
      <c r="C832" s="51" t="s">
        <v>18</v>
      </c>
      <c r="D832" s="51" t="s">
        <v>19</v>
      </c>
      <c r="E832" s="52">
        <v>3117693000</v>
      </c>
      <c r="F832" s="52">
        <v>1344636000</v>
      </c>
      <c r="G832" s="52">
        <v>869572000</v>
      </c>
      <c r="H832" s="52" t="s">
        <v>757</v>
      </c>
      <c r="I832" s="52">
        <v>353143000</v>
      </c>
      <c r="J832" s="51" t="s">
        <v>80</v>
      </c>
      <c r="K832" s="51" t="s">
        <v>81</v>
      </c>
      <c r="L832" s="41">
        <f t="shared" si="60"/>
        <v>1773057000</v>
      </c>
      <c r="M832" s="41">
        <f t="shared" si="61"/>
        <v>1222715000</v>
      </c>
      <c r="N832" s="41">
        <f t="shared" si="62"/>
        <v>550342000</v>
      </c>
      <c r="O832" s="41">
        <f t="shared" si="63"/>
        <v>0.60781417541752836</v>
      </c>
      <c r="P832" s="41">
        <f t="shared" si="64"/>
        <v>0.1765221912484648</v>
      </c>
    </row>
    <row r="833" spans="1:16" ht="19.95" customHeight="1">
      <c r="A833" s="49">
        <v>858</v>
      </c>
      <c r="B833" s="50" t="s">
        <v>442</v>
      </c>
      <c r="C833" s="51" t="s">
        <v>20</v>
      </c>
      <c r="D833" s="51" t="s">
        <v>21</v>
      </c>
      <c r="E833" s="52">
        <v>3007976000</v>
      </c>
      <c r="F833" s="52">
        <v>1290025000</v>
      </c>
      <c r="G833" s="52">
        <v>844960000</v>
      </c>
      <c r="H833" s="52" t="s">
        <v>757</v>
      </c>
      <c r="I833" s="52">
        <v>345464000</v>
      </c>
      <c r="J833" s="51" t="s">
        <v>80</v>
      </c>
      <c r="K833" s="51" t="s">
        <v>81</v>
      </c>
      <c r="L833" s="41">
        <f t="shared" si="60"/>
        <v>1717951000</v>
      </c>
      <c r="M833" s="41">
        <f t="shared" si="61"/>
        <v>1190424000</v>
      </c>
      <c r="N833" s="41">
        <f t="shared" si="62"/>
        <v>527527000</v>
      </c>
      <c r="O833" s="41">
        <f t="shared" si="63"/>
        <v>0.60424418279933079</v>
      </c>
      <c r="P833" s="41">
        <f t="shared" si="64"/>
        <v>0.17537606683032045</v>
      </c>
    </row>
    <row r="834" spans="1:16" ht="19.95" customHeight="1">
      <c r="A834" s="49">
        <v>859</v>
      </c>
      <c r="B834" s="50" t="s">
        <v>443</v>
      </c>
      <c r="C834" s="51" t="s">
        <v>11</v>
      </c>
      <c r="D834" s="51" t="s">
        <v>17</v>
      </c>
      <c r="E834" s="52">
        <v>2265100000</v>
      </c>
      <c r="F834" s="52">
        <v>670900000</v>
      </c>
      <c r="G834" s="52">
        <v>574000000</v>
      </c>
      <c r="H834" s="52">
        <v>167700000</v>
      </c>
      <c r="I834" s="52" t="s">
        <v>757</v>
      </c>
      <c r="J834" s="51" t="s">
        <v>37</v>
      </c>
      <c r="K834" s="51" t="s">
        <v>46</v>
      </c>
      <c r="L834" s="41">
        <f t="shared" si="60"/>
        <v>1594200000</v>
      </c>
      <c r="M834" s="41">
        <f t="shared" si="61"/>
        <v>741700000</v>
      </c>
      <c r="N834" s="41">
        <f t="shared" si="62"/>
        <v>852500000</v>
      </c>
      <c r="O834" s="41">
        <f t="shared" si="63"/>
        <v>0.67255308816387793</v>
      </c>
      <c r="P834" s="41">
        <f t="shared" si="64"/>
        <v>0.37636307447794798</v>
      </c>
    </row>
    <row r="835" spans="1:16" ht="19.95" customHeight="1">
      <c r="A835" s="49">
        <v>860</v>
      </c>
      <c r="B835" s="50" t="s">
        <v>443</v>
      </c>
      <c r="C835" s="51" t="s">
        <v>16</v>
      </c>
      <c r="D835" s="51" t="s">
        <v>19</v>
      </c>
      <c r="E835" s="52">
        <v>2131700000</v>
      </c>
      <c r="F835" s="52">
        <v>717900000</v>
      </c>
      <c r="G835" s="52">
        <v>691000000</v>
      </c>
      <c r="H835" s="52">
        <v>178000000</v>
      </c>
      <c r="I835" s="52" t="s">
        <v>757</v>
      </c>
      <c r="J835" s="51" t="s">
        <v>37</v>
      </c>
      <c r="K835" s="51" t="s">
        <v>46</v>
      </c>
      <c r="L835" s="41">
        <f t="shared" ref="L835:L898" si="65">Total_Revenue-COGS</f>
        <v>1413800000</v>
      </c>
      <c r="M835" s="41">
        <f t="shared" ref="M835:M898" si="66">SGAA+RandD+OOI</f>
        <v>869000000</v>
      </c>
      <c r="N835" s="41">
        <f t="shared" ref="N835:N898" si="67">Gross_Profit-Total_Operating_Expenses</f>
        <v>544800000</v>
      </c>
      <c r="O835" s="41">
        <f t="shared" ref="O835:O898" si="68">1-(Total_Operating_Expenses/Total_Revenue)</f>
        <v>0.59234413848102452</v>
      </c>
      <c r="P835" s="41">
        <f t="shared" ref="P835:P898" si="69">Operating_Profit/Total_Revenue</f>
        <v>0.25557067129521038</v>
      </c>
    </row>
    <row r="836" spans="1:16" ht="19.95" customHeight="1">
      <c r="A836" s="49">
        <v>861</v>
      </c>
      <c r="B836" s="50" t="s">
        <v>443</v>
      </c>
      <c r="C836" s="51" t="s">
        <v>18</v>
      </c>
      <c r="D836" s="51" t="s">
        <v>21</v>
      </c>
      <c r="E836" s="52">
        <v>2384400000</v>
      </c>
      <c r="F836" s="52">
        <v>806500000</v>
      </c>
      <c r="G836" s="52">
        <v>640500000</v>
      </c>
      <c r="H836" s="52">
        <v>197400000</v>
      </c>
      <c r="I836" s="52" t="s">
        <v>757</v>
      </c>
      <c r="J836" s="51" t="s">
        <v>37</v>
      </c>
      <c r="K836" s="51" t="s">
        <v>46</v>
      </c>
      <c r="L836" s="41">
        <f t="shared" si="65"/>
        <v>1577900000</v>
      </c>
      <c r="M836" s="41">
        <f t="shared" si="66"/>
        <v>837900000</v>
      </c>
      <c r="N836" s="41">
        <f t="shared" si="67"/>
        <v>740000000</v>
      </c>
      <c r="O836" s="41">
        <f t="shared" si="68"/>
        <v>0.64859084046300963</v>
      </c>
      <c r="P836" s="41">
        <f t="shared" si="69"/>
        <v>0.31035061231337024</v>
      </c>
    </row>
    <row r="837" spans="1:16" ht="19.95" customHeight="1">
      <c r="A837" s="49">
        <v>862</v>
      </c>
      <c r="B837" s="50" t="s">
        <v>443</v>
      </c>
      <c r="C837" s="51" t="s">
        <v>20</v>
      </c>
      <c r="D837" s="51" t="s">
        <v>84</v>
      </c>
      <c r="E837" s="52">
        <v>2704400000</v>
      </c>
      <c r="F837" s="52">
        <v>814300000</v>
      </c>
      <c r="G837" s="52">
        <v>705300000</v>
      </c>
      <c r="H837" s="52">
        <v>239600000</v>
      </c>
      <c r="I837" s="52" t="s">
        <v>757</v>
      </c>
      <c r="J837" s="51" t="s">
        <v>37</v>
      </c>
      <c r="K837" s="51" t="s">
        <v>46</v>
      </c>
      <c r="L837" s="41">
        <f t="shared" si="65"/>
        <v>1890100000</v>
      </c>
      <c r="M837" s="41">
        <f t="shared" si="66"/>
        <v>944900000</v>
      </c>
      <c r="N837" s="41">
        <f t="shared" si="67"/>
        <v>945200000</v>
      </c>
      <c r="O837" s="41">
        <f t="shared" si="68"/>
        <v>0.65060641916876194</v>
      </c>
      <c r="P837" s="41">
        <f t="shared" si="69"/>
        <v>0.34950451116698711</v>
      </c>
    </row>
    <row r="838" spans="1:16" ht="19.95" customHeight="1">
      <c r="A838" s="49">
        <v>863</v>
      </c>
      <c r="B838" s="50" t="s">
        <v>444</v>
      </c>
      <c r="C838" s="51" t="s">
        <v>11</v>
      </c>
      <c r="D838" s="51" t="s">
        <v>17</v>
      </c>
      <c r="E838" s="52">
        <v>14135000000</v>
      </c>
      <c r="F838" s="52">
        <v>8554000000</v>
      </c>
      <c r="G838" s="52">
        <v>2815000000</v>
      </c>
      <c r="H838" s="52" t="s">
        <v>757</v>
      </c>
      <c r="I838" s="52">
        <v>250000000</v>
      </c>
      <c r="J838" s="51" t="s">
        <v>14</v>
      </c>
      <c r="K838" s="51" t="s">
        <v>217</v>
      </c>
      <c r="L838" s="41">
        <f t="shared" si="65"/>
        <v>5581000000</v>
      </c>
      <c r="M838" s="41">
        <f t="shared" si="66"/>
        <v>3065000000</v>
      </c>
      <c r="N838" s="41">
        <f t="shared" si="67"/>
        <v>2516000000</v>
      </c>
      <c r="O838" s="41">
        <f t="shared" si="68"/>
        <v>0.78316236292889996</v>
      </c>
      <c r="P838" s="41">
        <f t="shared" si="69"/>
        <v>0.17799787760877256</v>
      </c>
    </row>
    <row r="839" spans="1:16" ht="19.95" customHeight="1">
      <c r="A839" s="49">
        <v>864</v>
      </c>
      <c r="B839" s="50" t="s">
        <v>444</v>
      </c>
      <c r="C839" s="51" t="s">
        <v>16</v>
      </c>
      <c r="D839" s="51" t="s">
        <v>19</v>
      </c>
      <c r="E839" s="52">
        <v>14484000000</v>
      </c>
      <c r="F839" s="52">
        <v>8673000000</v>
      </c>
      <c r="G839" s="52">
        <v>2678000000</v>
      </c>
      <c r="H839" s="52" t="s">
        <v>757</v>
      </c>
      <c r="I839" s="52">
        <v>245000000</v>
      </c>
      <c r="J839" s="51" t="s">
        <v>14</v>
      </c>
      <c r="K839" s="51" t="s">
        <v>217</v>
      </c>
      <c r="L839" s="41">
        <f t="shared" si="65"/>
        <v>5811000000</v>
      </c>
      <c r="M839" s="41">
        <f t="shared" si="66"/>
        <v>2923000000</v>
      </c>
      <c r="N839" s="41">
        <f t="shared" si="67"/>
        <v>2888000000</v>
      </c>
      <c r="O839" s="41">
        <f t="shared" si="68"/>
        <v>0.79819110742888699</v>
      </c>
      <c r="P839" s="41">
        <f t="shared" si="69"/>
        <v>0.19939243302954984</v>
      </c>
    </row>
    <row r="840" spans="1:16" ht="19.95" customHeight="1">
      <c r="A840" s="49">
        <v>865</v>
      </c>
      <c r="B840" s="50" t="s">
        <v>444</v>
      </c>
      <c r="C840" s="51" t="s">
        <v>18</v>
      </c>
      <c r="D840" s="51" t="s">
        <v>21</v>
      </c>
      <c r="E840" s="52">
        <v>13405000000</v>
      </c>
      <c r="F840" s="52">
        <v>7888000000</v>
      </c>
      <c r="G840" s="52">
        <v>2417000000</v>
      </c>
      <c r="H840" s="52" t="s">
        <v>757</v>
      </c>
      <c r="I840" s="52">
        <v>233000000</v>
      </c>
      <c r="J840" s="51" t="s">
        <v>14</v>
      </c>
      <c r="K840" s="51" t="s">
        <v>217</v>
      </c>
      <c r="L840" s="41">
        <f t="shared" si="65"/>
        <v>5517000000</v>
      </c>
      <c r="M840" s="41">
        <f t="shared" si="66"/>
        <v>2650000000</v>
      </c>
      <c r="N840" s="41">
        <f t="shared" si="67"/>
        <v>2867000000</v>
      </c>
      <c r="O840" s="41">
        <f t="shared" si="68"/>
        <v>0.80231256993659084</v>
      </c>
      <c r="P840" s="41">
        <f t="shared" si="69"/>
        <v>0.21387541961954495</v>
      </c>
    </row>
    <row r="841" spans="1:16" ht="19.95" customHeight="1">
      <c r="A841" s="49">
        <v>866</v>
      </c>
      <c r="B841" s="50" t="s">
        <v>444</v>
      </c>
      <c r="C841" s="51" t="s">
        <v>20</v>
      </c>
      <c r="D841" s="51" t="s">
        <v>84</v>
      </c>
      <c r="E841" s="52">
        <v>13599000000</v>
      </c>
      <c r="F841" s="52">
        <v>7896000000</v>
      </c>
      <c r="G841" s="52">
        <v>2415000000</v>
      </c>
      <c r="H841" s="52" t="s">
        <v>757</v>
      </c>
      <c r="I841" s="52">
        <v>224000000</v>
      </c>
      <c r="J841" s="51" t="s">
        <v>14</v>
      </c>
      <c r="K841" s="51" t="s">
        <v>217</v>
      </c>
      <c r="L841" s="41">
        <f t="shared" si="65"/>
        <v>5703000000</v>
      </c>
      <c r="M841" s="41">
        <f t="shared" si="66"/>
        <v>2639000000</v>
      </c>
      <c r="N841" s="41">
        <f t="shared" si="67"/>
        <v>3064000000</v>
      </c>
      <c r="O841" s="41">
        <f t="shared" si="68"/>
        <v>0.80594161335392311</v>
      </c>
      <c r="P841" s="41">
        <f t="shared" si="69"/>
        <v>0.22531068460916243</v>
      </c>
    </row>
    <row r="842" spans="1:16" ht="19.95" customHeight="1">
      <c r="A842" s="49">
        <v>867</v>
      </c>
      <c r="B842" s="50" t="s">
        <v>445</v>
      </c>
      <c r="C842" s="51" t="s">
        <v>11</v>
      </c>
      <c r="D842" s="51" t="s">
        <v>12</v>
      </c>
      <c r="E842" s="52">
        <v>4050400000</v>
      </c>
      <c r="F842" s="52" t="s">
        <v>757</v>
      </c>
      <c r="G842" s="52">
        <v>3207800000</v>
      </c>
      <c r="H842" s="52" t="s">
        <v>757</v>
      </c>
      <c r="I842" s="52" t="s">
        <v>757</v>
      </c>
      <c r="J842" s="51" t="s">
        <v>75</v>
      </c>
      <c r="K842" s="51" t="s">
        <v>106</v>
      </c>
      <c r="L842" s="41">
        <f t="shared" si="65"/>
        <v>4050400000</v>
      </c>
      <c r="M842" s="41">
        <f t="shared" si="66"/>
        <v>3207800000</v>
      </c>
      <c r="N842" s="41">
        <f t="shared" si="67"/>
        <v>842600000</v>
      </c>
      <c r="O842" s="41">
        <f t="shared" si="68"/>
        <v>0.2080288366581079</v>
      </c>
      <c r="P842" s="41">
        <f t="shared" si="69"/>
        <v>0.20802883665810784</v>
      </c>
    </row>
    <row r="843" spans="1:16" ht="19.95" customHeight="1">
      <c r="A843" s="53">
        <v>868</v>
      </c>
      <c r="B843" s="54" t="s">
        <v>445</v>
      </c>
      <c r="C843" s="55" t="s">
        <v>16</v>
      </c>
      <c r="D843" s="55" t="s">
        <v>17</v>
      </c>
      <c r="E843" s="56">
        <v>4644600000</v>
      </c>
      <c r="F843" s="56" t="s">
        <v>757</v>
      </c>
      <c r="G843" s="56">
        <v>3524400000</v>
      </c>
      <c r="H843" s="56" t="s">
        <v>757</v>
      </c>
      <c r="I843" s="56" t="s">
        <v>757</v>
      </c>
      <c r="J843" s="55" t="s">
        <v>75</v>
      </c>
      <c r="K843" s="55" t="s">
        <v>106</v>
      </c>
      <c r="L843" s="57">
        <f t="shared" si="65"/>
        <v>4644600000</v>
      </c>
      <c r="M843" s="57">
        <f t="shared" si="66"/>
        <v>3524400000</v>
      </c>
      <c r="N843" s="57">
        <f t="shared" si="67"/>
        <v>1120200000</v>
      </c>
      <c r="O843" s="57">
        <f t="shared" si="68"/>
        <v>0.24118330964991608</v>
      </c>
      <c r="P843" s="57">
        <f t="shared" si="69"/>
        <v>0.24118330964991602</v>
      </c>
    </row>
    <row r="844" spans="1:16" ht="19.95" customHeight="1">
      <c r="A844" s="49">
        <v>869</v>
      </c>
      <c r="B844" s="50" t="s">
        <v>445</v>
      </c>
      <c r="C844" s="51" t="s">
        <v>18</v>
      </c>
      <c r="D844" s="51" t="s">
        <v>19</v>
      </c>
      <c r="E844" s="52">
        <v>5147100000</v>
      </c>
      <c r="F844" s="52" t="s">
        <v>757</v>
      </c>
      <c r="G844" s="52">
        <v>3870200000</v>
      </c>
      <c r="H844" s="52" t="s">
        <v>757</v>
      </c>
      <c r="I844" s="52" t="s">
        <v>757</v>
      </c>
      <c r="J844" s="51" t="s">
        <v>75</v>
      </c>
      <c r="K844" s="51" t="s">
        <v>106</v>
      </c>
      <c r="L844" s="41">
        <f t="shared" si="65"/>
        <v>5147100000</v>
      </c>
      <c r="M844" s="41">
        <f t="shared" si="66"/>
        <v>3870200000</v>
      </c>
      <c r="N844" s="41">
        <f t="shared" si="67"/>
        <v>1276900000</v>
      </c>
      <c r="O844" s="41">
        <f t="shared" si="68"/>
        <v>0.24808144391987719</v>
      </c>
      <c r="P844" s="41">
        <f t="shared" si="69"/>
        <v>0.24808144391987721</v>
      </c>
    </row>
    <row r="845" spans="1:16" ht="19.95" customHeight="1">
      <c r="A845" s="49">
        <v>870</v>
      </c>
      <c r="B845" s="50" t="s">
        <v>445</v>
      </c>
      <c r="C845" s="51" t="s">
        <v>20</v>
      </c>
      <c r="D845" s="51" t="s">
        <v>21</v>
      </c>
      <c r="E845" s="52">
        <v>5122900000</v>
      </c>
      <c r="F845" s="52" t="s">
        <v>757</v>
      </c>
      <c r="G845" s="52">
        <v>3764500000</v>
      </c>
      <c r="H845" s="52" t="s">
        <v>757</v>
      </c>
      <c r="I845" s="52" t="s">
        <v>757</v>
      </c>
      <c r="J845" s="51" t="s">
        <v>75</v>
      </c>
      <c r="K845" s="51" t="s">
        <v>106</v>
      </c>
      <c r="L845" s="41">
        <f t="shared" si="65"/>
        <v>5122900000</v>
      </c>
      <c r="M845" s="41">
        <f t="shared" si="66"/>
        <v>3764500000</v>
      </c>
      <c r="N845" s="41">
        <f t="shared" si="67"/>
        <v>1358400000</v>
      </c>
      <c r="O845" s="41">
        <f t="shared" si="68"/>
        <v>0.26516231041011928</v>
      </c>
      <c r="P845" s="41">
        <f t="shared" si="69"/>
        <v>0.26516231041011928</v>
      </c>
    </row>
    <row r="846" spans="1:16" ht="19.95" customHeight="1">
      <c r="A846" s="49">
        <v>871</v>
      </c>
      <c r="B846" s="50" t="s">
        <v>446</v>
      </c>
      <c r="C846" s="51" t="s">
        <v>11</v>
      </c>
      <c r="D846" s="51" t="s">
        <v>12</v>
      </c>
      <c r="E846" s="52">
        <v>5054980000</v>
      </c>
      <c r="F846" s="52">
        <v>3230857000</v>
      </c>
      <c r="G846" s="52">
        <v>1064757000</v>
      </c>
      <c r="H846" s="52" t="s">
        <v>757</v>
      </c>
      <c r="I846" s="52">
        <v>229166000</v>
      </c>
      <c r="J846" s="51" t="s">
        <v>14</v>
      </c>
      <c r="K846" s="51" t="s">
        <v>447</v>
      </c>
      <c r="L846" s="41">
        <f t="shared" si="65"/>
        <v>1824123000</v>
      </c>
      <c r="M846" s="41">
        <f t="shared" si="66"/>
        <v>1293923000</v>
      </c>
      <c r="N846" s="41">
        <f t="shared" si="67"/>
        <v>530200000</v>
      </c>
      <c r="O846" s="41">
        <f t="shared" si="68"/>
        <v>0.74403004561838026</v>
      </c>
      <c r="P846" s="41">
        <f t="shared" si="69"/>
        <v>0.10488666621826397</v>
      </c>
    </row>
    <row r="847" spans="1:16" ht="19.95" customHeight="1">
      <c r="A847" s="49">
        <v>872</v>
      </c>
      <c r="B847" s="50" t="s">
        <v>446</v>
      </c>
      <c r="C847" s="51" t="s">
        <v>16</v>
      </c>
      <c r="D847" s="51" t="s">
        <v>17</v>
      </c>
      <c r="E847" s="52">
        <v>5584571000</v>
      </c>
      <c r="F847" s="52">
        <v>3570801000</v>
      </c>
      <c r="G847" s="52">
        <v>1183682000</v>
      </c>
      <c r="H847" s="52" t="s">
        <v>757</v>
      </c>
      <c r="I847" s="52">
        <v>253380000</v>
      </c>
      <c r="J847" s="51" t="s">
        <v>14</v>
      </c>
      <c r="K847" s="51" t="s">
        <v>447</v>
      </c>
      <c r="L847" s="41">
        <f t="shared" si="65"/>
        <v>2013770000</v>
      </c>
      <c r="M847" s="41">
        <f t="shared" si="66"/>
        <v>1437062000</v>
      </c>
      <c r="N847" s="41">
        <f t="shared" si="67"/>
        <v>576708000</v>
      </c>
      <c r="O847" s="41">
        <f t="shared" si="68"/>
        <v>0.74267280333619179</v>
      </c>
      <c r="P847" s="41">
        <f t="shared" si="69"/>
        <v>0.10326809346680345</v>
      </c>
    </row>
    <row r="848" spans="1:16" ht="19.95" customHeight="1">
      <c r="A848" s="49">
        <v>873</v>
      </c>
      <c r="B848" s="50" t="s">
        <v>446</v>
      </c>
      <c r="C848" s="51" t="s">
        <v>18</v>
      </c>
      <c r="D848" s="51" t="s">
        <v>19</v>
      </c>
      <c r="E848" s="52">
        <v>6165441000</v>
      </c>
      <c r="F848" s="52">
        <v>3898403000</v>
      </c>
      <c r="G848" s="52">
        <v>1341000000</v>
      </c>
      <c r="H848" s="52" t="s">
        <v>757</v>
      </c>
      <c r="I848" s="52">
        <v>294496000</v>
      </c>
      <c r="J848" s="51" t="s">
        <v>14</v>
      </c>
      <c r="K848" s="51" t="s">
        <v>447</v>
      </c>
      <c r="L848" s="41">
        <f t="shared" si="65"/>
        <v>2267038000</v>
      </c>
      <c r="M848" s="41">
        <f t="shared" si="66"/>
        <v>1635496000</v>
      </c>
      <c r="N848" s="41">
        <f t="shared" si="67"/>
        <v>631542000</v>
      </c>
      <c r="O848" s="41">
        <f t="shared" si="68"/>
        <v>0.73473170856715686</v>
      </c>
      <c r="P848" s="41">
        <f t="shared" si="69"/>
        <v>0.10243257538268552</v>
      </c>
    </row>
    <row r="849" spans="1:16" ht="19.95" customHeight="1">
      <c r="A849" s="49">
        <v>874</v>
      </c>
      <c r="B849" s="50" t="s">
        <v>446</v>
      </c>
      <c r="C849" s="51" t="s">
        <v>20</v>
      </c>
      <c r="D849" s="51" t="s">
        <v>21</v>
      </c>
      <c r="E849" s="52">
        <v>6187646000</v>
      </c>
      <c r="F849" s="52">
        <v>3665578000</v>
      </c>
      <c r="G849" s="52">
        <v>1466761000</v>
      </c>
      <c r="H849" s="52" t="s">
        <v>757</v>
      </c>
      <c r="I849" s="52">
        <v>339613000</v>
      </c>
      <c r="J849" s="51" t="s">
        <v>14</v>
      </c>
      <c r="K849" s="51" t="s">
        <v>447</v>
      </c>
      <c r="L849" s="41">
        <f t="shared" si="65"/>
        <v>2522068000</v>
      </c>
      <c r="M849" s="41">
        <f t="shared" si="66"/>
        <v>1806374000</v>
      </c>
      <c r="N849" s="41">
        <f t="shared" si="67"/>
        <v>715694000</v>
      </c>
      <c r="O849" s="41">
        <f t="shared" si="68"/>
        <v>0.70806765610055911</v>
      </c>
      <c r="P849" s="41">
        <f t="shared" si="69"/>
        <v>0.11566498794533495</v>
      </c>
    </row>
    <row r="850" spans="1:16" ht="19.95" customHeight="1">
      <c r="A850" s="49">
        <v>875</v>
      </c>
      <c r="B850" s="50" t="s">
        <v>448</v>
      </c>
      <c r="C850" s="51" t="s">
        <v>11</v>
      </c>
      <c r="D850" s="51" t="s">
        <v>449</v>
      </c>
      <c r="E850" s="52">
        <v>11818376000</v>
      </c>
      <c r="F850" s="52">
        <v>9976057000</v>
      </c>
      <c r="G850" s="52">
        <v>1173340000</v>
      </c>
      <c r="H850" s="52" t="s">
        <v>757</v>
      </c>
      <c r="I850" s="52" t="s">
        <v>757</v>
      </c>
      <c r="J850" s="51" t="s">
        <v>14</v>
      </c>
      <c r="K850" s="51" t="s">
        <v>224</v>
      </c>
      <c r="L850" s="41">
        <f t="shared" si="65"/>
        <v>1842319000</v>
      </c>
      <c r="M850" s="41">
        <f t="shared" si="66"/>
        <v>1173340000</v>
      </c>
      <c r="N850" s="41">
        <f t="shared" si="67"/>
        <v>668979000</v>
      </c>
      <c r="O850" s="41">
        <f t="shared" si="68"/>
        <v>0.9007190158783237</v>
      </c>
      <c r="P850" s="41">
        <f t="shared" si="69"/>
        <v>5.6604985321164258E-2</v>
      </c>
    </row>
    <row r="851" spans="1:16" ht="19.95" customHeight="1">
      <c r="A851" s="49">
        <v>876</v>
      </c>
      <c r="B851" s="50" t="s">
        <v>448</v>
      </c>
      <c r="C851" s="51" t="s">
        <v>16</v>
      </c>
      <c r="D851" s="51" t="s">
        <v>450</v>
      </c>
      <c r="E851" s="52">
        <v>12695157000</v>
      </c>
      <c r="F851" s="52">
        <v>10621373000</v>
      </c>
      <c r="G851" s="52">
        <v>1545716000</v>
      </c>
      <c r="H851" s="52" t="s">
        <v>757</v>
      </c>
      <c r="I851" s="52" t="s">
        <v>757</v>
      </c>
      <c r="J851" s="51" t="s">
        <v>14</v>
      </c>
      <c r="K851" s="51" t="s">
        <v>224</v>
      </c>
      <c r="L851" s="41">
        <f t="shared" si="65"/>
        <v>2073784000</v>
      </c>
      <c r="M851" s="41">
        <f t="shared" si="66"/>
        <v>1545716000</v>
      </c>
      <c r="N851" s="41">
        <f t="shared" si="67"/>
        <v>528068000</v>
      </c>
      <c r="O851" s="41">
        <f t="shared" si="68"/>
        <v>0.87824364834558566</v>
      </c>
      <c r="P851" s="41">
        <f t="shared" si="69"/>
        <v>4.1596019647492349E-2</v>
      </c>
    </row>
    <row r="852" spans="1:16" ht="19.95" customHeight="1">
      <c r="A852" s="49">
        <v>877</v>
      </c>
      <c r="B852" s="50" t="s">
        <v>448</v>
      </c>
      <c r="C852" s="51" t="s">
        <v>18</v>
      </c>
      <c r="D852" s="51" t="s">
        <v>451</v>
      </c>
      <c r="E852" s="52">
        <v>12114832000</v>
      </c>
      <c r="F852" s="52">
        <v>10146494000</v>
      </c>
      <c r="G852" s="52">
        <v>1522811000</v>
      </c>
      <c r="H852" s="52" t="s">
        <v>757</v>
      </c>
      <c r="I852" s="52" t="s">
        <v>757</v>
      </c>
      <c r="J852" s="51" t="s">
        <v>14</v>
      </c>
      <c r="K852" s="51" t="s">
        <v>224</v>
      </c>
      <c r="L852" s="41">
        <f t="shared" si="65"/>
        <v>1968338000</v>
      </c>
      <c r="M852" s="41">
        <f t="shared" si="66"/>
        <v>1522811000</v>
      </c>
      <c r="N852" s="41">
        <f t="shared" si="67"/>
        <v>445527000</v>
      </c>
      <c r="O852" s="41">
        <f t="shared" si="68"/>
        <v>0.87430193006390844</v>
      </c>
      <c r="P852" s="41">
        <f t="shared" si="69"/>
        <v>3.6775334565101687E-2</v>
      </c>
    </row>
    <row r="853" spans="1:16" ht="19.95" customHeight="1">
      <c r="A853" s="49">
        <v>878</v>
      </c>
      <c r="B853" s="50" t="s">
        <v>448</v>
      </c>
      <c r="C853" s="51" t="s">
        <v>20</v>
      </c>
      <c r="D853" s="51" t="s">
        <v>44</v>
      </c>
      <c r="E853" s="52">
        <v>10964157000</v>
      </c>
      <c r="F853" s="52">
        <v>9196326000</v>
      </c>
      <c r="G853" s="52">
        <v>1429233000</v>
      </c>
      <c r="H853" s="52" t="s">
        <v>757</v>
      </c>
      <c r="I853" s="52" t="s">
        <v>757</v>
      </c>
      <c r="J853" s="51" t="s">
        <v>14</v>
      </c>
      <c r="K853" s="51" t="s">
        <v>224</v>
      </c>
      <c r="L853" s="41">
        <f t="shared" si="65"/>
        <v>1767831000</v>
      </c>
      <c r="M853" s="41">
        <f t="shared" si="66"/>
        <v>1429233000</v>
      </c>
      <c r="N853" s="41">
        <f t="shared" si="67"/>
        <v>338598000</v>
      </c>
      <c r="O853" s="41">
        <f t="shared" si="68"/>
        <v>0.86964497133705765</v>
      </c>
      <c r="P853" s="41">
        <f t="shared" si="69"/>
        <v>3.0882264819812412E-2</v>
      </c>
    </row>
    <row r="854" spans="1:16" ht="19.95" customHeight="1">
      <c r="A854" s="49">
        <v>879</v>
      </c>
      <c r="B854" s="50" t="s">
        <v>452</v>
      </c>
      <c r="C854" s="51" t="s">
        <v>11</v>
      </c>
      <c r="D854" s="51" t="s">
        <v>12</v>
      </c>
      <c r="E854" s="52">
        <v>4365400000</v>
      </c>
      <c r="F854" s="52">
        <v>1656600000</v>
      </c>
      <c r="G854" s="52">
        <v>1252300000</v>
      </c>
      <c r="H854" s="52">
        <v>1101600000</v>
      </c>
      <c r="I854" s="52" t="s">
        <v>757</v>
      </c>
      <c r="J854" s="51" t="s">
        <v>31</v>
      </c>
      <c r="K854" s="51" t="s">
        <v>249</v>
      </c>
      <c r="L854" s="41">
        <f t="shared" si="65"/>
        <v>2708800000</v>
      </c>
      <c r="M854" s="41">
        <f t="shared" si="66"/>
        <v>2353900000</v>
      </c>
      <c r="N854" s="41">
        <f t="shared" si="67"/>
        <v>354900000</v>
      </c>
      <c r="O854" s="41">
        <f t="shared" si="68"/>
        <v>0.46078251706601914</v>
      </c>
      <c r="P854" s="41">
        <f t="shared" si="69"/>
        <v>8.1298391899940439E-2</v>
      </c>
    </row>
    <row r="855" spans="1:16" ht="19.95" customHeight="1">
      <c r="A855" s="49">
        <v>880</v>
      </c>
      <c r="B855" s="50" t="s">
        <v>452</v>
      </c>
      <c r="C855" s="51" t="s">
        <v>16</v>
      </c>
      <c r="D855" s="51" t="s">
        <v>17</v>
      </c>
      <c r="E855" s="52">
        <v>4669100000</v>
      </c>
      <c r="F855" s="52">
        <v>1727700000</v>
      </c>
      <c r="G855" s="52">
        <v>1293200000</v>
      </c>
      <c r="H855" s="52">
        <v>1043200000</v>
      </c>
      <c r="I855" s="52" t="s">
        <v>757</v>
      </c>
      <c r="J855" s="51" t="s">
        <v>31</v>
      </c>
      <c r="K855" s="51" t="s">
        <v>249</v>
      </c>
      <c r="L855" s="41">
        <f t="shared" si="65"/>
        <v>2941400000</v>
      </c>
      <c r="M855" s="41">
        <f t="shared" si="66"/>
        <v>2336400000</v>
      </c>
      <c r="N855" s="41">
        <f t="shared" si="67"/>
        <v>605000000</v>
      </c>
      <c r="O855" s="41">
        <f t="shared" si="68"/>
        <v>0.4996037780300272</v>
      </c>
      <c r="P855" s="41">
        <f t="shared" si="69"/>
        <v>0.12957529288299671</v>
      </c>
    </row>
    <row r="856" spans="1:16" ht="19.95" customHeight="1">
      <c r="A856" s="49">
        <v>881</v>
      </c>
      <c r="B856" s="50" t="s">
        <v>452</v>
      </c>
      <c r="C856" s="51" t="s">
        <v>18</v>
      </c>
      <c r="D856" s="51" t="s">
        <v>19</v>
      </c>
      <c r="E856" s="52">
        <v>4627100000</v>
      </c>
      <c r="F856" s="52">
        <v>1768900000</v>
      </c>
      <c r="G856" s="52">
        <v>1254700000</v>
      </c>
      <c r="H856" s="52">
        <v>1006200000</v>
      </c>
      <c r="I856" s="52" t="s">
        <v>757</v>
      </c>
      <c r="J856" s="51" t="s">
        <v>31</v>
      </c>
      <c r="K856" s="51" t="s">
        <v>249</v>
      </c>
      <c r="L856" s="41">
        <f t="shared" si="65"/>
        <v>2858200000</v>
      </c>
      <c r="M856" s="41">
        <f t="shared" si="66"/>
        <v>2260900000</v>
      </c>
      <c r="N856" s="41">
        <f t="shared" si="67"/>
        <v>597300000</v>
      </c>
      <c r="O856" s="41">
        <f t="shared" si="68"/>
        <v>0.51137861727647982</v>
      </c>
      <c r="P856" s="41">
        <f t="shared" si="69"/>
        <v>0.12908733331892547</v>
      </c>
    </row>
    <row r="857" spans="1:16" ht="19.95" customHeight="1">
      <c r="A857" s="49">
        <v>882</v>
      </c>
      <c r="B857" s="50" t="s">
        <v>452</v>
      </c>
      <c r="C857" s="51" t="s">
        <v>20</v>
      </c>
      <c r="D857" s="51" t="s">
        <v>21</v>
      </c>
      <c r="E857" s="52">
        <v>4857800000</v>
      </c>
      <c r="F857" s="52">
        <v>1779200000</v>
      </c>
      <c r="G857" s="52">
        <v>1172700000</v>
      </c>
      <c r="H857" s="52">
        <v>994500000</v>
      </c>
      <c r="I857" s="52" t="s">
        <v>757</v>
      </c>
      <c r="J857" s="51" t="s">
        <v>31</v>
      </c>
      <c r="K857" s="51" t="s">
        <v>249</v>
      </c>
      <c r="L857" s="41">
        <f t="shared" si="65"/>
        <v>3078600000</v>
      </c>
      <c r="M857" s="41">
        <f t="shared" si="66"/>
        <v>2167200000</v>
      </c>
      <c r="N857" s="41">
        <f t="shared" si="67"/>
        <v>911400000</v>
      </c>
      <c r="O857" s="41">
        <f t="shared" si="68"/>
        <v>0.55387212318333401</v>
      </c>
      <c r="P857" s="41">
        <f t="shared" si="69"/>
        <v>0.18761579315739635</v>
      </c>
    </row>
    <row r="858" spans="1:16" ht="19.95" customHeight="1">
      <c r="A858" s="49">
        <v>883</v>
      </c>
      <c r="B858" s="50" t="s">
        <v>453</v>
      </c>
      <c r="C858" s="51" t="s">
        <v>11</v>
      </c>
      <c r="D858" s="51" t="s">
        <v>12</v>
      </c>
      <c r="E858" s="52">
        <v>93646000000</v>
      </c>
      <c r="F858" s="52" t="s">
        <v>757</v>
      </c>
      <c r="G858" s="52">
        <v>64729000000</v>
      </c>
      <c r="H858" s="52" t="s">
        <v>757</v>
      </c>
      <c r="I858" s="52">
        <v>3385000000</v>
      </c>
      <c r="J858" s="51" t="s">
        <v>75</v>
      </c>
      <c r="K858" s="51" t="s">
        <v>146</v>
      </c>
      <c r="L858" s="41">
        <f t="shared" si="65"/>
        <v>93646000000</v>
      </c>
      <c r="M858" s="41">
        <f t="shared" si="66"/>
        <v>68114000000</v>
      </c>
      <c r="N858" s="41">
        <f t="shared" si="67"/>
        <v>25532000000</v>
      </c>
      <c r="O858" s="41">
        <f t="shared" si="68"/>
        <v>0.27264378617346174</v>
      </c>
      <c r="P858" s="41">
        <f t="shared" si="69"/>
        <v>0.27264378617346174</v>
      </c>
    </row>
    <row r="859" spans="1:16" ht="19.95" customHeight="1">
      <c r="A859" s="53">
        <v>884</v>
      </c>
      <c r="B859" s="54" t="s">
        <v>453</v>
      </c>
      <c r="C859" s="55" t="s">
        <v>16</v>
      </c>
      <c r="D859" s="55" t="s">
        <v>17</v>
      </c>
      <c r="E859" s="56">
        <v>97142000000</v>
      </c>
      <c r="F859" s="56" t="s">
        <v>757</v>
      </c>
      <c r="G859" s="56">
        <v>70467000000</v>
      </c>
      <c r="H859" s="56" t="s">
        <v>757</v>
      </c>
      <c r="I859" s="56">
        <v>225000000</v>
      </c>
      <c r="J859" s="55" t="s">
        <v>75</v>
      </c>
      <c r="K859" s="55" t="s">
        <v>146</v>
      </c>
      <c r="L859" s="57">
        <f t="shared" si="65"/>
        <v>97142000000</v>
      </c>
      <c r="M859" s="57">
        <f t="shared" si="66"/>
        <v>70692000000</v>
      </c>
      <c r="N859" s="57">
        <f t="shared" si="67"/>
        <v>26450000000</v>
      </c>
      <c r="O859" s="57">
        <f t="shared" si="68"/>
        <v>0.27228181425130227</v>
      </c>
      <c r="P859" s="57">
        <f t="shared" si="69"/>
        <v>0.27228181425130221</v>
      </c>
    </row>
    <row r="860" spans="1:16" ht="19.95" customHeight="1">
      <c r="A860" s="49">
        <v>885</v>
      </c>
      <c r="B860" s="50" t="s">
        <v>453</v>
      </c>
      <c r="C860" s="51" t="s">
        <v>18</v>
      </c>
      <c r="D860" s="51" t="s">
        <v>19</v>
      </c>
      <c r="E860" s="52">
        <v>91973000000</v>
      </c>
      <c r="F860" s="52" t="s">
        <v>757</v>
      </c>
      <c r="G860" s="52">
        <v>61274000000</v>
      </c>
      <c r="H860" s="52" t="s">
        <v>757</v>
      </c>
      <c r="I860" s="52">
        <v>3139000000</v>
      </c>
      <c r="J860" s="51" t="s">
        <v>75</v>
      </c>
      <c r="K860" s="51" t="s">
        <v>146</v>
      </c>
      <c r="L860" s="41">
        <f t="shared" si="65"/>
        <v>91973000000</v>
      </c>
      <c r="M860" s="41">
        <f t="shared" si="66"/>
        <v>64413000000</v>
      </c>
      <c r="N860" s="41">
        <f t="shared" si="67"/>
        <v>27560000000</v>
      </c>
      <c r="O860" s="41">
        <f t="shared" si="68"/>
        <v>0.29965315907929502</v>
      </c>
      <c r="P860" s="41">
        <f t="shared" si="69"/>
        <v>0.29965315907929502</v>
      </c>
    </row>
    <row r="861" spans="1:16" ht="19.95" customHeight="1">
      <c r="A861" s="49">
        <v>886</v>
      </c>
      <c r="B861" s="50" t="s">
        <v>453</v>
      </c>
      <c r="C861" s="51" t="s">
        <v>20</v>
      </c>
      <c r="D861" s="51" t="s">
        <v>21</v>
      </c>
      <c r="E861" s="52">
        <v>89716000000</v>
      </c>
      <c r="F861" s="52" t="s">
        <v>757</v>
      </c>
      <c r="G861" s="52">
        <v>59014000000</v>
      </c>
      <c r="H861" s="52" t="s">
        <v>757</v>
      </c>
      <c r="I861" s="52">
        <v>3827000000</v>
      </c>
      <c r="J861" s="51" t="s">
        <v>75</v>
      </c>
      <c r="K861" s="51" t="s">
        <v>146</v>
      </c>
      <c r="L861" s="41">
        <f t="shared" si="65"/>
        <v>89716000000</v>
      </c>
      <c r="M861" s="41">
        <f t="shared" si="66"/>
        <v>62841000000</v>
      </c>
      <c r="N861" s="41">
        <f t="shared" si="67"/>
        <v>26875000000</v>
      </c>
      <c r="O861" s="41">
        <f t="shared" si="68"/>
        <v>0.2995563779036069</v>
      </c>
      <c r="P861" s="41">
        <f t="shared" si="69"/>
        <v>0.29955637790360695</v>
      </c>
    </row>
    <row r="862" spans="1:16" ht="19.95" customHeight="1">
      <c r="A862" s="49">
        <v>887</v>
      </c>
      <c r="B862" s="50" t="s">
        <v>454</v>
      </c>
      <c r="C862" s="51" t="s">
        <v>11</v>
      </c>
      <c r="D862" s="51" t="s">
        <v>302</v>
      </c>
      <c r="E862" s="52">
        <v>12134000000</v>
      </c>
      <c r="F862" s="52">
        <v>7432000000</v>
      </c>
      <c r="G862" s="52">
        <v>3357000000</v>
      </c>
      <c r="H862" s="52" t="s">
        <v>757</v>
      </c>
      <c r="I862" s="52" t="s">
        <v>757</v>
      </c>
      <c r="J862" s="51" t="s">
        <v>24</v>
      </c>
      <c r="K862" s="51" t="s">
        <v>455</v>
      </c>
      <c r="L862" s="41">
        <f t="shared" si="65"/>
        <v>4702000000</v>
      </c>
      <c r="M862" s="41">
        <f t="shared" si="66"/>
        <v>3357000000</v>
      </c>
      <c r="N862" s="41">
        <f t="shared" si="67"/>
        <v>1345000000</v>
      </c>
      <c r="O862" s="41">
        <f t="shared" si="68"/>
        <v>0.72333937695730999</v>
      </c>
      <c r="P862" s="41">
        <f t="shared" si="69"/>
        <v>0.11084555793637713</v>
      </c>
    </row>
    <row r="863" spans="1:16" ht="19.95" customHeight="1">
      <c r="A863" s="49">
        <v>888</v>
      </c>
      <c r="B863" s="50" t="s">
        <v>454</v>
      </c>
      <c r="C863" s="51" t="s">
        <v>16</v>
      </c>
      <c r="D863" s="51" t="s">
        <v>157</v>
      </c>
      <c r="E863" s="52">
        <v>12540000000</v>
      </c>
      <c r="F863" s="52">
        <v>7737000000</v>
      </c>
      <c r="G863" s="52">
        <v>3453000000</v>
      </c>
      <c r="H863" s="52" t="s">
        <v>757</v>
      </c>
      <c r="I863" s="52" t="s">
        <v>757</v>
      </c>
      <c r="J863" s="51" t="s">
        <v>24</v>
      </c>
      <c r="K863" s="51" t="s">
        <v>455</v>
      </c>
      <c r="L863" s="41">
        <f t="shared" si="65"/>
        <v>4803000000</v>
      </c>
      <c r="M863" s="41">
        <f t="shared" si="66"/>
        <v>3453000000</v>
      </c>
      <c r="N863" s="41">
        <f t="shared" si="67"/>
        <v>1350000000</v>
      </c>
      <c r="O863" s="41">
        <f t="shared" si="68"/>
        <v>0.72464114832535886</v>
      </c>
      <c r="P863" s="41">
        <f t="shared" si="69"/>
        <v>0.1076555023923445</v>
      </c>
    </row>
    <row r="864" spans="1:16" ht="19.95" customHeight="1">
      <c r="A864" s="49">
        <v>889</v>
      </c>
      <c r="B864" s="50" t="s">
        <v>454</v>
      </c>
      <c r="C864" s="51" t="s">
        <v>18</v>
      </c>
      <c r="D864" s="51" t="s">
        <v>67</v>
      </c>
      <c r="E864" s="52">
        <v>13506000000</v>
      </c>
      <c r="F864" s="52">
        <v>8406000000</v>
      </c>
      <c r="G864" s="52">
        <v>3777000000</v>
      </c>
      <c r="H864" s="52" t="s">
        <v>757</v>
      </c>
      <c r="I864" s="52" t="s">
        <v>757</v>
      </c>
      <c r="J864" s="51" t="s">
        <v>24</v>
      </c>
      <c r="K864" s="51" t="s">
        <v>455</v>
      </c>
      <c r="L864" s="41">
        <f t="shared" si="65"/>
        <v>5100000000</v>
      </c>
      <c r="M864" s="41">
        <f t="shared" si="66"/>
        <v>3777000000</v>
      </c>
      <c r="N864" s="41">
        <f t="shared" si="67"/>
        <v>1323000000</v>
      </c>
      <c r="O864" s="41">
        <f t="shared" si="68"/>
        <v>0.72034651266103955</v>
      </c>
      <c r="P864" s="41">
        <f t="shared" si="69"/>
        <v>9.7956463793869394E-2</v>
      </c>
    </row>
    <row r="865" spans="1:16" ht="19.95" customHeight="1">
      <c r="A865" s="49">
        <v>890</v>
      </c>
      <c r="B865" s="50" t="s">
        <v>454</v>
      </c>
      <c r="C865" s="51" t="s">
        <v>20</v>
      </c>
      <c r="D865" s="51" t="s">
        <v>158</v>
      </c>
      <c r="E865" s="52">
        <v>14437000000</v>
      </c>
      <c r="F865" s="52">
        <v>9168000000</v>
      </c>
      <c r="G865" s="52">
        <v>4168000000</v>
      </c>
      <c r="H865" s="52" t="s">
        <v>757</v>
      </c>
      <c r="I865" s="52" t="s">
        <v>757</v>
      </c>
      <c r="J865" s="51" t="s">
        <v>24</v>
      </c>
      <c r="K865" s="51" t="s">
        <v>455</v>
      </c>
      <c r="L865" s="41">
        <f t="shared" si="65"/>
        <v>5269000000</v>
      </c>
      <c r="M865" s="41">
        <f t="shared" si="66"/>
        <v>4168000000</v>
      </c>
      <c r="N865" s="41">
        <f t="shared" si="67"/>
        <v>1101000000</v>
      </c>
      <c r="O865" s="41">
        <f t="shared" si="68"/>
        <v>0.71129736094756524</v>
      </c>
      <c r="P865" s="41">
        <f t="shared" si="69"/>
        <v>7.6262381381173375E-2</v>
      </c>
    </row>
    <row r="866" spans="1:16" ht="19.95" customHeight="1">
      <c r="A866" s="49">
        <v>891</v>
      </c>
      <c r="B866" s="50" t="s">
        <v>456</v>
      </c>
      <c r="C866" s="51" t="s">
        <v>11</v>
      </c>
      <c r="D866" s="51" t="s">
        <v>23</v>
      </c>
      <c r="E866" s="52">
        <v>14197000000</v>
      </c>
      <c r="F866" s="52">
        <v>8763000000</v>
      </c>
      <c r="G866" s="52">
        <v>3872000000</v>
      </c>
      <c r="H866" s="52" t="s">
        <v>757</v>
      </c>
      <c r="I866" s="52" t="s">
        <v>757</v>
      </c>
      <c r="J866" s="51" t="s">
        <v>60</v>
      </c>
      <c r="K866" s="51" t="s">
        <v>173</v>
      </c>
      <c r="L866" s="41">
        <f t="shared" si="65"/>
        <v>5434000000</v>
      </c>
      <c r="M866" s="41">
        <f t="shared" si="66"/>
        <v>3872000000</v>
      </c>
      <c r="N866" s="41">
        <f t="shared" si="67"/>
        <v>1562000000</v>
      </c>
      <c r="O866" s="41">
        <f t="shared" si="68"/>
        <v>0.72726632387124046</v>
      </c>
      <c r="P866" s="41">
        <f t="shared" si="69"/>
        <v>0.11002324434739734</v>
      </c>
    </row>
    <row r="867" spans="1:16" ht="19.95" customHeight="1">
      <c r="A867" s="49">
        <v>892</v>
      </c>
      <c r="B867" s="50" t="s">
        <v>456</v>
      </c>
      <c r="C867" s="51" t="s">
        <v>16</v>
      </c>
      <c r="D867" s="51" t="s">
        <v>26</v>
      </c>
      <c r="E867" s="52">
        <v>14792000000</v>
      </c>
      <c r="F867" s="52">
        <v>8689000000</v>
      </c>
      <c r="G867" s="52">
        <v>3266000000</v>
      </c>
      <c r="H867" s="52" t="s">
        <v>757</v>
      </c>
      <c r="I867" s="52" t="s">
        <v>757</v>
      </c>
      <c r="J867" s="51" t="s">
        <v>60</v>
      </c>
      <c r="K867" s="51" t="s">
        <v>173</v>
      </c>
      <c r="L867" s="41">
        <f t="shared" si="65"/>
        <v>6103000000</v>
      </c>
      <c r="M867" s="41">
        <f t="shared" si="66"/>
        <v>3266000000</v>
      </c>
      <c r="N867" s="41">
        <f t="shared" si="67"/>
        <v>2837000000</v>
      </c>
      <c r="O867" s="41">
        <f t="shared" si="68"/>
        <v>0.77920497566252034</v>
      </c>
      <c r="P867" s="41">
        <f t="shared" si="69"/>
        <v>0.19179286100594917</v>
      </c>
    </row>
    <row r="868" spans="1:16" ht="19.95" customHeight="1">
      <c r="A868" s="49">
        <v>893</v>
      </c>
      <c r="B868" s="50" t="s">
        <v>456</v>
      </c>
      <c r="C868" s="51" t="s">
        <v>18</v>
      </c>
      <c r="D868" s="51" t="s">
        <v>27</v>
      </c>
      <c r="E868" s="52">
        <v>14580000000</v>
      </c>
      <c r="F868" s="52">
        <v>9517000000</v>
      </c>
      <c r="G868" s="52">
        <v>4039000000</v>
      </c>
      <c r="H868" s="52" t="s">
        <v>757</v>
      </c>
      <c r="I868" s="52" t="s">
        <v>757</v>
      </c>
      <c r="J868" s="51" t="s">
        <v>60</v>
      </c>
      <c r="K868" s="51" t="s">
        <v>173</v>
      </c>
      <c r="L868" s="41">
        <f t="shared" si="65"/>
        <v>5063000000</v>
      </c>
      <c r="M868" s="41">
        <f t="shared" si="66"/>
        <v>4039000000</v>
      </c>
      <c r="N868" s="41">
        <f t="shared" si="67"/>
        <v>1024000000</v>
      </c>
      <c r="O868" s="41">
        <f t="shared" si="68"/>
        <v>0.7229766803840878</v>
      </c>
      <c r="P868" s="41">
        <f t="shared" si="69"/>
        <v>7.0233196159122088E-2</v>
      </c>
    </row>
    <row r="869" spans="1:16" ht="19.95" customHeight="1">
      <c r="A869" s="49">
        <v>894</v>
      </c>
      <c r="B869" s="50" t="s">
        <v>456</v>
      </c>
      <c r="C869" s="51" t="s">
        <v>20</v>
      </c>
      <c r="D869" s="51" t="s">
        <v>28</v>
      </c>
      <c r="E869" s="52">
        <v>13525000000</v>
      </c>
      <c r="F869" s="52">
        <v>8844000000</v>
      </c>
      <c r="G869" s="52">
        <v>3590000000</v>
      </c>
      <c r="H869" s="52" t="s">
        <v>757</v>
      </c>
      <c r="I869" s="52" t="s">
        <v>757</v>
      </c>
      <c r="J869" s="51" t="s">
        <v>60</v>
      </c>
      <c r="K869" s="51" t="s">
        <v>173</v>
      </c>
      <c r="L869" s="41">
        <f t="shared" si="65"/>
        <v>4681000000</v>
      </c>
      <c r="M869" s="41">
        <f t="shared" si="66"/>
        <v>3590000000</v>
      </c>
      <c r="N869" s="41">
        <f t="shared" si="67"/>
        <v>1091000000</v>
      </c>
      <c r="O869" s="41">
        <f t="shared" si="68"/>
        <v>0.73456561922365982</v>
      </c>
      <c r="P869" s="41">
        <f t="shared" si="69"/>
        <v>8.0665434380776335E-2</v>
      </c>
    </row>
    <row r="870" spans="1:16" ht="19.95" customHeight="1">
      <c r="A870" s="49">
        <v>895</v>
      </c>
      <c r="B870" s="50" t="s">
        <v>457</v>
      </c>
      <c r="C870" s="51" t="s">
        <v>11</v>
      </c>
      <c r="D870" s="51" t="s">
        <v>40</v>
      </c>
      <c r="E870" s="52">
        <v>1287577000</v>
      </c>
      <c r="F870" s="52">
        <v>1073447000</v>
      </c>
      <c r="G870" s="52">
        <v>174085000</v>
      </c>
      <c r="H870" s="52" t="s">
        <v>757</v>
      </c>
      <c r="I870" s="52">
        <v>12784000</v>
      </c>
      <c r="J870" s="51" t="s">
        <v>75</v>
      </c>
      <c r="K870" s="51" t="s">
        <v>146</v>
      </c>
      <c r="L870" s="41">
        <f t="shared" si="65"/>
        <v>214130000</v>
      </c>
      <c r="M870" s="41">
        <f t="shared" si="66"/>
        <v>186869000</v>
      </c>
      <c r="N870" s="41">
        <f t="shared" si="67"/>
        <v>27261000</v>
      </c>
      <c r="O870" s="41">
        <f t="shared" si="68"/>
        <v>0.85486770888265329</v>
      </c>
      <c r="P870" s="41">
        <f t="shared" si="69"/>
        <v>2.1172326004580695E-2</v>
      </c>
    </row>
    <row r="871" spans="1:16" ht="19.95" customHeight="1">
      <c r="A871" s="53">
        <v>896</v>
      </c>
      <c r="B871" s="54" t="s">
        <v>457</v>
      </c>
      <c r="C871" s="55" t="s">
        <v>16</v>
      </c>
      <c r="D871" s="55" t="s">
        <v>42</v>
      </c>
      <c r="E871" s="56">
        <v>1463767000</v>
      </c>
      <c r="F871" s="56">
        <v>1200308000</v>
      </c>
      <c r="G871" s="56">
        <v>194491000</v>
      </c>
      <c r="H871" s="56" t="s">
        <v>757</v>
      </c>
      <c r="I871" s="56">
        <v>13279000</v>
      </c>
      <c r="J871" s="55" t="s">
        <v>75</v>
      </c>
      <c r="K871" s="55" t="s">
        <v>146</v>
      </c>
      <c r="L871" s="57">
        <f t="shared" si="65"/>
        <v>263459000</v>
      </c>
      <c r="M871" s="57">
        <f t="shared" si="66"/>
        <v>207770000</v>
      </c>
      <c r="N871" s="57">
        <f t="shared" si="67"/>
        <v>55689000</v>
      </c>
      <c r="O871" s="57">
        <f t="shared" si="68"/>
        <v>0.85805801059868136</v>
      </c>
      <c r="P871" s="57">
        <f t="shared" si="69"/>
        <v>3.8044989400635484E-2</v>
      </c>
    </row>
    <row r="872" spans="1:16" ht="19.95" customHeight="1">
      <c r="A872" s="49">
        <v>897</v>
      </c>
      <c r="B872" s="50" t="s">
        <v>457</v>
      </c>
      <c r="C872" s="51" t="s">
        <v>18</v>
      </c>
      <c r="D872" s="51" t="s">
        <v>43</v>
      </c>
      <c r="E872" s="52">
        <v>1627413000</v>
      </c>
      <c r="F872" s="52">
        <v>1354969000</v>
      </c>
      <c r="G872" s="52">
        <v>207519000</v>
      </c>
      <c r="H872" s="52" t="s">
        <v>757</v>
      </c>
      <c r="I872" s="52">
        <v>13338000</v>
      </c>
      <c r="J872" s="51" t="s">
        <v>75</v>
      </c>
      <c r="K872" s="51" t="s">
        <v>146</v>
      </c>
      <c r="L872" s="41">
        <f t="shared" si="65"/>
        <v>272444000</v>
      </c>
      <c r="M872" s="41">
        <f t="shared" si="66"/>
        <v>220857000</v>
      </c>
      <c r="N872" s="41">
        <f t="shared" si="67"/>
        <v>51587000</v>
      </c>
      <c r="O872" s="41">
        <f t="shared" si="68"/>
        <v>0.86428951962409051</v>
      </c>
      <c r="P872" s="41">
        <f t="shared" si="69"/>
        <v>3.1698775909987202E-2</v>
      </c>
    </row>
    <row r="873" spans="1:16" ht="19.95" customHeight="1">
      <c r="A873" s="49">
        <v>898</v>
      </c>
      <c r="B873" s="50" t="s">
        <v>457</v>
      </c>
      <c r="C873" s="51" t="s">
        <v>20</v>
      </c>
      <c r="D873" s="51" t="s">
        <v>44</v>
      </c>
      <c r="E873" s="52">
        <v>1822114000</v>
      </c>
      <c r="F873" s="52">
        <v>1524907000</v>
      </c>
      <c r="G873" s="52">
        <v>224088000</v>
      </c>
      <c r="H873" s="52" t="s">
        <v>757</v>
      </c>
      <c r="I873" s="52">
        <v>13794000</v>
      </c>
      <c r="J873" s="51" t="s">
        <v>75</v>
      </c>
      <c r="K873" s="51" t="s">
        <v>146</v>
      </c>
      <c r="L873" s="41">
        <f t="shared" si="65"/>
        <v>297207000</v>
      </c>
      <c r="M873" s="41">
        <f t="shared" si="66"/>
        <v>237882000</v>
      </c>
      <c r="N873" s="41">
        <f t="shared" si="67"/>
        <v>59325000</v>
      </c>
      <c r="O873" s="41">
        <f t="shared" si="68"/>
        <v>0.86944724644012394</v>
      </c>
      <c r="P873" s="41">
        <f t="shared" si="69"/>
        <v>3.2558336086545625E-2</v>
      </c>
    </row>
    <row r="874" spans="1:16" ht="19.95" customHeight="1">
      <c r="A874" s="49">
        <v>899</v>
      </c>
      <c r="B874" s="50" t="s">
        <v>458</v>
      </c>
      <c r="C874" s="51" t="s">
        <v>11</v>
      </c>
      <c r="D874" s="51" t="s">
        <v>12</v>
      </c>
      <c r="E874" s="52">
        <v>793373000</v>
      </c>
      <c r="F874" s="52">
        <v>206974000</v>
      </c>
      <c r="G874" s="52">
        <v>123524000</v>
      </c>
      <c r="H874" s="52" t="s">
        <v>757</v>
      </c>
      <c r="I874" s="52">
        <v>214827000</v>
      </c>
      <c r="J874" s="51" t="s">
        <v>80</v>
      </c>
      <c r="K874" s="51" t="s">
        <v>81</v>
      </c>
      <c r="L874" s="41">
        <f t="shared" si="65"/>
        <v>586399000</v>
      </c>
      <c r="M874" s="41">
        <f t="shared" si="66"/>
        <v>338351000</v>
      </c>
      <c r="N874" s="41">
        <f t="shared" si="67"/>
        <v>248048000</v>
      </c>
      <c r="O874" s="41">
        <f t="shared" si="68"/>
        <v>0.57352846643382116</v>
      </c>
      <c r="P874" s="41">
        <f t="shared" si="69"/>
        <v>0.31264991372280126</v>
      </c>
    </row>
    <row r="875" spans="1:16" ht="19.95" customHeight="1">
      <c r="A875" s="49">
        <v>900</v>
      </c>
      <c r="B875" s="50" t="s">
        <v>458</v>
      </c>
      <c r="C875" s="51" t="s">
        <v>16</v>
      </c>
      <c r="D875" s="51" t="s">
        <v>17</v>
      </c>
      <c r="E875" s="52">
        <v>861527000</v>
      </c>
      <c r="F875" s="52">
        <v>221498000</v>
      </c>
      <c r="G875" s="52">
        <v>127470000</v>
      </c>
      <c r="H875" s="52" t="s">
        <v>757</v>
      </c>
      <c r="I875" s="52">
        <v>224713000</v>
      </c>
      <c r="J875" s="51" t="s">
        <v>80</v>
      </c>
      <c r="K875" s="51" t="s">
        <v>81</v>
      </c>
      <c r="L875" s="41">
        <f t="shared" si="65"/>
        <v>640029000</v>
      </c>
      <c r="M875" s="41">
        <f t="shared" si="66"/>
        <v>352183000</v>
      </c>
      <c r="N875" s="41">
        <f t="shared" si="67"/>
        <v>287846000</v>
      </c>
      <c r="O875" s="41">
        <f t="shared" si="68"/>
        <v>0.5912107223569314</v>
      </c>
      <c r="P875" s="41">
        <f t="shared" si="69"/>
        <v>0.33411140916071114</v>
      </c>
    </row>
    <row r="876" spans="1:16" ht="19.95" customHeight="1">
      <c r="A876" s="49">
        <v>901</v>
      </c>
      <c r="B876" s="50" t="s">
        <v>458</v>
      </c>
      <c r="C876" s="51" t="s">
        <v>18</v>
      </c>
      <c r="D876" s="51" t="s">
        <v>19</v>
      </c>
      <c r="E876" s="52">
        <v>993897000</v>
      </c>
      <c r="F876" s="52">
        <v>258617000</v>
      </c>
      <c r="G876" s="52">
        <v>122201000</v>
      </c>
      <c r="H876" s="52" t="s">
        <v>757</v>
      </c>
      <c r="I876" s="52">
        <v>258074000</v>
      </c>
      <c r="J876" s="51" t="s">
        <v>80</v>
      </c>
      <c r="K876" s="51" t="s">
        <v>81</v>
      </c>
      <c r="L876" s="41">
        <f t="shared" si="65"/>
        <v>735280000</v>
      </c>
      <c r="M876" s="41">
        <f t="shared" si="66"/>
        <v>380275000</v>
      </c>
      <c r="N876" s="41">
        <f t="shared" si="67"/>
        <v>355005000</v>
      </c>
      <c r="O876" s="41">
        <f t="shared" si="68"/>
        <v>0.61738993074735116</v>
      </c>
      <c r="P876" s="41">
        <f t="shared" si="69"/>
        <v>0.35718489944129017</v>
      </c>
    </row>
    <row r="877" spans="1:16" ht="19.95" customHeight="1">
      <c r="A877" s="49">
        <v>902</v>
      </c>
      <c r="B877" s="50" t="s">
        <v>458</v>
      </c>
      <c r="C877" s="51" t="s">
        <v>20</v>
      </c>
      <c r="D877" s="51" t="s">
        <v>21</v>
      </c>
      <c r="E877" s="52">
        <v>1166769000</v>
      </c>
      <c r="F877" s="52">
        <v>304477000</v>
      </c>
      <c r="G877" s="52">
        <v>122735000</v>
      </c>
      <c r="H877" s="52" t="s">
        <v>757</v>
      </c>
      <c r="I877" s="52">
        <v>344527000</v>
      </c>
      <c r="J877" s="51" t="s">
        <v>80</v>
      </c>
      <c r="K877" s="51" t="s">
        <v>81</v>
      </c>
      <c r="L877" s="41">
        <f t="shared" si="65"/>
        <v>862292000</v>
      </c>
      <c r="M877" s="41">
        <f t="shared" si="66"/>
        <v>467262000</v>
      </c>
      <c r="N877" s="41">
        <f t="shared" si="67"/>
        <v>395030000</v>
      </c>
      <c r="O877" s="41">
        <f t="shared" si="68"/>
        <v>0.59952484167817288</v>
      </c>
      <c r="P877" s="41">
        <f t="shared" si="69"/>
        <v>0.33856744565548108</v>
      </c>
    </row>
    <row r="878" spans="1:16" ht="19.95" customHeight="1">
      <c r="A878" s="49">
        <v>903</v>
      </c>
      <c r="B878" s="50" t="s">
        <v>459</v>
      </c>
      <c r="C878" s="51" t="s">
        <v>11</v>
      </c>
      <c r="D878" s="51" t="s">
        <v>178</v>
      </c>
      <c r="E878" s="52">
        <v>2842781000</v>
      </c>
      <c r="F878" s="52">
        <v>1237452000</v>
      </c>
      <c r="G878" s="52">
        <v>387812000</v>
      </c>
      <c r="H878" s="52">
        <v>487832000</v>
      </c>
      <c r="I878" s="52" t="s">
        <v>757</v>
      </c>
      <c r="J878" s="51" t="s">
        <v>31</v>
      </c>
      <c r="K878" s="51" t="s">
        <v>98</v>
      </c>
      <c r="L878" s="41">
        <f t="shared" si="65"/>
        <v>1605329000</v>
      </c>
      <c r="M878" s="41">
        <f t="shared" si="66"/>
        <v>875644000</v>
      </c>
      <c r="N878" s="41">
        <f t="shared" si="67"/>
        <v>729685000</v>
      </c>
      <c r="O878" s="41">
        <f t="shared" si="68"/>
        <v>0.69197627253031446</v>
      </c>
      <c r="P878" s="41">
        <f t="shared" si="69"/>
        <v>0.25667999047411671</v>
      </c>
    </row>
    <row r="879" spans="1:16" ht="19.95" customHeight="1">
      <c r="A879" s="49">
        <v>904</v>
      </c>
      <c r="B879" s="50" t="s">
        <v>459</v>
      </c>
      <c r="C879" s="51" t="s">
        <v>16</v>
      </c>
      <c r="D879" s="51" t="s">
        <v>179</v>
      </c>
      <c r="E879" s="52">
        <v>2929408000</v>
      </c>
      <c r="F879" s="52">
        <v>1232962000</v>
      </c>
      <c r="G879" s="52">
        <v>384907000</v>
      </c>
      <c r="H879" s="52">
        <v>539469000</v>
      </c>
      <c r="I879" s="52" t="s">
        <v>757</v>
      </c>
      <c r="J879" s="51" t="s">
        <v>31</v>
      </c>
      <c r="K879" s="51" t="s">
        <v>98</v>
      </c>
      <c r="L879" s="41">
        <f t="shared" si="65"/>
        <v>1696446000</v>
      </c>
      <c r="M879" s="41">
        <f t="shared" si="66"/>
        <v>924376000</v>
      </c>
      <c r="N879" s="41">
        <f t="shared" si="67"/>
        <v>772070000</v>
      </c>
      <c r="O879" s="41">
        <f t="shared" si="68"/>
        <v>0.68444955431268029</v>
      </c>
      <c r="P879" s="41">
        <f t="shared" si="69"/>
        <v>0.26355837083806694</v>
      </c>
    </row>
    <row r="880" spans="1:16" ht="19.95" customHeight="1">
      <c r="A880" s="49">
        <v>905</v>
      </c>
      <c r="B880" s="50" t="s">
        <v>459</v>
      </c>
      <c r="C880" s="51" t="s">
        <v>18</v>
      </c>
      <c r="D880" s="51" t="s">
        <v>180</v>
      </c>
      <c r="E880" s="52">
        <v>2814049000</v>
      </c>
      <c r="F880" s="52">
        <v>1215229000</v>
      </c>
      <c r="G880" s="52">
        <v>406864000</v>
      </c>
      <c r="H880" s="52">
        <v>530616000</v>
      </c>
      <c r="I880" s="52" t="s">
        <v>757</v>
      </c>
      <c r="J880" s="51" t="s">
        <v>31</v>
      </c>
      <c r="K880" s="51" t="s">
        <v>98</v>
      </c>
      <c r="L880" s="41">
        <f t="shared" si="65"/>
        <v>1598820000</v>
      </c>
      <c r="M880" s="41">
        <f t="shared" si="66"/>
        <v>937480000</v>
      </c>
      <c r="N880" s="41">
        <f t="shared" si="67"/>
        <v>661340000</v>
      </c>
      <c r="O880" s="41">
        <f t="shared" si="68"/>
        <v>0.66685725799373075</v>
      </c>
      <c r="P880" s="41">
        <f t="shared" si="69"/>
        <v>0.2350136760234097</v>
      </c>
    </row>
    <row r="881" spans="1:16" ht="19.95" customHeight="1">
      <c r="A881" s="49">
        <v>906</v>
      </c>
      <c r="B881" s="50" t="s">
        <v>459</v>
      </c>
      <c r="C881" s="51" t="s">
        <v>20</v>
      </c>
      <c r="D881" s="51" t="s">
        <v>181</v>
      </c>
      <c r="E881" s="52">
        <v>2984493000</v>
      </c>
      <c r="F881" s="52">
        <v>1163391000</v>
      </c>
      <c r="G881" s="52">
        <v>379399000</v>
      </c>
      <c r="H881" s="52">
        <v>481258000</v>
      </c>
      <c r="I881" s="52" t="s">
        <v>757</v>
      </c>
      <c r="J881" s="51" t="s">
        <v>31</v>
      </c>
      <c r="K881" s="51" t="s">
        <v>98</v>
      </c>
      <c r="L881" s="41">
        <f t="shared" si="65"/>
        <v>1821102000</v>
      </c>
      <c r="M881" s="41">
        <f t="shared" si="66"/>
        <v>860657000</v>
      </c>
      <c r="N881" s="41">
        <f t="shared" si="67"/>
        <v>960445000</v>
      </c>
      <c r="O881" s="41">
        <f t="shared" si="68"/>
        <v>0.71162371632300703</v>
      </c>
      <c r="P881" s="41">
        <f t="shared" si="69"/>
        <v>0.32181177841596548</v>
      </c>
    </row>
    <row r="882" spans="1:16" ht="19.95" customHeight="1">
      <c r="A882" s="49">
        <v>907</v>
      </c>
      <c r="B882" s="50" t="s">
        <v>460</v>
      </c>
      <c r="C882" s="51" t="s">
        <v>11</v>
      </c>
      <c r="D882" s="51" t="s">
        <v>17</v>
      </c>
      <c r="E882" s="52">
        <v>19561000000</v>
      </c>
      <c r="F882" s="52">
        <v>12952000000</v>
      </c>
      <c r="G882" s="52">
        <v>3706000000</v>
      </c>
      <c r="H882" s="52" t="s">
        <v>757</v>
      </c>
      <c r="I882" s="52" t="s">
        <v>757</v>
      </c>
      <c r="J882" s="51" t="s">
        <v>60</v>
      </c>
      <c r="K882" s="51" t="s">
        <v>202</v>
      </c>
      <c r="L882" s="41">
        <f t="shared" si="65"/>
        <v>6609000000</v>
      </c>
      <c r="M882" s="41">
        <f t="shared" si="66"/>
        <v>3706000000</v>
      </c>
      <c r="N882" s="41">
        <f t="shared" si="67"/>
        <v>2903000000</v>
      </c>
      <c r="O882" s="41">
        <f t="shared" si="68"/>
        <v>0.8105413833648587</v>
      </c>
      <c r="P882" s="41">
        <f t="shared" si="69"/>
        <v>0.14840754562650171</v>
      </c>
    </row>
    <row r="883" spans="1:16" ht="19.95" customHeight="1">
      <c r="A883" s="49">
        <v>908</v>
      </c>
      <c r="B883" s="50" t="s">
        <v>460</v>
      </c>
      <c r="C883" s="51" t="s">
        <v>16</v>
      </c>
      <c r="D883" s="51" t="s">
        <v>19</v>
      </c>
      <c r="E883" s="52">
        <v>19724000000</v>
      </c>
      <c r="F883" s="52">
        <v>13041000000</v>
      </c>
      <c r="G883" s="52">
        <v>4162000000</v>
      </c>
      <c r="H883" s="52" t="s">
        <v>757</v>
      </c>
      <c r="I883" s="52" t="s">
        <v>757</v>
      </c>
      <c r="J883" s="51" t="s">
        <v>60</v>
      </c>
      <c r="K883" s="51" t="s">
        <v>202</v>
      </c>
      <c r="L883" s="41">
        <f t="shared" si="65"/>
        <v>6683000000</v>
      </c>
      <c r="M883" s="41">
        <f t="shared" si="66"/>
        <v>4162000000</v>
      </c>
      <c r="N883" s="41">
        <f t="shared" si="67"/>
        <v>2521000000</v>
      </c>
      <c r="O883" s="41">
        <f t="shared" si="68"/>
        <v>0.78898803488136282</v>
      </c>
      <c r="P883" s="41">
        <f t="shared" si="69"/>
        <v>0.12781383086595011</v>
      </c>
    </row>
    <row r="884" spans="1:16" ht="19.95" customHeight="1">
      <c r="A884" s="49">
        <v>909</v>
      </c>
      <c r="B884" s="50" t="s">
        <v>460</v>
      </c>
      <c r="C884" s="51" t="s">
        <v>18</v>
      </c>
      <c r="D884" s="51" t="s">
        <v>21</v>
      </c>
      <c r="E884" s="52">
        <v>18591000000</v>
      </c>
      <c r="F884" s="52">
        <v>11967000000</v>
      </c>
      <c r="G884" s="52">
        <v>5011000000</v>
      </c>
      <c r="H884" s="52" t="s">
        <v>757</v>
      </c>
      <c r="I884" s="52" t="s">
        <v>757</v>
      </c>
      <c r="J884" s="51" t="s">
        <v>60</v>
      </c>
      <c r="K884" s="51" t="s">
        <v>202</v>
      </c>
      <c r="L884" s="41">
        <f t="shared" si="65"/>
        <v>6624000000</v>
      </c>
      <c r="M884" s="41">
        <f t="shared" si="66"/>
        <v>5011000000</v>
      </c>
      <c r="N884" s="41">
        <f t="shared" si="67"/>
        <v>1613000000</v>
      </c>
      <c r="O884" s="41">
        <f t="shared" si="68"/>
        <v>0.73046097574094992</v>
      </c>
      <c r="P884" s="41">
        <f t="shared" si="69"/>
        <v>8.676241191974611E-2</v>
      </c>
    </row>
    <row r="885" spans="1:16" ht="19.95" customHeight="1">
      <c r="A885" s="49">
        <v>910</v>
      </c>
      <c r="B885" s="50" t="s">
        <v>460</v>
      </c>
      <c r="C885" s="51" t="s">
        <v>20</v>
      </c>
      <c r="D885" s="51" t="s">
        <v>84</v>
      </c>
      <c r="E885" s="52">
        <v>18202000000</v>
      </c>
      <c r="F885" s="52">
        <v>11551000000</v>
      </c>
      <c r="G885" s="52">
        <v>3334000000</v>
      </c>
      <c r="H885" s="52" t="s">
        <v>757</v>
      </c>
      <c r="I885" s="52" t="s">
        <v>757</v>
      </c>
      <c r="J885" s="51" t="s">
        <v>60</v>
      </c>
      <c r="K885" s="51" t="s">
        <v>202</v>
      </c>
      <c r="L885" s="41">
        <f t="shared" si="65"/>
        <v>6651000000</v>
      </c>
      <c r="M885" s="41">
        <f t="shared" si="66"/>
        <v>3334000000</v>
      </c>
      <c r="N885" s="41">
        <f t="shared" si="67"/>
        <v>3317000000</v>
      </c>
      <c r="O885" s="41">
        <f t="shared" si="68"/>
        <v>0.81683331502032741</v>
      </c>
      <c r="P885" s="41">
        <f t="shared" si="69"/>
        <v>0.18223272167893639</v>
      </c>
    </row>
    <row r="886" spans="1:16" ht="19.95" customHeight="1">
      <c r="A886" s="49">
        <v>911</v>
      </c>
      <c r="B886" s="50" t="s">
        <v>461</v>
      </c>
      <c r="C886" s="51" t="s">
        <v>11</v>
      </c>
      <c r="D886" s="51" t="s">
        <v>17</v>
      </c>
      <c r="E886" s="52">
        <v>14070000000</v>
      </c>
      <c r="F886" s="52">
        <v>7365000000</v>
      </c>
      <c r="G886" s="52">
        <v>1007000000</v>
      </c>
      <c r="H886" s="52" t="s">
        <v>757</v>
      </c>
      <c r="I886" s="52">
        <v>1806000000</v>
      </c>
      <c r="J886" s="51" t="s">
        <v>116</v>
      </c>
      <c r="K886" s="51" t="s">
        <v>462</v>
      </c>
      <c r="L886" s="41">
        <f t="shared" si="65"/>
        <v>6705000000</v>
      </c>
      <c r="M886" s="41">
        <f t="shared" si="66"/>
        <v>2813000000</v>
      </c>
      <c r="N886" s="41">
        <f t="shared" si="67"/>
        <v>3892000000</v>
      </c>
      <c r="O886" s="41">
        <f t="shared" si="68"/>
        <v>0.8000710732054015</v>
      </c>
      <c r="P886" s="41">
        <f t="shared" si="69"/>
        <v>0.27661691542288558</v>
      </c>
    </row>
    <row r="887" spans="1:16" ht="19.95" customHeight="1">
      <c r="A887" s="53">
        <v>912</v>
      </c>
      <c r="B887" s="54" t="s">
        <v>461</v>
      </c>
      <c r="C887" s="55" t="s">
        <v>16</v>
      </c>
      <c r="D887" s="55" t="s">
        <v>19</v>
      </c>
      <c r="E887" s="56">
        <v>16226000000</v>
      </c>
      <c r="F887" s="56">
        <v>8435000000</v>
      </c>
      <c r="G887" s="56">
        <v>1029000000</v>
      </c>
      <c r="H887" s="56" t="s">
        <v>757</v>
      </c>
      <c r="I887" s="56">
        <v>2040000000</v>
      </c>
      <c r="J887" s="55" t="s">
        <v>116</v>
      </c>
      <c r="K887" s="55" t="s">
        <v>462</v>
      </c>
      <c r="L887" s="57">
        <f t="shared" si="65"/>
        <v>7791000000</v>
      </c>
      <c r="M887" s="57">
        <f t="shared" si="66"/>
        <v>3069000000</v>
      </c>
      <c r="N887" s="57">
        <f t="shared" si="67"/>
        <v>4722000000</v>
      </c>
      <c r="O887" s="57">
        <f t="shared" si="68"/>
        <v>0.81085911500061636</v>
      </c>
      <c r="P887" s="57">
        <f t="shared" si="69"/>
        <v>0.29101442129914951</v>
      </c>
    </row>
    <row r="888" spans="1:16" ht="19.95" customHeight="1">
      <c r="A888" s="49">
        <v>913</v>
      </c>
      <c r="B888" s="50" t="s">
        <v>461</v>
      </c>
      <c r="C888" s="51" t="s">
        <v>18</v>
      </c>
      <c r="D888" s="51" t="s">
        <v>21</v>
      </c>
      <c r="E888" s="52">
        <v>14403000000</v>
      </c>
      <c r="F888" s="52">
        <v>6452000000</v>
      </c>
      <c r="G888" s="52">
        <v>1126000000</v>
      </c>
      <c r="H888" s="52" t="s">
        <v>757</v>
      </c>
      <c r="I888" s="52">
        <v>2309000000</v>
      </c>
      <c r="J888" s="51" t="s">
        <v>116</v>
      </c>
      <c r="K888" s="51" t="s">
        <v>462</v>
      </c>
      <c r="L888" s="41">
        <f t="shared" si="65"/>
        <v>7951000000</v>
      </c>
      <c r="M888" s="41">
        <f t="shared" si="66"/>
        <v>3435000000</v>
      </c>
      <c r="N888" s="41">
        <f t="shared" si="67"/>
        <v>4516000000</v>
      </c>
      <c r="O888" s="41">
        <f t="shared" si="68"/>
        <v>0.76150801916267441</v>
      </c>
      <c r="P888" s="41">
        <f t="shared" si="69"/>
        <v>0.31354578907172115</v>
      </c>
    </row>
    <row r="889" spans="1:16" ht="19.95" customHeight="1">
      <c r="A889" s="49">
        <v>914</v>
      </c>
      <c r="B889" s="50" t="s">
        <v>461</v>
      </c>
      <c r="C889" s="51" t="s">
        <v>20</v>
      </c>
      <c r="D889" s="51" t="s">
        <v>84</v>
      </c>
      <c r="E889" s="52">
        <v>13058000000</v>
      </c>
      <c r="F889" s="52">
        <v>5801000000</v>
      </c>
      <c r="G889" s="52">
        <v>1089000000</v>
      </c>
      <c r="H889" s="52" t="s">
        <v>757</v>
      </c>
      <c r="I889" s="52">
        <v>2209000000</v>
      </c>
      <c r="J889" s="51" t="s">
        <v>116</v>
      </c>
      <c r="K889" s="51" t="s">
        <v>462</v>
      </c>
      <c r="L889" s="41">
        <f t="shared" si="65"/>
        <v>7257000000</v>
      </c>
      <c r="M889" s="41">
        <f t="shared" si="66"/>
        <v>3298000000</v>
      </c>
      <c r="N889" s="41">
        <f t="shared" si="67"/>
        <v>3959000000</v>
      </c>
      <c r="O889" s="41">
        <f t="shared" si="68"/>
        <v>0.7474345228978404</v>
      </c>
      <c r="P889" s="41">
        <f t="shared" si="69"/>
        <v>0.30318578649104</v>
      </c>
    </row>
    <row r="890" spans="1:16" ht="19.95" customHeight="1">
      <c r="A890" s="49">
        <v>915</v>
      </c>
      <c r="B890" s="50" t="s">
        <v>463</v>
      </c>
      <c r="C890" s="51" t="s">
        <v>11</v>
      </c>
      <c r="D890" s="51" t="s">
        <v>464</v>
      </c>
      <c r="E890" s="52">
        <v>10962818000</v>
      </c>
      <c r="F890" s="52">
        <v>9498456000</v>
      </c>
      <c r="G890" s="52">
        <v>731767000</v>
      </c>
      <c r="H890" s="52" t="s">
        <v>757</v>
      </c>
      <c r="I890" s="52" t="s">
        <v>757</v>
      </c>
      <c r="J890" s="51" t="s">
        <v>24</v>
      </c>
      <c r="K890" s="51" t="s">
        <v>112</v>
      </c>
      <c r="L890" s="41">
        <f t="shared" si="65"/>
        <v>1464362000</v>
      </c>
      <c r="M890" s="41">
        <f t="shared" si="66"/>
        <v>731767000</v>
      </c>
      <c r="N890" s="41">
        <f t="shared" si="67"/>
        <v>732595000</v>
      </c>
      <c r="O890" s="41">
        <f t="shared" si="68"/>
        <v>0.93325010047599077</v>
      </c>
      <c r="P890" s="41">
        <f t="shared" si="69"/>
        <v>6.6825427549741315E-2</v>
      </c>
    </row>
    <row r="891" spans="1:16" ht="19.95" customHeight="1">
      <c r="A891" s="49">
        <v>916</v>
      </c>
      <c r="B891" s="50" t="s">
        <v>463</v>
      </c>
      <c r="C891" s="51" t="s">
        <v>16</v>
      </c>
      <c r="D891" s="51" t="s">
        <v>465</v>
      </c>
      <c r="E891" s="52">
        <v>12574299000</v>
      </c>
      <c r="F891" s="52">
        <v>10925598000</v>
      </c>
      <c r="G891" s="52">
        <v>819048000</v>
      </c>
      <c r="H891" s="52" t="s">
        <v>757</v>
      </c>
      <c r="I891" s="52" t="s">
        <v>757</v>
      </c>
      <c r="J891" s="51" t="s">
        <v>24</v>
      </c>
      <c r="K891" s="51" t="s">
        <v>112</v>
      </c>
      <c r="L891" s="41">
        <f t="shared" si="65"/>
        <v>1648701000</v>
      </c>
      <c r="M891" s="41">
        <f t="shared" si="66"/>
        <v>819048000</v>
      </c>
      <c r="N891" s="41">
        <f t="shared" si="67"/>
        <v>829653000</v>
      </c>
      <c r="O891" s="41">
        <f t="shared" si="68"/>
        <v>0.93486332717235365</v>
      </c>
      <c r="P891" s="41">
        <f t="shared" si="69"/>
        <v>6.5980059802936128E-2</v>
      </c>
    </row>
    <row r="892" spans="1:16" ht="19.95" customHeight="1">
      <c r="A892" s="49">
        <v>917</v>
      </c>
      <c r="B892" s="50" t="s">
        <v>463</v>
      </c>
      <c r="C892" s="51" t="s">
        <v>18</v>
      </c>
      <c r="D892" s="51" t="s">
        <v>151</v>
      </c>
      <c r="E892" s="52">
        <v>14268716000</v>
      </c>
      <c r="F892" s="52">
        <v>12381189000</v>
      </c>
      <c r="G892" s="52">
        <v>890431000</v>
      </c>
      <c r="H892" s="52" t="s">
        <v>757</v>
      </c>
      <c r="I892" s="52" t="s">
        <v>757</v>
      </c>
      <c r="J892" s="51" t="s">
        <v>24</v>
      </c>
      <c r="K892" s="51" t="s">
        <v>112</v>
      </c>
      <c r="L892" s="41">
        <f t="shared" si="65"/>
        <v>1887527000</v>
      </c>
      <c r="M892" s="41">
        <f t="shared" si="66"/>
        <v>890431000</v>
      </c>
      <c r="N892" s="41">
        <f t="shared" si="67"/>
        <v>997096000</v>
      </c>
      <c r="O892" s="41">
        <f t="shared" si="68"/>
        <v>0.93759557622423773</v>
      </c>
      <c r="P892" s="41">
        <f t="shared" si="69"/>
        <v>6.9879868658118918E-2</v>
      </c>
    </row>
    <row r="893" spans="1:16" ht="19.95" customHeight="1">
      <c r="A893" s="49">
        <v>918</v>
      </c>
      <c r="B893" s="50" t="s">
        <v>463</v>
      </c>
      <c r="C893" s="51" t="s">
        <v>20</v>
      </c>
      <c r="D893" s="51" t="s">
        <v>466</v>
      </c>
      <c r="E893" s="52">
        <v>15149675000</v>
      </c>
      <c r="F893" s="52">
        <v>13130915000</v>
      </c>
      <c r="G893" s="52">
        <v>959899000</v>
      </c>
      <c r="H893" s="52" t="s">
        <v>757</v>
      </c>
      <c r="I893" s="52" t="s">
        <v>757</v>
      </c>
      <c r="J893" s="51" t="s">
        <v>24</v>
      </c>
      <c r="K893" s="51" t="s">
        <v>112</v>
      </c>
      <c r="L893" s="41">
        <f t="shared" si="65"/>
        <v>2018760000</v>
      </c>
      <c r="M893" s="41">
        <f t="shared" si="66"/>
        <v>959899000</v>
      </c>
      <c r="N893" s="41">
        <f t="shared" si="67"/>
        <v>1058861000</v>
      </c>
      <c r="O893" s="41">
        <f t="shared" si="68"/>
        <v>0.93663897080300407</v>
      </c>
      <c r="P893" s="41">
        <f t="shared" si="69"/>
        <v>6.9893314543051255E-2</v>
      </c>
    </row>
    <row r="894" spans="1:16" ht="19.95" customHeight="1">
      <c r="A894" s="49">
        <v>919</v>
      </c>
      <c r="B894" s="50" t="s">
        <v>467</v>
      </c>
      <c r="C894" s="51" t="s">
        <v>11</v>
      </c>
      <c r="D894" s="51" t="s">
        <v>12</v>
      </c>
      <c r="E894" s="52">
        <v>48017000000</v>
      </c>
      <c r="F894" s="52">
        <v>19053000000</v>
      </c>
      <c r="G894" s="52">
        <v>18185000000</v>
      </c>
      <c r="H894" s="52" t="s">
        <v>757</v>
      </c>
      <c r="I894" s="52" t="s">
        <v>757</v>
      </c>
      <c r="J894" s="51" t="s">
        <v>60</v>
      </c>
      <c r="K894" s="51" t="s">
        <v>307</v>
      </c>
      <c r="L894" s="41">
        <f t="shared" si="65"/>
        <v>28964000000</v>
      </c>
      <c r="M894" s="41">
        <f t="shared" si="66"/>
        <v>18185000000</v>
      </c>
      <c r="N894" s="41">
        <f t="shared" si="67"/>
        <v>10779000000</v>
      </c>
      <c r="O894" s="41">
        <f t="shared" si="68"/>
        <v>0.62127996334631486</v>
      </c>
      <c r="P894" s="41">
        <f t="shared" si="69"/>
        <v>0.22448299560572296</v>
      </c>
    </row>
    <row r="895" spans="1:16" ht="19.95" customHeight="1">
      <c r="A895" s="49">
        <v>920</v>
      </c>
      <c r="B895" s="50" t="s">
        <v>467</v>
      </c>
      <c r="C895" s="51" t="s">
        <v>16</v>
      </c>
      <c r="D895" s="51" t="s">
        <v>17</v>
      </c>
      <c r="E895" s="52">
        <v>46854000000</v>
      </c>
      <c r="F895" s="52">
        <v>18421000000</v>
      </c>
      <c r="G895" s="52">
        <v>18205000000</v>
      </c>
      <c r="H895" s="52" t="s">
        <v>757</v>
      </c>
      <c r="I895" s="52" t="s">
        <v>757</v>
      </c>
      <c r="J895" s="51" t="s">
        <v>60</v>
      </c>
      <c r="K895" s="51" t="s">
        <v>307</v>
      </c>
      <c r="L895" s="41">
        <f t="shared" si="65"/>
        <v>28433000000</v>
      </c>
      <c r="M895" s="41">
        <f t="shared" si="66"/>
        <v>18205000000</v>
      </c>
      <c r="N895" s="41">
        <f t="shared" si="67"/>
        <v>10228000000</v>
      </c>
      <c r="O895" s="41">
        <f t="shared" si="68"/>
        <v>0.61145259743031544</v>
      </c>
      <c r="P895" s="41">
        <f t="shared" si="69"/>
        <v>0.21829512955137234</v>
      </c>
    </row>
    <row r="896" spans="1:16" ht="19.95" customHeight="1">
      <c r="A896" s="49">
        <v>921</v>
      </c>
      <c r="B896" s="50" t="s">
        <v>467</v>
      </c>
      <c r="C896" s="51" t="s">
        <v>18</v>
      </c>
      <c r="D896" s="51" t="s">
        <v>19</v>
      </c>
      <c r="E896" s="52">
        <v>45998000000</v>
      </c>
      <c r="F896" s="52">
        <v>17889000000</v>
      </c>
      <c r="G896" s="52">
        <v>18401000000</v>
      </c>
      <c r="H896" s="52" t="s">
        <v>757</v>
      </c>
      <c r="I896" s="52" t="s">
        <v>757</v>
      </c>
      <c r="J896" s="51" t="s">
        <v>60</v>
      </c>
      <c r="K896" s="51" t="s">
        <v>307</v>
      </c>
      <c r="L896" s="41">
        <f t="shared" si="65"/>
        <v>28109000000</v>
      </c>
      <c r="M896" s="41">
        <f t="shared" si="66"/>
        <v>18401000000</v>
      </c>
      <c r="N896" s="41">
        <f t="shared" si="67"/>
        <v>9708000000</v>
      </c>
      <c r="O896" s="41">
        <f t="shared" si="68"/>
        <v>0.59996086786382019</v>
      </c>
      <c r="P896" s="41">
        <f t="shared" si="69"/>
        <v>0.21105265446323754</v>
      </c>
    </row>
    <row r="897" spans="1:16" ht="19.95" customHeight="1">
      <c r="A897" s="49">
        <v>922</v>
      </c>
      <c r="B897" s="50" t="s">
        <v>467</v>
      </c>
      <c r="C897" s="51" t="s">
        <v>20</v>
      </c>
      <c r="D897" s="51" t="s">
        <v>21</v>
      </c>
      <c r="E897" s="52">
        <v>44294000000</v>
      </c>
      <c r="F897" s="52">
        <v>17482000000</v>
      </c>
      <c r="G897" s="52">
        <v>18084000000</v>
      </c>
      <c r="H897" s="52" t="s">
        <v>757</v>
      </c>
      <c r="I897" s="52" t="s">
        <v>757</v>
      </c>
      <c r="J897" s="51" t="s">
        <v>60</v>
      </c>
      <c r="K897" s="51" t="s">
        <v>307</v>
      </c>
      <c r="L897" s="41">
        <f t="shared" si="65"/>
        <v>26812000000</v>
      </c>
      <c r="M897" s="41">
        <f t="shared" si="66"/>
        <v>18084000000</v>
      </c>
      <c r="N897" s="41">
        <f t="shared" si="67"/>
        <v>8728000000</v>
      </c>
      <c r="O897" s="41">
        <f t="shared" si="68"/>
        <v>0.59172799927755459</v>
      </c>
      <c r="P897" s="41">
        <f t="shared" si="69"/>
        <v>0.19704700410890866</v>
      </c>
    </row>
    <row r="898" spans="1:16" ht="19.95" customHeight="1">
      <c r="A898" s="49">
        <v>923</v>
      </c>
      <c r="B898" s="50" t="s">
        <v>468</v>
      </c>
      <c r="C898" s="51" t="s">
        <v>11</v>
      </c>
      <c r="D898" s="51" t="s">
        <v>469</v>
      </c>
      <c r="E898" s="52">
        <v>2181732000</v>
      </c>
      <c r="F898" s="52">
        <v>875166000</v>
      </c>
      <c r="G898" s="52">
        <v>621536000</v>
      </c>
      <c r="H898" s="52" t="s">
        <v>757</v>
      </c>
      <c r="I898" s="52">
        <v>54291000</v>
      </c>
      <c r="J898" s="51" t="s">
        <v>24</v>
      </c>
      <c r="K898" s="51" t="s">
        <v>391</v>
      </c>
      <c r="L898" s="41">
        <f t="shared" si="65"/>
        <v>1306566000</v>
      </c>
      <c r="M898" s="41">
        <f t="shared" si="66"/>
        <v>675827000</v>
      </c>
      <c r="N898" s="41">
        <f t="shared" si="67"/>
        <v>630739000</v>
      </c>
      <c r="O898" s="41">
        <f t="shared" si="68"/>
        <v>0.69023372256537474</v>
      </c>
      <c r="P898" s="41">
        <f t="shared" si="69"/>
        <v>0.28910012778838096</v>
      </c>
    </row>
    <row r="899" spans="1:16" ht="19.95" customHeight="1">
      <c r="A899" s="49">
        <v>924</v>
      </c>
      <c r="B899" s="50" t="s">
        <v>468</v>
      </c>
      <c r="C899" s="51" t="s">
        <v>16</v>
      </c>
      <c r="D899" s="51" t="s">
        <v>470</v>
      </c>
      <c r="E899" s="52">
        <v>3310800000</v>
      </c>
      <c r="F899" s="52">
        <v>1294700000</v>
      </c>
      <c r="G899" s="52">
        <v>926900000</v>
      </c>
      <c r="H899" s="52" t="s">
        <v>757</v>
      </c>
      <c r="I899" s="52">
        <v>79700000</v>
      </c>
      <c r="J899" s="51" t="s">
        <v>24</v>
      </c>
      <c r="K899" s="51" t="s">
        <v>391</v>
      </c>
      <c r="L899" s="41">
        <f t="shared" ref="L899:L962" si="70">Total_Revenue-COGS</f>
        <v>2016100000</v>
      </c>
      <c r="M899" s="41">
        <f t="shared" ref="M899:M962" si="71">SGAA+RandD+OOI</f>
        <v>1006600000</v>
      </c>
      <c r="N899" s="41">
        <f t="shared" ref="N899:N962" si="72">Gross_Profit-Total_Operating_Expenses</f>
        <v>1009500000</v>
      </c>
      <c r="O899" s="41">
        <f t="shared" ref="O899:O962" si="73">1-(Total_Operating_Expenses/Total_Revenue)</f>
        <v>0.69596472151745803</v>
      </c>
      <c r="P899" s="41">
        <f t="shared" ref="P899:P962" si="74">Operating_Profit/Total_Revenue</f>
        <v>0.30491119971003988</v>
      </c>
    </row>
    <row r="900" spans="1:16" ht="19.95" customHeight="1">
      <c r="A900" s="49">
        <v>925</v>
      </c>
      <c r="B900" s="50" t="s">
        <v>468</v>
      </c>
      <c r="C900" s="51" t="s">
        <v>18</v>
      </c>
      <c r="D900" s="51" t="s">
        <v>471</v>
      </c>
      <c r="E900" s="52">
        <v>4371500000</v>
      </c>
      <c r="F900" s="52">
        <v>1723800000</v>
      </c>
      <c r="G900" s="52">
        <v>1251500000</v>
      </c>
      <c r="H900" s="52" t="s">
        <v>757</v>
      </c>
      <c r="I900" s="52">
        <v>138400000</v>
      </c>
      <c r="J900" s="51" t="s">
        <v>24</v>
      </c>
      <c r="K900" s="51" t="s">
        <v>391</v>
      </c>
      <c r="L900" s="41">
        <f t="shared" si="70"/>
        <v>2647700000</v>
      </c>
      <c r="M900" s="41">
        <f t="shared" si="71"/>
        <v>1389900000</v>
      </c>
      <c r="N900" s="41">
        <f t="shared" si="72"/>
        <v>1257800000</v>
      </c>
      <c r="O900" s="41">
        <f t="shared" si="73"/>
        <v>0.68205421480041184</v>
      </c>
      <c r="P900" s="41">
        <f t="shared" si="74"/>
        <v>0.28772732471691637</v>
      </c>
    </row>
    <row r="901" spans="1:16" ht="19.95" customHeight="1">
      <c r="A901" s="49">
        <v>926</v>
      </c>
      <c r="B901" s="50" t="s">
        <v>468</v>
      </c>
      <c r="C901" s="51" t="s">
        <v>20</v>
      </c>
      <c r="D901" s="51" t="s">
        <v>472</v>
      </c>
      <c r="E901" s="52">
        <v>4712100000</v>
      </c>
      <c r="F901" s="52">
        <v>1914900000</v>
      </c>
      <c r="G901" s="52">
        <v>1428000000</v>
      </c>
      <c r="H901" s="52" t="s">
        <v>757</v>
      </c>
      <c r="I901" s="52">
        <v>183200000</v>
      </c>
      <c r="J901" s="51" t="s">
        <v>24</v>
      </c>
      <c r="K901" s="51" t="s">
        <v>391</v>
      </c>
      <c r="L901" s="41">
        <f t="shared" si="70"/>
        <v>2797200000</v>
      </c>
      <c r="M901" s="41">
        <f t="shared" si="71"/>
        <v>1611200000</v>
      </c>
      <c r="N901" s="41">
        <f t="shared" si="72"/>
        <v>1186000000</v>
      </c>
      <c r="O901" s="41">
        <f t="shared" si="73"/>
        <v>0.65807177267035932</v>
      </c>
      <c r="P901" s="41">
        <f t="shared" si="74"/>
        <v>0.25169245134865559</v>
      </c>
    </row>
    <row r="902" spans="1:16" ht="19.95" customHeight="1">
      <c r="A902" s="49">
        <v>927</v>
      </c>
      <c r="B902" s="50" t="s">
        <v>473</v>
      </c>
      <c r="C902" s="51" t="s">
        <v>11</v>
      </c>
      <c r="D902" s="51" t="s">
        <v>302</v>
      </c>
      <c r="E902" s="52">
        <v>96619000000</v>
      </c>
      <c r="F902" s="52">
        <v>76726000000</v>
      </c>
      <c r="G902" s="52">
        <v>15477000000</v>
      </c>
      <c r="H902" s="52" t="s">
        <v>757</v>
      </c>
      <c r="I902" s="52">
        <v>1652000000</v>
      </c>
      <c r="J902" s="51" t="s">
        <v>60</v>
      </c>
      <c r="K902" s="51" t="s">
        <v>474</v>
      </c>
      <c r="L902" s="41">
        <f t="shared" si="70"/>
        <v>19893000000</v>
      </c>
      <c r="M902" s="41">
        <f t="shared" si="71"/>
        <v>17129000000</v>
      </c>
      <c r="N902" s="41">
        <f t="shared" si="72"/>
        <v>2764000000</v>
      </c>
      <c r="O902" s="41">
        <f t="shared" si="73"/>
        <v>0.82271602893840756</v>
      </c>
      <c r="P902" s="41">
        <f t="shared" si="74"/>
        <v>2.8607209762055084E-2</v>
      </c>
    </row>
    <row r="903" spans="1:16" ht="19.95" customHeight="1">
      <c r="A903" s="49">
        <v>928</v>
      </c>
      <c r="B903" s="50" t="s">
        <v>473</v>
      </c>
      <c r="C903" s="51" t="s">
        <v>16</v>
      </c>
      <c r="D903" s="51" t="s">
        <v>157</v>
      </c>
      <c r="E903" s="52">
        <v>98375000000</v>
      </c>
      <c r="F903" s="52">
        <v>78138000000</v>
      </c>
      <c r="G903" s="52">
        <v>15809000000</v>
      </c>
      <c r="H903" s="52" t="s">
        <v>757</v>
      </c>
      <c r="I903" s="52">
        <v>1703000000</v>
      </c>
      <c r="J903" s="51" t="s">
        <v>60</v>
      </c>
      <c r="K903" s="51" t="s">
        <v>474</v>
      </c>
      <c r="L903" s="41">
        <f t="shared" si="70"/>
        <v>20237000000</v>
      </c>
      <c r="M903" s="41">
        <f t="shared" si="71"/>
        <v>17512000000</v>
      </c>
      <c r="N903" s="41">
        <f t="shared" si="72"/>
        <v>2725000000</v>
      </c>
      <c r="O903" s="41">
        <f t="shared" si="73"/>
        <v>0.82198729351969502</v>
      </c>
      <c r="P903" s="41">
        <f t="shared" si="74"/>
        <v>2.770012706480305E-2</v>
      </c>
    </row>
    <row r="904" spans="1:16" ht="19.95" customHeight="1">
      <c r="A904" s="49">
        <v>929</v>
      </c>
      <c r="B904" s="50" t="s">
        <v>473</v>
      </c>
      <c r="C904" s="51" t="s">
        <v>18</v>
      </c>
      <c r="D904" s="51" t="s">
        <v>67</v>
      </c>
      <c r="E904" s="52">
        <v>1084650000</v>
      </c>
      <c r="F904" s="52">
        <v>85512000000</v>
      </c>
      <c r="G904" s="52">
        <v>17868000000</v>
      </c>
      <c r="H904" s="52" t="s">
        <v>757</v>
      </c>
      <c r="I904" s="52">
        <v>1948000000</v>
      </c>
      <c r="J904" s="51" t="s">
        <v>60</v>
      </c>
      <c r="K904" s="51" t="s">
        <v>474</v>
      </c>
      <c r="L904" s="41">
        <f t="shared" si="70"/>
        <v>-84427350000</v>
      </c>
      <c r="M904" s="41">
        <f t="shared" si="71"/>
        <v>19816000000</v>
      </c>
      <c r="N904" s="41">
        <f t="shared" si="72"/>
        <v>-104243350000</v>
      </c>
      <c r="O904" s="41">
        <f t="shared" si="73"/>
        <v>-17.269487853224543</v>
      </c>
      <c r="P904" s="41">
        <f t="shared" si="74"/>
        <v>-96.107822799981562</v>
      </c>
    </row>
    <row r="905" spans="1:16" ht="19.95" customHeight="1">
      <c r="A905" s="49">
        <v>930</v>
      </c>
      <c r="B905" s="50" t="s">
        <v>473</v>
      </c>
      <c r="C905" s="51" t="s">
        <v>20</v>
      </c>
      <c r="D905" s="51" t="s">
        <v>158</v>
      </c>
      <c r="E905" s="52">
        <v>1098300000</v>
      </c>
      <c r="F905" s="52">
        <v>85496000000</v>
      </c>
      <c r="G905" s="52">
        <v>18669000000</v>
      </c>
      <c r="H905" s="52" t="s">
        <v>757</v>
      </c>
      <c r="I905" s="52">
        <v>2089000000</v>
      </c>
      <c r="J905" s="51" t="s">
        <v>60</v>
      </c>
      <c r="K905" s="51" t="s">
        <v>474</v>
      </c>
      <c r="L905" s="41">
        <f t="shared" si="70"/>
        <v>-84397700000</v>
      </c>
      <c r="M905" s="41">
        <f t="shared" si="71"/>
        <v>20758000000</v>
      </c>
      <c r="N905" s="41">
        <f t="shared" si="72"/>
        <v>-105155700000</v>
      </c>
      <c r="O905" s="41">
        <f t="shared" si="73"/>
        <v>-17.900118364745516</v>
      </c>
      <c r="P905" s="41">
        <f t="shared" si="74"/>
        <v>-95.744059000273154</v>
      </c>
    </row>
    <row r="906" spans="1:16" ht="19.95" customHeight="1">
      <c r="A906" s="49">
        <v>931</v>
      </c>
      <c r="B906" s="50" t="s">
        <v>475</v>
      </c>
      <c r="C906" s="51" t="s">
        <v>11</v>
      </c>
      <c r="D906" s="51" t="s">
        <v>302</v>
      </c>
      <c r="E906" s="52">
        <v>19279000000</v>
      </c>
      <c r="F906" s="52">
        <v>12289000000</v>
      </c>
      <c r="G906" s="52">
        <v>4267000000</v>
      </c>
      <c r="H906" s="52" t="s">
        <v>757</v>
      </c>
      <c r="I906" s="52">
        <v>833000000</v>
      </c>
      <c r="J906" s="51" t="s">
        <v>24</v>
      </c>
      <c r="K906" s="51" t="s">
        <v>285</v>
      </c>
      <c r="L906" s="41">
        <f t="shared" si="70"/>
        <v>6990000000</v>
      </c>
      <c r="M906" s="41">
        <f t="shared" si="71"/>
        <v>5100000000</v>
      </c>
      <c r="N906" s="41">
        <f t="shared" si="72"/>
        <v>1890000000</v>
      </c>
      <c r="O906" s="41">
        <f t="shared" si="73"/>
        <v>0.73546345764821819</v>
      </c>
      <c r="P906" s="41">
        <f t="shared" si="74"/>
        <v>9.8034130400954406E-2</v>
      </c>
    </row>
    <row r="907" spans="1:16" ht="19.95" customHeight="1">
      <c r="A907" s="49">
        <v>932</v>
      </c>
      <c r="B907" s="50" t="s">
        <v>475</v>
      </c>
      <c r="C907" s="51" t="s">
        <v>16</v>
      </c>
      <c r="D907" s="51" t="s">
        <v>157</v>
      </c>
      <c r="E907" s="52">
        <v>19031000000</v>
      </c>
      <c r="F907" s="52">
        <v>12087000000</v>
      </c>
      <c r="G907" s="52">
        <v>4313000000</v>
      </c>
      <c r="H907" s="52" t="s">
        <v>757</v>
      </c>
      <c r="I907" s="52">
        <v>889000000</v>
      </c>
      <c r="J907" s="51" t="s">
        <v>24</v>
      </c>
      <c r="K907" s="51" t="s">
        <v>285</v>
      </c>
      <c r="L907" s="41">
        <f t="shared" si="70"/>
        <v>6944000000</v>
      </c>
      <c r="M907" s="41">
        <f t="shared" si="71"/>
        <v>5202000000</v>
      </c>
      <c r="N907" s="41">
        <f t="shared" si="72"/>
        <v>1742000000</v>
      </c>
      <c r="O907" s="41">
        <f t="shared" si="73"/>
        <v>0.72665650780305824</v>
      </c>
      <c r="P907" s="41">
        <f t="shared" si="74"/>
        <v>9.1534864168987443E-2</v>
      </c>
    </row>
    <row r="908" spans="1:16" ht="19.95" customHeight="1">
      <c r="A908" s="49">
        <v>933</v>
      </c>
      <c r="B908" s="50" t="s">
        <v>475</v>
      </c>
      <c r="C908" s="51" t="s">
        <v>18</v>
      </c>
      <c r="D908" s="51" t="s">
        <v>67</v>
      </c>
      <c r="E908" s="52">
        <v>19023000000</v>
      </c>
      <c r="F908" s="52">
        <v>12098000000</v>
      </c>
      <c r="G908" s="52">
        <v>4350000000</v>
      </c>
      <c r="H908" s="52" t="s">
        <v>757</v>
      </c>
      <c r="I908" s="52">
        <v>886000000</v>
      </c>
      <c r="J908" s="51" t="s">
        <v>24</v>
      </c>
      <c r="K908" s="51" t="s">
        <v>285</v>
      </c>
      <c r="L908" s="41">
        <f t="shared" si="70"/>
        <v>6925000000</v>
      </c>
      <c r="M908" s="41">
        <f t="shared" si="71"/>
        <v>5236000000</v>
      </c>
      <c r="N908" s="41">
        <f t="shared" si="72"/>
        <v>1689000000</v>
      </c>
      <c r="O908" s="41">
        <f t="shared" si="73"/>
        <v>0.72475424486148343</v>
      </c>
      <c r="P908" s="41">
        <f t="shared" si="74"/>
        <v>8.8787257530357988E-2</v>
      </c>
    </row>
    <row r="909" spans="1:16" ht="19.95" customHeight="1">
      <c r="A909" s="49">
        <v>934</v>
      </c>
      <c r="B909" s="50" t="s">
        <v>475</v>
      </c>
      <c r="C909" s="51" t="s">
        <v>20</v>
      </c>
      <c r="D909" s="51" t="s">
        <v>158</v>
      </c>
      <c r="E909" s="52">
        <v>19204000000</v>
      </c>
      <c r="F909" s="52">
        <v>12265000000</v>
      </c>
      <c r="G909" s="52">
        <v>4452000000</v>
      </c>
      <c r="H909" s="52" t="s">
        <v>757</v>
      </c>
      <c r="I909" s="52">
        <v>934000000</v>
      </c>
      <c r="J909" s="51" t="s">
        <v>24</v>
      </c>
      <c r="K909" s="51" t="s">
        <v>285</v>
      </c>
      <c r="L909" s="41">
        <f t="shared" si="70"/>
        <v>6939000000</v>
      </c>
      <c r="M909" s="41">
        <f t="shared" si="71"/>
        <v>5386000000</v>
      </c>
      <c r="N909" s="41">
        <f t="shared" si="72"/>
        <v>1553000000</v>
      </c>
      <c r="O909" s="41">
        <f t="shared" si="73"/>
        <v>0.71953759633409708</v>
      </c>
      <c r="P909" s="41">
        <f t="shared" si="74"/>
        <v>8.0868569048114972E-2</v>
      </c>
    </row>
    <row r="910" spans="1:16" ht="19.95" customHeight="1">
      <c r="A910" s="49">
        <v>935</v>
      </c>
      <c r="B910" s="50" t="s">
        <v>476</v>
      </c>
      <c r="C910" s="51" t="s">
        <v>11</v>
      </c>
      <c r="D910" s="51" t="s">
        <v>17</v>
      </c>
      <c r="E910" s="52">
        <v>2369300000</v>
      </c>
      <c r="F910" s="52">
        <v>805300000</v>
      </c>
      <c r="G910" s="52">
        <v>602100000</v>
      </c>
      <c r="H910" s="52" t="s">
        <v>757</v>
      </c>
      <c r="I910" s="52">
        <v>223300000</v>
      </c>
      <c r="J910" s="51" t="s">
        <v>14</v>
      </c>
      <c r="K910" s="51" t="s">
        <v>258</v>
      </c>
      <c r="L910" s="41">
        <f t="shared" si="70"/>
        <v>1564000000</v>
      </c>
      <c r="M910" s="41">
        <f t="shared" si="71"/>
        <v>825400000</v>
      </c>
      <c r="N910" s="41">
        <f t="shared" si="72"/>
        <v>738600000</v>
      </c>
      <c r="O910" s="41">
        <f t="shared" si="73"/>
        <v>0.65162706284556626</v>
      </c>
      <c r="P910" s="41">
        <f t="shared" si="74"/>
        <v>0.31173764402988224</v>
      </c>
    </row>
    <row r="911" spans="1:16" ht="19.95" customHeight="1">
      <c r="A911" s="49">
        <v>936</v>
      </c>
      <c r="B911" s="50" t="s">
        <v>476</v>
      </c>
      <c r="C911" s="51" t="s">
        <v>16</v>
      </c>
      <c r="D911" s="51" t="s">
        <v>19</v>
      </c>
      <c r="E911" s="52">
        <v>2577100000</v>
      </c>
      <c r="F911" s="52">
        <v>877900000</v>
      </c>
      <c r="G911" s="52">
        <v>632000000</v>
      </c>
      <c r="H911" s="52" t="s">
        <v>757</v>
      </c>
      <c r="I911" s="52">
        <v>258100000</v>
      </c>
      <c r="J911" s="51" t="s">
        <v>14</v>
      </c>
      <c r="K911" s="51" t="s">
        <v>258</v>
      </c>
      <c r="L911" s="41">
        <f t="shared" si="70"/>
        <v>1699200000</v>
      </c>
      <c r="M911" s="41">
        <f t="shared" si="71"/>
        <v>890100000</v>
      </c>
      <c r="N911" s="41">
        <f t="shared" si="72"/>
        <v>809100000</v>
      </c>
      <c r="O911" s="41">
        <f t="shared" si="73"/>
        <v>0.65461177292305306</v>
      </c>
      <c r="P911" s="41">
        <f t="shared" si="74"/>
        <v>0.31395754918319041</v>
      </c>
    </row>
    <row r="912" spans="1:16" ht="19.95" customHeight="1">
      <c r="A912" s="49">
        <v>937</v>
      </c>
      <c r="B912" s="50" t="s">
        <v>476</v>
      </c>
      <c r="C912" s="51" t="s">
        <v>18</v>
      </c>
      <c r="D912" s="51" t="s">
        <v>21</v>
      </c>
      <c r="E912" s="52">
        <v>2418800000</v>
      </c>
      <c r="F912" s="52">
        <v>759200000</v>
      </c>
      <c r="G912" s="52">
        <v>571200000</v>
      </c>
      <c r="H912" s="52" t="s">
        <v>757</v>
      </c>
      <c r="I912" s="52">
        <v>284600000</v>
      </c>
      <c r="J912" s="51" t="s">
        <v>14</v>
      </c>
      <c r="K912" s="51" t="s">
        <v>258</v>
      </c>
      <c r="L912" s="41">
        <f t="shared" si="70"/>
        <v>1659600000</v>
      </c>
      <c r="M912" s="41">
        <f t="shared" si="71"/>
        <v>855800000</v>
      </c>
      <c r="N912" s="41">
        <f t="shared" si="72"/>
        <v>803800000</v>
      </c>
      <c r="O912" s="41">
        <f t="shared" si="73"/>
        <v>0.64618819249214487</v>
      </c>
      <c r="P912" s="41">
        <f t="shared" si="74"/>
        <v>0.3323135439060691</v>
      </c>
    </row>
    <row r="913" spans="1:16" ht="19.95" customHeight="1">
      <c r="A913" s="49">
        <v>938</v>
      </c>
      <c r="B913" s="50" t="s">
        <v>476</v>
      </c>
      <c r="C913" s="51" t="s">
        <v>20</v>
      </c>
      <c r="D913" s="51" t="s">
        <v>84</v>
      </c>
      <c r="E913" s="52">
        <v>2334200000</v>
      </c>
      <c r="F913" s="52">
        <v>691100000</v>
      </c>
      <c r="G913" s="52">
        <v>519600000</v>
      </c>
      <c r="H913" s="52" t="s">
        <v>757</v>
      </c>
      <c r="I913" s="52">
        <v>305000000</v>
      </c>
      <c r="J913" s="51" t="s">
        <v>14</v>
      </c>
      <c r="K913" s="51" t="s">
        <v>258</v>
      </c>
      <c r="L913" s="41">
        <f t="shared" si="70"/>
        <v>1643100000</v>
      </c>
      <c r="M913" s="41">
        <f t="shared" si="71"/>
        <v>824600000</v>
      </c>
      <c r="N913" s="41">
        <f t="shared" si="72"/>
        <v>818500000</v>
      </c>
      <c r="O913" s="41">
        <f t="shared" si="73"/>
        <v>0.64673121412046952</v>
      </c>
      <c r="P913" s="41">
        <f t="shared" si="74"/>
        <v>0.35065547082512211</v>
      </c>
    </row>
    <row r="914" spans="1:16" ht="19.95" customHeight="1">
      <c r="A914" s="49">
        <v>939</v>
      </c>
      <c r="B914" s="50" t="s">
        <v>477</v>
      </c>
      <c r="C914" s="51" t="s">
        <v>11</v>
      </c>
      <c r="D914" s="51" t="s">
        <v>302</v>
      </c>
      <c r="E914" s="52">
        <v>10459000000</v>
      </c>
      <c r="F914" s="52">
        <v>6073000000</v>
      </c>
      <c r="G914" s="52">
        <v>2720000000</v>
      </c>
      <c r="H914" s="52" t="s">
        <v>757</v>
      </c>
      <c r="I914" s="52" t="s">
        <v>757</v>
      </c>
      <c r="J914" s="51" t="s">
        <v>24</v>
      </c>
      <c r="K914" s="51" t="s">
        <v>354</v>
      </c>
      <c r="L914" s="41">
        <f t="shared" si="70"/>
        <v>4386000000</v>
      </c>
      <c r="M914" s="41">
        <f t="shared" si="71"/>
        <v>2720000000</v>
      </c>
      <c r="N914" s="41">
        <f t="shared" si="72"/>
        <v>1666000000</v>
      </c>
      <c r="O914" s="41">
        <f t="shared" si="73"/>
        <v>0.73993689645281568</v>
      </c>
      <c r="P914" s="41">
        <f t="shared" si="74"/>
        <v>0.15928865092265035</v>
      </c>
    </row>
    <row r="915" spans="1:16" ht="19.95" customHeight="1">
      <c r="A915" s="49">
        <v>940</v>
      </c>
      <c r="B915" s="50" t="s">
        <v>477</v>
      </c>
      <c r="C915" s="51" t="s">
        <v>16</v>
      </c>
      <c r="D915" s="51" t="s">
        <v>157</v>
      </c>
      <c r="E915" s="52">
        <v>10773000000</v>
      </c>
      <c r="F915" s="52">
        <v>6344000000</v>
      </c>
      <c r="G915" s="52">
        <v>2686000000</v>
      </c>
      <c r="H915" s="52" t="s">
        <v>757</v>
      </c>
      <c r="I915" s="52" t="s">
        <v>757</v>
      </c>
      <c r="J915" s="51" t="s">
        <v>24</v>
      </c>
      <c r="K915" s="51" t="s">
        <v>354</v>
      </c>
      <c r="L915" s="41">
        <f t="shared" si="70"/>
        <v>4429000000</v>
      </c>
      <c r="M915" s="41">
        <f t="shared" si="71"/>
        <v>2686000000</v>
      </c>
      <c r="N915" s="41">
        <f t="shared" si="72"/>
        <v>1743000000</v>
      </c>
      <c r="O915" s="41">
        <f t="shared" si="73"/>
        <v>0.7506729787431542</v>
      </c>
      <c r="P915" s="41">
        <f t="shared" si="74"/>
        <v>0.1617933723196881</v>
      </c>
    </row>
    <row r="916" spans="1:16" ht="19.95" customHeight="1">
      <c r="A916" s="49">
        <v>941</v>
      </c>
      <c r="B916" s="50" t="s">
        <v>477</v>
      </c>
      <c r="C916" s="51" t="s">
        <v>18</v>
      </c>
      <c r="D916" s="51" t="s">
        <v>67</v>
      </c>
      <c r="E916" s="52">
        <v>11454000000</v>
      </c>
      <c r="F916" s="52">
        <v>6646000000</v>
      </c>
      <c r="G916" s="52">
        <v>2855000000</v>
      </c>
      <c r="H916" s="52" t="s">
        <v>757</v>
      </c>
      <c r="I916" s="52" t="s">
        <v>757</v>
      </c>
      <c r="J916" s="51" t="s">
        <v>24</v>
      </c>
      <c r="K916" s="51" t="s">
        <v>354</v>
      </c>
      <c r="L916" s="41">
        <f t="shared" si="70"/>
        <v>4808000000</v>
      </c>
      <c r="M916" s="41">
        <f t="shared" si="71"/>
        <v>2855000000</v>
      </c>
      <c r="N916" s="41">
        <f t="shared" si="72"/>
        <v>1953000000</v>
      </c>
      <c r="O916" s="41">
        <f t="shared" si="73"/>
        <v>0.75074209883010301</v>
      </c>
      <c r="P916" s="41">
        <f t="shared" si="74"/>
        <v>0.17050811943425878</v>
      </c>
    </row>
    <row r="917" spans="1:16" ht="19.95" customHeight="1">
      <c r="A917" s="49">
        <v>942</v>
      </c>
      <c r="B917" s="50" t="s">
        <v>477</v>
      </c>
      <c r="C917" s="51" t="s">
        <v>20</v>
      </c>
      <c r="D917" s="51" t="s">
        <v>158</v>
      </c>
      <c r="E917" s="52">
        <v>12154000000</v>
      </c>
      <c r="F917" s="52">
        <v>6950000000</v>
      </c>
      <c r="G917" s="52">
        <v>3012000000</v>
      </c>
      <c r="H917" s="52" t="s">
        <v>757</v>
      </c>
      <c r="I917" s="52" t="s">
        <v>757</v>
      </c>
      <c r="J917" s="51" t="s">
        <v>24</v>
      </c>
      <c r="K917" s="51" t="s">
        <v>354</v>
      </c>
      <c r="L917" s="41">
        <f t="shared" si="70"/>
        <v>5204000000</v>
      </c>
      <c r="M917" s="41">
        <f t="shared" si="71"/>
        <v>3012000000</v>
      </c>
      <c r="N917" s="41">
        <f t="shared" si="72"/>
        <v>2192000000</v>
      </c>
      <c r="O917" s="41">
        <f t="shared" si="73"/>
        <v>0.75218035214744117</v>
      </c>
      <c r="P917" s="41">
        <f t="shared" si="74"/>
        <v>0.18035214744117162</v>
      </c>
    </row>
    <row r="918" spans="1:16" ht="19.95" customHeight="1">
      <c r="A918" s="49">
        <v>943</v>
      </c>
      <c r="B918" s="50" t="s">
        <v>478</v>
      </c>
      <c r="C918" s="51" t="s">
        <v>11</v>
      </c>
      <c r="D918" s="51" t="s">
        <v>12</v>
      </c>
      <c r="E918" s="52">
        <v>3414500000</v>
      </c>
      <c r="F918" s="52">
        <v>2718900000</v>
      </c>
      <c r="G918" s="52">
        <v>346100000</v>
      </c>
      <c r="H918" s="52" t="s">
        <v>757</v>
      </c>
      <c r="I918" s="52">
        <v>25100000</v>
      </c>
      <c r="J918" s="51" t="s">
        <v>14</v>
      </c>
      <c r="K918" s="51" t="s">
        <v>224</v>
      </c>
      <c r="L918" s="41">
        <f t="shared" si="70"/>
        <v>695600000</v>
      </c>
      <c r="M918" s="41">
        <f t="shared" si="71"/>
        <v>371200000</v>
      </c>
      <c r="N918" s="41">
        <f t="shared" si="72"/>
        <v>324400000</v>
      </c>
      <c r="O918" s="41">
        <f t="shared" si="73"/>
        <v>0.89128715770976719</v>
      </c>
      <c r="P918" s="41">
        <f t="shared" si="74"/>
        <v>9.5006589544589251E-2</v>
      </c>
    </row>
    <row r="919" spans="1:16" ht="19.95" customHeight="1">
      <c r="A919" s="49">
        <v>944</v>
      </c>
      <c r="B919" s="50" t="s">
        <v>478</v>
      </c>
      <c r="C919" s="51" t="s">
        <v>16</v>
      </c>
      <c r="D919" s="51" t="s">
        <v>17</v>
      </c>
      <c r="E919" s="52">
        <v>3477200000</v>
      </c>
      <c r="F919" s="52">
        <v>2767300000</v>
      </c>
      <c r="G919" s="52">
        <v>346900000</v>
      </c>
      <c r="H919" s="52" t="s">
        <v>757</v>
      </c>
      <c r="I919" s="52">
        <v>25400000</v>
      </c>
      <c r="J919" s="51" t="s">
        <v>14</v>
      </c>
      <c r="K919" s="51" t="s">
        <v>224</v>
      </c>
      <c r="L919" s="41">
        <f t="shared" si="70"/>
        <v>709900000</v>
      </c>
      <c r="M919" s="41">
        <f t="shared" si="71"/>
        <v>372300000</v>
      </c>
      <c r="N919" s="41">
        <f t="shared" si="72"/>
        <v>337600000</v>
      </c>
      <c r="O919" s="41">
        <f t="shared" si="73"/>
        <v>0.89293109398366499</v>
      </c>
      <c r="P919" s="41">
        <f t="shared" si="74"/>
        <v>9.7089612331761194E-2</v>
      </c>
    </row>
    <row r="920" spans="1:16" ht="19.95" customHeight="1">
      <c r="A920" s="49">
        <v>945</v>
      </c>
      <c r="B920" s="50" t="s">
        <v>478</v>
      </c>
      <c r="C920" s="51" t="s">
        <v>18</v>
      </c>
      <c r="D920" s="51" t="s">
        <v>19</v>
      </c>
      <c r="E920" s="52">
        <v>3782300000</v>
      </c>
      <c r="F920" s="52">
        <v>2991900000</v>
      </c>
      <c r="G920" s="52">
        <v>439200000</v>
      </c>
      <c r="H920" s="52" t="s">
        <v>757</v>
      </c>
      <c r="I920" s="52">
        <v>19700000</v>
      </c>
      <c r="J920" s="51" t="s">
        <v>14</v>
      </c>
      <c r="K920" s="51" t="s">
        <v>224</v>
      </c>
      <c r="L920" s="41">
        <f t="shared" si="70"/>
        <v>790400000</v>
      </c>
      <c r="M920" s="41">
        <f t="shared" si="71"/>
        <v>458900000</v>
      </c>
      <c r="N920" s="41">
        <f t="shared" si="72"/>
        <v>331500000</v>
      </c>
      <c r="O920" s="41">
        <f t="shared" si="73"/>
        <v>0.87867170769108749</v>
      </c>
      <c r="P920" s="41">
        <f t="shared" si="74"/>
        <v>8.7645083679242786E-2</v>
      </c>
    </row>
    <row r="921" spans="1:16" ht="19.95" customHeight="1">
      <c r="A921" s="49">
        <v>946</v>
      </c>
      <c r="B921" s="50" t="s">
        <v>478</v>
      </c>
      <c r="C921" s="51" t="s">
        <v>20</v>
      </c>
      <c r="D921" s="51" t="s">
        <v>21</v>
      </c>
      <c r="E921" s="52">
        <v>3917200000</v>
      </c>
      <c r="F921" s="52">
        <v>2994000000</v>
      </c>
      <c r="G921" s="52">
        <v>411800000</v>
      </c>
      <c r="H921" s="52" t="s">
        <v>757</v>
      </c>
      <c r="I921" s="52">
        <v>20800000</v>
      </c>
      <c r="J921" s="51" t="s">
        <v>14</v>
      </c>
      <c r="K921" s="51" t="s">
        <v>224</v>
      </c>
      <c r="L921" s="41">
        <f t="shared" si="70"/>
        <v>923200000</v>
      </c>
      <c r="M921" s="41">
        <f t="shared" si="71"/>
        <v>432600000</v>
      </c>
      <c r="N921" s="41">
        <f t="shared" si="72"/>
        <v>490600000</v>
      </c>
      <c r="O921" s="41">
        <f t="shared" si="73"/>
        <v>0.8895639742673338</v>
      </c>
      <c r="P921" s="41">
        <f t="shared" si="74"/>
        <v>0.12524252016746656</v>
      </c>
    </row>
    <row r="922" spans="1:16" ht="19.95" customHeight="1">
      <c r="A922" s="49">
        <v>947</v>
      </c>
      <c r="B922" s="50" t="s">
        <v>479</v>
      </c>
      <c r="C922" s="51" t="s">
        <v>11</v>
      </c>
      <c r="D922" s="51" t="s">
        <v>189</v>
      </c>
      <c r="E922" s="52">
        <v>5935095000</v>
      </c>
      <c r="F922" s="52">
        <v>4920664000</v>
      </c>
      <c r="G922" s="52">
        <v>328595000</v>
      </c>
      <c r="H922" s="52" t="s">
        <v>757</v>
      </c>
      <c r="I922" s="52" t="s">
        <v>757</v>
      </c>
      <c r="J922" s="51" t="s">
        <v>24</v>
      </c>
      <c r="K922" s="51" t="s">
        <v>291</v>
      </c>
      <c r="L922" s="41">
        <f t="shared" si="70"/>
        <v>1014431000</v>
      </c>
      <c r="M922" s="41">
        <f t="shared" si="71"/>
        <v>328595000</v>
      </c>
      <c r="N922" s="41">
        <f t="shared" si="72"/>
        <v>685836000</v>
      </c>
      <c r="O922" s="41">
        <f t="shared" si="73"/>
        <v>0.94463525857631592</v>
      </c>
      <c r="P922" s="41">
        <f t="shared" si="74"/>
        <v>0.11555602732559463</v>
      </c>
    </row>
    <row r="923" spans="1:16" ht="19.95" customHeight="1">
      <c r="A923" s="49">
        <v>948</v>
      </c>
      <c r="B923" s="50" t="s">
        <v>479</v>
      </c>
      <c r="C923" s="51" t="s">
        <v>16</v>
      </c>
      <c r="D923" s="51" t="s">
        <v>191</v>
      </c>
      <c r="E923" s="52">
        <v>7779812000</v>
      </c>
      <c r="F923" s="52">
        <v>6336272000</v>
      </c>
      <c r="G923" s="52">
        <v>521502000</v>
      </c>
      <c r="H923" s="52" t="s">
        <v>757</v>
      </c>
      <c r="I923" s="52" t="s">
        <v>757</v>
      </c>
      <c r="J923" s="51" t="s">
        <v>24</v>
      </c>
      <c r="K923" s="51" t="s">
        <v>291</v>
      </c>
      <c r="L923" s="41">
        <f t="shared" si="70"/>
        <v>1443540000</v>
      </c>
      <c r="M923" s="41">
        <f t="shared" si="71"/>
        <v>521502000</v>
      </c>
      <c r="N923" s="41">
        <f t="shared" si="72"/>
        <v>922038000</v>
      </c>
      <c r="O923" s="41">
        <f t="shared" si="73"/>
        <v>0.93296727478761698</v>
      </c>
      <c r="P923" s="41">
        <f t="shared" si="74"/>
        <v>0.11851674564886658</v>
      </c>
    </row>
    <row r="924" spans="1:16" ht="19.95" customHeight="1">
      <c r="A924" s="49">
        <v>949</v>
      </c>
      <c r="B924" s="50" t="s">
        <v>479</v>
      </c>
      <c r="C924" s="51" t="s">
        <v>18</v>
      </c>
      <c r="D924" s="51" t="s">
        <v>192</v>
      </c>
      <c r="E924" s="52">
        <v>9474008000</v>
      </c>
      <c r="F924" s="52">
        <v>7757571000</v>
      </c>
      <c r="G924" s="52">
        <v>630421000</v>
      </c>
      <c r="H924" s="52" t="s">
        <v>757</v>
      </c>
      <c r="I924" s="52" t="s">
        <v>757</v>
      </c>
      <c r="J924" s="51" t="s">
        <v>24</v>
      </c>
      <c r="K924" s="51" t="s">
        <v>291</v>
      </c>
      <c r="L924" s="41">
        <f t="shared" si="70"/>
        <v>1716437000</v>
      </c>
      <c r="M924" s="41">
        <f t="shared" si="71"/>
        <v>630421000</v>
      </c>
      <c r="N924" s="41">
        <f t="shared" si="72"/>
        <v>1086016000</v>
      </c>
      <c r="O924" s="41">
        <f t="shared" si="73"/>
        <v>0.9334578353744265</v>
      </c>
      <c r="P924" s="41">
        <f t="shared" si="74"/>
        <v>0.1146311043858101</v>
      </c>
    </row>
    <row r="925" spans="1:16" ht="19.95" customHeight="1">
      <c r="A925" s="49">
        <v>950</v>
      </c>
      <c r="B925" s="50" t="s">
        <v>479</v>
      </c>
      <c r="C925" s="51" t="s">
        <v>20</v>
      </c>
      <c r="D925" s="51" t="s">
        <v>193</v>
      </c>
      <c r="E925" s="52">
        <v>10949999000</v>
      </c>
      <c r="F925" s="52">
        <v>8923519000</v>
      </c>
      <c r="G925" s="52">
        <v>764117000</v>
      </c>
      <c r="H925" s="52" t="s">
        <v>757</v>
      </c>
      <c r="I925" s="52" t="s">
        <v>757</v>
      </c>
      <c r="J925" s="51" t="s">
        <v>24</v>
      </c>
      <c r="K925" s="51" t="s">
        <v>291</v>
      </c>
      <c r="L925" s="41">
        <f t="shared" si="70"/>
        <v>2026480000</v>
      </c>
      <c r="M925" s="41">
        <f t="shared" si="71"/>
        <v>764117000</v>
      </c>
      <c r="N925" s="41">
        <f t="shared" si="72"/>
        <v>1262363000</v>
      </c>
      <c r="O925" s="41">
        <f t="shared" si="73"/>
        <v>0.93021761919795609</v>
      </c>
      <c r="P925" s="41">
        <f t="shared" si="74"/>
        <v>0.11528430276568975</v>
      </c>
    </row>
    <row r="926" spans="1:16" ht="19.95" customHeight="1">
      <c r="A926" s="49">
        <v>951</v>
      </c>
      <c r="B926" s="50" t="s">
        <v>480</v>
      </c>
      <c r="C926" s="51" t="s">
        <v>11</v>
      </c>
      <c r="D926" s="51" t="s">
        <v>12</v>
      </c>
      <c r="E926" s="52">
        <v>5671400000</v>
      </c>
      <c r="F926" s="52">
        <v>3421700000</v>
      </c>
      <c r="G926" s="52">
        <v>1114600000</v>
      </c>
      <c r="H926" s="52" t="s">
        <v>757</v>
      </c>
      <c r="I926" s="52">
        <v>86300000</v>
      </c>
      <c r="J926" s="51" t="s">
        <v>37</v>
      </c>
      <c r="K926" s="51" t="s">
        <v>289</v>
      </c>
      <c r="L926" s="41">
        <f t="shared" si="70"/>
        <v>2249700000</v>
      </c>
      <c r="M926" s="41">
        <f t="shared" si="71"/>
        <v>1200900000</v>
      </c>
      <c r="N926" s="41">
        <f t="shared" si="72"/>
        <v>1048800000</v>
      </c>
      <c r="O926" s="41">
        <f t="shared" si="73"/>
        <v>0.78825334132665659</v>
      </c>
      <c r="P926" s="41">
        <f t="shared" si="74"/>
        <v>0.18492788376767641</v>
      </c>
    </row>
    <row r="927" spans="1:16" ht="19.95" customHeight="1">
      <c r="A927" s="49">
        <v>952</v>
      </c>
      <c r="B927" s="50" t="s">
        <v>480</v>
      </c>
      <c r="C927" s="51" t="s">
        <v>16</v>
      </c>
      <c r="D927" s="51" t="s">
        <v>17</v>
      </c>
      <c r="E927" s="52">
        <v>5808300000</v>
      </c>
      <c r="F927" s="52">
        <v>3585100000</v>
      </c>
      <c r="G927" s="52">
        <v>1128800000</v>
      </c>
      <c r="H927" s="52" t="s">
        <v>757</v>
      </c>
      <c r="I927" s="52">
        <v>81700000</v>
      </c>
      <c r="J927" s="51" t="s">
        <v>37</v>
      </c>
      <c r="K927" s="51" t="s">
        <v>289</v>
      </c>
      <c r="L927" s="41">
        <f t="shared" si="70"/>
        <v>2223200000</v>
      </c>
      <c r="M927" s="41">
        <f t="shared" si="71"/>
        <v>1210500000</v>
      </c>
      <c r="N927" s="41">
        <f t="shared" si="72"/>
        <v>1012700000</v>
      </c>
      <c r="O927" s="41">
        <f t="shared" si="73"/>
        <v>0.79159134342234383</v>
      </c>
      <c r="P927" s="41">
        <f t="shared" si="74"/>
        <v>0.17435394177298005</v>
      </c>
    </row>
    <row r="928" spans="1:16" ht="19.95" customHeight="1">
      <c r="A928" s="49">
        <v>953</v>
      </c>
      <c r="B928" s="50" t="s">
        <v>480</v>
      </c>
      <c r="C928" s="51" t="s">
        <v>18</v>
      </c>
      <c r="D928" s="51" t="s">
        <v>19</v>
      </c>
      <c r="E928" s="52">
        <v>6011600000</v>
      </c>
      <c r="F928" s="52">
        <v>3808500000</v>
      </c>
      <c r="G928" s="52">
        <v>1198200000</v>
      </c>
      <c r="H928" s="52" t="s">
        <v>757</v>
      </c>
      <c r="I928" s="52">
        <v>76700000</v>
      </c>
      <c r="J928" s="51" t="s">
        <v>37</v>
      </c>
      <c r="K928" s="51" t="s">
        <v>289</v>
      </c>
      <c r="L928" s="41">
        <f t="shared" si="70"/>
        <v>2203100000</v>
      </c>
      <c r="M928" s="41">
        <f t="shared" si="71"/>
        <v>1274900000</v>
      </c>
      <c r="N928" s="41">
        <f t="shared" si="72"/>
        <v>928200000</v>
      </c>
      <c r="O928" s="41">
        <f t="shared" si="73"/>
        <v>0.78792667509481662</v>
      </c>
      <c r="P928" s="41">
        <f t="shared" si="74"/>
        <v>0.15440149045179319</v>
      </c>
    </row>
    <row r="929" spans="1:16" ht="19.95" customHeight="1">
      <c r="A929" s="49">
        <v>954</v>
      </c>
      <c r="B929" s="50" t="s">
        <v>480</v>
      </c>
      <c r="C929" s="51" t="s">
        <v>20</v>
      </c>
      <c r="D929" s="51" t="s">
        <v>21</v>
      </c>
      <c r="E929" s="52">
        <v>8680100000</v>
      </c>
      <c r="F929" s="52">
        <v>5776800000</v>
      </c>
      <c r="G929" s="52">
        <v>1622000000</v>
      </c>
      <c r="H929" s="52" t="s">
        <v>757</v>
      </c>
      <c r="I929" s="52">
        <v>164500000</v>
      </c>
      <c r="J929" s="51" t="s">
        <v>37</v>
      </c>
      <c r="K929" s="51" t="s">
        <v>289</v>
      </c>
      <c r="L929" s="41">
        <f t="shared" si="70"/>
        <v>2903300000</v>
      </c>
      <c r="M929" s="41">
        <f t="shared" si="71"/>
        <v>1786500000</v>
      </c>
      <c r="N929" s="41">
        <f t="shared" si="72"/>
        <v>1116800000</v>
      </c>
      <c r="O929" s="41">
        <f t="shared" si="73"/>
        <v>0.79418439879724889</v>
      </c>
      <c r="P929" s="41">
        <f t="shared" si="74"/>
        <v>0.12866211218764761</v>
      </c>
    </row>
    <row r="930" spans="1:16" ht="19.95" customHeight="1">
      <c r="A930" s="49">
        <v>955</v>
      </c>
      <c r="B930" s="50" t="s">
        <v>481</v>
      </c>
      <c r="C930" s="51" t="s">
        <v>11</v>
      </c>
      <c r="D930" s="51" t="s">
        <v>12</v>
      </c>
      <c r="E930" s="52">
        <v>4122930000</v>
      </c>
      <c r="F930" s="52">
        <v>2398790000</v>
      </c>
      <c r="G930" s="52">
        <v>1219343000</v>
      </c>
      <c r="H930" s="52" t="s">
        <v>757</v>
      </c>
      <c r="I930" s="52">
        <v>64093000</v>
      </c>
      <c r="J930" s="51" t="s">
        <v>24</v>
      </c>
      <c r="K930" s="51" t="s">
        <v>482</v>
      </c>
      <c r="L930" s="41">
        <f t="shared" si="70"/>
        <v>1724140000</v>
      </c>
      <c r="M930" s="41">
        <f t="shared" si="71"/>
        <v>1283436000</v>
      </c>
      <c r="N930" s="41">
        <f t="shared" si="72"/>
        <v>440704000</v>
      </c>
      <c r="O930" s="41">
        <f t="shared" si="73"/>
        <v>0.68870778790811382</v>
      </c>
      <c r="P930" s="41">
        <f t="shared" si="74"/>
        <v>0.10689097316714084</v>
      </c>
    </row>
    <row r="931" spans="1:16" ht="19.95" customHeight="1">
      <c r="A931" s="49">
        <v>956</v>
      </c>
      <c r="B931" s="50" t="s">
        <v>481</v>
      </c>
      <c r="C931" s="51" t="s">
        <v>16</v>
      </c>
      <c r="D931" s="51" t="s">
        <v>17</v>
      </c>
      <c r="E931" s="52">
        <v>5062528000</v>
      </c>
      <c r="F931" s="52">
        <v>2987126000</v>
      </c>
      <c r="G931" s="52">
        <v>1454080000</v>
      </c>
      <c r="H931" s="52" t="s">
        <v>757</v>
      </c>
      <c r="I931" s="52">
        <v>80969000</v>
      </c>
      <c r="J931" s="51" t="s">
        <v>24</v>
      </c>
      <c r="K931" s="51" t="s">
        <v>482</v>
      </c>
      <c r="L931" s="41">
        <f t="shared" si="70"/>
        <v>2075402000</v>
      </c>
      <c r="M931" s="41">
        <f t="shared" si="71"/>
        <v>1535049000</v>
      </c>
      <c r="N931" s="41">
        <f t="shared" si="72"/>
        <v>540353000</v>
      </c>
      <c r="O931" s="41">
        <f t="shared" si="73"/>
        <v>0.69678212150135266</v>
      </c>
      <c r="P931" s="41">
        <f t="shared" si="74"/>
        <v>0.10673580472048748</v>
      </c>
    </row>
    <row r="932" spans="1:16" ht="19.95" customHeight="1">
      <c r="A932" s="49">
        <v>957</v>
      </c>
      <c r="B932" s="50" t="s">
        <v>481</v>
      </c>
      <c r="C932" s="51" t="s">
        <v>18</v>
      </c>
      <c r="D932" s="51" t="s">
        <v>19</v>
      </c>
      <c r="E932" s="52">
        <v>6740064000</v>
      </c>
      <c r="F932" s="52">
        <v>4088151000</v>
      </c>
      <c r="G932" s="52">
        <v>1866520000</v>
      </c>
      <c r="H932" s="52" t="s">
        <v>757</v>
      </c>
      <c r="I932" s="52">
        <v>120719000</v>
      </c>
      <c r="J932" s="51" t="s">
        <v>24</v>
      </c>
      <c r="K932" s="51" t="s">
        <v>482</v>
      </c>
      <c r="L932" s="41">
        <f t="shared" si="70"/>
        <v>2651913000</v>
      </c>
      <c r="M932" s="41">
        <f t="shared" si="71"/>
        <v>1987239000</v>
      </c>
      <c r="N932" s="41">
        <f t="shared" si="72"/>
        <v>664674000</v>
      </c>
      <c r="O932" s="41">
        <f t="shared" si="73"/>
        <v>0.70516021806321127</v>
      </c>
      <c r="P932" s="41">
        <f t="shared" si="74"/>
        <v>9.8615384067569686E-2</v>
      </c>
    </row>
    <row r="933" spans="1:16" ht="19.95" customHeight="1">
      <c r="A933" s="49">
        <v>958</v>
      </c>
      <c r="B933" s="50" t="s">
        <v>481</v>
      </c>
      <c r="C933" s="51" t="s">
        <v>20</v>
      </c>
      <c r="D933" s="51" t="s">
        <v>21</v>
      </c>
      <c r="E933" s="52">
        <v>7192633000</v>
      </c>
      <c r="F933" s="52">
        <v>4359104000</v>
      </c>
      <c r="G933" s="52">
        <v>1987271000</v>
      </c>
      <c r="H933" s="52" t="s">
        <v>757</v>
      </c>
      <c r="I933" s="52">
        <v>122120000</v>
      </c>
      <c r="J933" s="51" t="s">
        <v>24</v>
      </c>
      <c r="K933" s="51" t="s">
        <v>482</v>
      </c>
      <c r="L933" s="41">
        <f t="shared" si="70"/>
        <v>2833529000</v>
      </c>
      <c r="M933" s="41">
        <f t="shared" si="71"/>
        <v>2109391000</v>
      </c>
      <c r="N933" s="41">
        <f t="shared" si="72"/>
        <v>724138000</v>
      </c>
      <c r="O933" s="41">
        <f t="shared" si="73"/>
        <v>0.70672895447327844</v>
      </c>
      <c r="P933" s="41">
        <f t="shared" si="74"/>
        <v>0.10067773512147776</v>
      </c>
    </row>
    <row r="934" spans="1:16" ht="19.95" customHeight="1">
      <c r="A934" s="49">
        <v>959</v>
      </c>
      <c r="B934" s="50" t="s">
        <v>483</v>
      </c>
      <c r="C934" s="51" t="s">
        <v>11</v>
      </c>
      <c r="D934" s="51" t="s">
        <v>12</v>
      </c>
      <c r="E934" s="52">
        <v>13107000000</v>
      </c>
      <c r="F934" s="52">
        <v>11799000000</v>
      </c>
      <c r="G934" s="52" t="s">
        <v>757</v>
      </c>
      <c r="H934" s="52" t="s">
        <v>757</v>
      </c>
      <c r="I934" s="52" t="s">
        <v>757</v>
      </c>
      <c r="J934" s="51" t="s">
        <v>14</v>
      </c>
      <c r="K934" s="51" t="s">
        <v>224</v>
      </c>
      <c r="L934" s="41">
        <f t="shared" si="70"/>
        <v>1308000000</v>
      </c>
      <c r="M934" s="41">
        <f t="shared" si="71"/>
        <v>0</v>
      </c>
      <c r="N934" s="41">
        <f t="shared" si="72"/>
        <v>1308000000</v>
      </c>
      <c r="O934" s="41">
        <f t="shared" si="73"/>
        <v>1</v>
      </c>
      <c r="P934" s="41">
        <f t="shared" si="74"/>
        <v>9.9794003204394605E-2</v>
      </c>
    </row>
    <row r="935" spans="1:16" ht="19.95" customHeight="1">
      <c r="A935" s="49">
        <v>960</v>
      </c>
      <c r="B935" s="50" t="s">
        <v>483</v>
      </c>
      <c r="C935" s="51" t="s">
        <v>16</v>
      </c>
      <c r="D935" s="51" t="s">
        <v>17</v>
      </c>
      <c r="E935" s="52">
        <v>11420000000</v>
      </c>
      <c r="F935" s="52">
        <v>10303000000</v>
      </c>
      <c r="G935" s="52" t="s">
        <v>757</v>
      </c>
      <c r="H935" s="52" t="s">
        <v>757</v>
      </c>
      <c r="I935" s="52" t="s">
        <v>757</v>
      </c>
      <c r="J935" s="51" t="s">
        <v>14</v>
      </c>
      <c r="K935" s="51" t="s">
        <v>224</v>
      </c>
      <c r="L935" s="41">
        <f t="shared" si="70"/>
        <v>1117000000</v>
      </c>
      <c r="M935" s="41">
        <f t="shared" si="71"/>
        <v>0</v>
      </c>
      <c r="N935" s="41">
        <f t="shared" si="72"/>
        <v>1117000000</v>
      </c>
      <c r="O935" s="41">
        <f t="shared" si="73"/>
        <v>1</v>
      </c>
      <c r="P935" s="41">
        <f t="shared" si="74"/>
        <v>9.781085814360771E-2</v>
      </c>
    </row>
    <row r="936" spans="1:16" ht="19.95" customHeight="1">
      <c r="A936" s="49">
        <v>961</v>
      </c>
      <c r="B936" s="50" t="s">
        <v>483</v>
      </c>
      <c r="C936" s="51" t="s">
        <v>18</v>
      </c>
      <c r="D936" s="51" t="s">
        <v>19</v>
      </c>
      <c r="E936" s="52">
        <v>10986000000</v>
      </c>
      <c r="F936" s="52">
        <v>9974000000</v>
      </c>
      <c r="G936" s="52" t="s">
        <v>757</v>
      </c>
      <c r="H936" s="52" t="s">
        <v>757</v>
      </c>
      <c r="I936" s="52" t="s">
        <v>757</v>
      </c>
      <c r="J936" s="51" t="s">
        <v>14</v>
      </c>
      <c r="K936" s="51" t="s">
        <v>224</v>
      </c>
      <c r="L936" s="41">
        <f t="shared" si="70"/>
        <v>1012000000</v>
      </c>
      <c r="M936" s="41">
        <f t="shared" si="71"/>
        <v>0</v>
      </c>
      <c r="N936" s="41">
        <f t="shared" si="72"/>
        <v>1012000000</v>
      </c>
      <c r="O936" s="41">
        <f t="shared" si="73"/>
        <v>1</v>
      </c>
      <c r="P936" s="41">
        <f t="shared" si="74"/>
        <v>9.2117240123793923E-2</v>
      </c>
    </row>
    <row r="937" spans="1:16" ht="19.95" customHeight="1">
      <c r="A937" s="49">
        <v>962</v>
      </c>
      <c r="B937" s="50" t="s">
        <v>483</v>
      </c>
      <c r="C937" s="51" t="s">
        <v>20</v>
      </c>
      <c r="D937" s="51" t="s">
        <v>21</v>
      </c>
      <c r="E937" s="52">
        <v>10466000000</v>
      </c>
      <c r="F937" s="52">
        <v>9576000000</v>
      </c>
      <c r="G937" s="52" t="s">
        <v>757</v>
      </c>
      <c r="H937" s="52" t="s">
        <v>757</v>
      </c>
      <c r="I937" s="52" t="s">
        <v>757</v>
      </c>
      <c r="J937" s="51" t="s">
        <v>14</v>
      </c>
      <c r="K937" s="51" t="s">
        <v>224</v>
      </c>
      <c r="L937" s="41">
        <f t="shared" si="70"/>
        <v>890000000</v>
      </c>
      <c r="M937" s="41">
        <f t="shared" si="71"/>
        <v>0</v>
      </c>
      <c r="N937" s="41">
        <f t="shared" si="72"/>
        <v>890000000</v>
      </c>
      <c r="O937" s="41">
        <f t="shared" si="73"/>
        <v>1</v>
      </c>
      <c r="P937" s="41">
        <f t="shared" si="74"/>
        <v>8.503726351996943E-2</v>
      </c>
    </row>
    <row r="938" spans="1:16" ht="19.95" customHeight="1">
      <c r="A938" s="49">
        <v>963</v>
      </c>
      <c r="B938" s="50" t="s">
        <v>484</v>
      </c>
      <c r="C938" s="51" t="s">
        <v>11</v>
      </c>
      <c r="D938" s="51" t="s">
        <v>178</v>
      </c>
      <c r="E938" s="52">
        <v>1282236000</v>
      </c>
      <c r="F938" s="52">
        <v>322516000</v>
      </c>
      <c r="G938" s="52">
        <v>151382000</v>
      </c>
      <c r="H938" s="52">
        <v>235184000</v>
      </c>
      <c r="I938" s="52" t="s">
        <v>757</v>
      </c>
      <c r="J938" s="51" t="s">
        <v>31</v>
      </c>
      <c r="K938" s="51" t="s">
        <v>55</v>
      </c>
      <c r="L938" s="41">
        <f t="shared" si="70"/>
        <v>959720000</v>
      </c>
      <c r="M938" s="41">
        <f t="shared" si="71"/>
        <v>386566000</v>
      </c>
      <c r="N938" s="41">
        <f t="shared" si="72"/>
        <v>573154000</v>
      </c>
      <c r="O938" s="41">
        <f t="shared" si="73"/>
        <v>0.6985219569564417</v>
      </c>
      <c r="P938" s="41">
        <f t="shared" si="74"/>
        <v>0.4469957168571152</v>
      </c>
    </row>
    <row r="939" spans="1:16" ht="19.95" customHeight="1">
      <c r="A939" s="49">
        <v>964</v>
      </c>
      <c r="B939" s="50" t="s">
        <v>484</v>
      </c>
      <c r="C939" s="51" t="s">
        <v>16</v>
      </c>
      <c r="D939" s="51" t="s">
        <v>485</v>
      </c>
      <c r="E939" s="52">
        <v>1388386000</v>
      </c>
      <c r="F939" s="52">
        <v>338580000</v>
      </c>
      <c r="G939" s="52">
        <v>159642000</v>
      </c>
      <c r="H939" s="52">
        <v>250434000</v>
      </c>
      <c r="I939" s="52" t="s">
        <v>757</v>
      </c>
      <c r="J939" s="51" t="s">
        <v>31</v>
      </c>
      <c r="K939" s="51" t="s">
        <v>55</v>
      </c>
      <c r="L939" s="41">
        <f t="shared" si="70"/>
        <v>1049806000</v>
      </c>
      <c r="M939" s="41">
        <f t="shared" si="71"/>
        <v>410076000</v>
      </c>
      <c r="N939" s="41">
        <f t="shared" si="72"/>
        <v>639730000</v>
      </c>
      <c r="O939" s="41">
        <f t="shared" si="73"/>
        <v>0.70463833544849919</v>
      </c>
      <c r="P939" s="41">
        <f t="shared" si="74"/>
        <v>0.46077243648380206</v>
      </c>
    </row>
    <row r="940" spans="1:16" ht="19.95" customHeight="1">
      <c r="A940" s="49">
        <v>965</v>
      </c>
      <c r="B940" s="50" t="s">
        <v>484</v>
      </c>
      <c r="C940" s="51" t="s">
        <v>18</v>
      </c>
      <c r="D940" s="51" t="s">
        <v>486</v>
      </c>
      <c r="E940" s="52">
        <v>1475139000</v>
      </c>
      <c r="F940" s="52">
        <v>355727000</v>
      </c>
      <c r="G940" s="52">
        <v>169952000</v>
      </c>
      <c r="H940" s="52">
        <v>266761000</v>
      </c>
      <c r="I940" s="52" t="s">
        <v>757</v>
      </c>
      <c r="J940" s="51" t="s">
        <v>31</v>
      </c>
      <c r="K940" s="51" t="s">
        <v>55</v>
      </c>
      <c r="L940" s="41">
        <f t="shared" si="70"/>
        <v>1119412000</v>
      </c>
      <c r="M940" s="41">
        <f t="shared" si="71"/>
        <v>436713000</v>
      </c>
      <c r="N940" s="41">
        <f t="shared" si="72"/>
        <v>682699000</v>
      </c>
      <c r="O940" s="41">
        <f t="shared" si="73"/>
        <v>0.70395128865822132</v>
      </c>
      <c r="P940" s="41">
        <f t="shared" si="74"/>
        <v>0.46280316634567997</v>
      </c>
    </row>
    <row r="941" spans="1:16" ht="19.95" customHeight="1">
      <c r="A941" s="49">
        <v>966</v>
      </c>
      <c r="B941" s="50" t="s">
        <v>484</v>
      </c>
      <c r="C941" s="51" t="s">
        <v>20</v>
      </c>
      <c r="D941" s="51" t="s">
        <v>487</v>
      </c>
      <c r="E941" s="52">
        <v>1423936000</v>
      </c>
      <c r="F941" s="52">
        <v>343801000</v>
      </c>
      <c r="G941" s="52">
        <v>170120000</v>
      </c>
      <c r="H941" s="52">
        <v>276462000</v>
      </c>
      <c r="I941" s="52" t="s">
        <v>757</v>
      </c>
      <c r="J941" s="51" t="s">
        <v>31</v>
      </c>
      <c r="K941" s="51" t="s">
        <v>55</v>
      </c>
      <c r="L941" s="41">
        <f t="shared" si="70"/>
        <v>1080135000</v>
      </c>
      <c r="M941" s="41">
        <f t="shared" si="71"/>
        <v>446582000</v>
      </c>
      <c r="N941" s="41">
        <f t="shared" si="72"/>
        <v>633553000</v>
      </c>
      <c r="O941" s="41">
        <f t="shared" si="73"/>
        <v>0.68637494943592969</v>
      </c>
      <c r="P941" s="41">
        <f t="shared" si="74"/>
        <v>0.44493081149714592</v>
      </c>
    </row>
    <row r="942" spans="1:16" ht="19.95" customHeight="1">
      <c r="A942" s="49">
        <v>967</v>
      </c>
      <c r="B942" s="50" t="s">
        <v>488</v>
      </c>
      <c r="C942" s="51" t="s">
        <v>11</v>
      </c>
      <c r="D942" s="51" t="s">
        <v>12</v>
      </c>
      <c r="E942" s="52">
        <v>22603400000</v>
      </c>
      <c r="F942" s="52">
        <v>4796500000</v>
      </c>
      <c r="G942" s="52">
        <v>6839500000</v>
      </c>
      <c r="H942" s="52">
        <v>5278100000</v>
      </c>
      <c r="I942" s="52" t="s">
        <v>757</v>
      </c>
      <c r="J942" s="51" t="s">
        <v>37</v>
      </c>
      <c r="K942" s="51" t="s">
        <v>38</v>
      </c>
      <c r="L942" s="41">
        <f t="shared" si="70"/>
        <v>17806900000</v>
      </c>
      <c r="M942" s="41">
        <f t="shared" si="71"/>
        <v>12117600000</v>
      </c>
      <c r="N942" s="41">
        <f t="shared" si="72"/>
        <v>5689300000</v>
      </c>
      <c r="O942" s="41">
        <f t="shared" si="73"/>
        <v>0.46390366051125054</v>
      </c>
      <c r="P942" s="41">
        <f t="shared" si="74"/>
        <v>0.25170107152021376</v>
      </c>
    </row>
    <row r="943" spans="1:16" ht="19.95" customHeight="1">
      <c r="A943" s="49">
        <v>968</v>
      </c>
      <c r="B943" s="50" t="s">
        <v>488</v>
      </c>
      <c r="C943" s="51" t="s">
        <v>16</v>
      </c>
      <c r="D943" s="51" t="s">
        <v>17</v>
      </c>
      <c r="E943" s="52">
        <v>23113100000</v>
      </c>
      <c r="F943" s="52">
        <v>4908100000</v>
      </c>
      <c r="G943" s="52">
        <v>6606700000</v>
      </c>
      <c r="H943" s="52">
        <v>5531300000</v>
      </c>
      <c r="I943" s="52" t="s">
        <v>757</v>
      </c>
      <c r="J943" s="51" t="s">
        <v>37</v>
      </c>
      <c r="K943" s="51" t="s">
        <v>38</v>
      </c>
      <c r="L943" s="41">
        <f t="shared" si="70"/>
        <v>18205000000</v>
      </c>
      <c r="M943" s="41">
        <f t="shared" si="71"/>
        <v>12138000000</v>
      </c>
      <c r="N943" s="41">
        <f t="shared" si="72"/>
        <v>6067000000</v>
      </c>
      <c r="O943" s="41">
        <f t="shared" si="73"/>
        <v>0.47484327069930043</v>
      </c>
      <c r="P943" s="41">
        <f t="shared" si="74"/>
        <v>0.26249183363547079</v>
      </c>
    </row>
    <row r="944" spans="1:16" ht="19.95" customHeight="1">
      <c r="A944" s="49">
        <v>969</v>
      </c>
      <c r="B944" s="50" t="s">
        <v>488</v>
      </c>
      <c r="C944" s="51" t="s">
        <v>18</v>
      </c>
      <c r="D944" s="51" t="s">
        <v>19</v>
      </c>
      <c r="E944" s="52">
        <v>19615600000</v>
      </c>
      <c r="F944" s="52">
        <v>4932500000</v>
      </c>
      <c r="G944" s="52">
        <v>6280300000</v>
      </c>
      <c r="H944" s="52">
        <v>4733600000</v>
      </c>
      <c r="I944" s="52" t="s">
        <v>757</v>
      </c>
      <c r="J944" s="51" t="s">
        <v>37</v>
      </c>
      <c r="K944" s="51" t="s">
        <v>38</v>
      </c>
      <c r="L944" s="41">
        <f t="shared" si="70"/>
        <v>14683100000</v>
      </c>
      <c r="M944" s="41">
        <f t="shared" si="71"/>
        <v>11013900000</v>
      </c>
      <c r="N944" s="41">
        <f t="shared" si="72"/>
        <v>3669200000</v>
      </c>
      <c r="O944" s="41">
        <f t="shared" si="73"/>
        <v>0.4385132241685189</v>
      </c>
      <c r="P944" s="41">
        <f t="shared" si="74"/>
        <v>0.18705520096249922</v>
      </c>
    </row>
    <row r="945" spans="1:16" ht="19.95" customHeight="1">
      <c r="A945" s="49">
        <v>970</v>
      </c>
      <c r="B945" s="50" t="s">
        <v>488</v>
      </c>
      <c r="C945" s="51" t="s">
        <v>20</v>
      </c>
      <c r="D945" s="51" t="s">
        <v>21</v>
      </c>
      <c r="E945" s="52">
        <v>19958700000</v>
      </c>
      <c r="F945" s="52">
        <v>5037200000</v>
      </c>
      <c r="G945" s="52">
        <v>6432400000</v>
      </c>
      <c r="H945" s="52">
        <v>4796400000</v>
      </c>
      <c r="I945" s="52" t="s">
        <v>757</v>
      </c>
      <c r="J945" s="51" t="s">
        <v>37</v>
      </c>
      <c r="K945" s="51" t="s">
        <v>38</v>
      </c>
      <c r="L945" s="41">
        <f t="shared" si="70"/>
        <v>14921500000</v>
      </c>
      <c r="M945" s="41">
        <f t="shared" si="71"/>
        <v>11228800000</v>
      </c>
      <c r="N945" s="41">
        <f t="shared" si="72"/>
        <v>3692700000</v>
      </c>
      <c r="O945" s="41">
        <f t="shared" si="73"/>
        <v>0.43739822733945599</v>
      </c>
      <c r="P945" s="41">
        <f t="shared" si="74"/>
        <v>0.18501706022937367</v>
      </c>
    </row>
    <row r="946" spans="1:16" ht="19.95" customHeight="1">
      <c r="A946" s="49">
        <v>971</v>
      </c>
      <c r="B946" s="50" t="s">
        <v>489</v>
      </c>
      <c r="C946" s="51" t="s">
        <v>11</v>
      </c>
      <c r="D946" s="51" t="s">
        <v>17</v>
      </c>
      <c r="E946" s="52">
        <v>45358000000</v>
      </c>
      <c r="F946" s="52">
        <v>41171000000</v>
      </c>
      <c r="G946" s="52">
        <v>-318000000</v>
      </c>
      <c r="H946" s="52" t="s">
        <v>757</v>
      </c>
      <c r="I946" s="52" t="s">
        <v>757</v>
      </c>
      <c r="J946" s="51" t="s">
        <v>14</v>
      </c>
      <c r="K946" s="51" t="s">
        <v>124</v>
      </c>
      <c r="L946" s="41">
        <f t="shared" si="70"/>
        <v>4187000000</v>
      </c>
      <c r="M946" s="41">
        <f t="shared" si="71"/>
        <v>-318000000</v>
      </c>
      <c r="N946" s="41">
        <f t="shared" si="72"/>
        <v>4505000000</v>
      </c>
      <c r="O946" s="41">
        <f t="shared" si="73"/>
        <v>1.007010891132766</v>
      </c>
      <c r="P946" s="41">
        <f t="shared" si="74"/>
        <v>9.9320957714184935E-2</v>
      </c>
    </row>
    <row r="947" spans="1:16" ht="19.95" customHeight="1">
      <c r="A947" s="49">
        <v>972</v>
      </c>
      <c r="B947" s="50" t="s">
        <v>489</v>
      </c>
      <c r="C947" s="51" t="s">
        <v>16</v>
      </c>
      <c r="D947" s="51" t="s">
        <v>19</v>
      </c>
      <c r="E947" s="52">
        <v>39946000000</v>
      </c>
      <c r="F947" s="52">
        <v>35263000000</v>
      </c>
      <c r="G947" s="52">
        <v>-329000000</v>
      </c>
      <c r="H947" s="52" t="s">
        <v>757</v>
      </c>
      <c r="I947" s="52" t="s">
        <v>757</v>
      </c>
      <c r="J947" s="51" t="s">
        <v>14</v>
      </c>
      <c r="K947" s="51" t="s">
        <v>124</v>
      </c>
      <c r="L947" s="41">
        <f t="shared" si="70"/>
        <v>4683000000</v>
      </c>
      <c r="M947" s="41">
        <f t="shared" si="71"/>
        <v>-329000000</v>
      </c>
      <c r="N947" s="41">
        <f t="shared" si="72"/>
        <v>5012000000</v>
      </c>
      <c r="O947" s="41">
        <f t="shared" si="73"/>
        <v>1.0082361187603264</v>
      </c>
      <c r="P947" s="41">
        <f t="shared" si="74"/>
        <v>0.12546938366795174</v>
      </c>
    </row>
    <row r="948" spans="1:16" ht="19.95" customHeight="1">
      <c r="A948" s="49">
        <v>973</v>
      </c>
      <c r="B948" s="50" t="s">
        <v>489</v>
      </c>
      <c r="C948" s="51" t="s">
        <v>18</v>
      </c>
      <c r="D948" s="51" t="s">
        <v>21</v>
      </c>
      <c r="E948" s="52">
        <v>40536000000</v>
      </c>
      <c r="F948" s="52">
        <v>36044000000</v>
      </c>
      <c r="G948" s="52">
        <v>-220000000</v>
      </c>
      <c r="H948" s="52" t="s">
        <v>757</v>
      </c>
      <c r="I948" s="52" t="s">
        <v>757</v>
      </c>
      <c r="J948" s="51" t="s">
        <v>14</v>
      </c>
      <c r="K948" s="51" t="s">
        <v>124</v>
      </c>
      <c r="L948" s="41">
        <f t="shared" si="70"/>
        <v>4492000000</v>
      </c>
      <c r="M948" s="41">
        <f t="shared" si="71"/>
        <v>-220000000</v>
      </c>
      <c r="N948" s="41">
        <f t="shared" si="72"/>
        <v>4712000000</v>
      </c>
      <c r="O948" s="41">
        <f t="shared" si="73"/>
        <v>1.005427274521413</v>
      </c>
      <c r="P948" s="41">
        <f t="shared" si="74"/>
        <v>0.11624235247681074</v>
      </c>
    </row>
    <row r="949" spans="1:16" ht="19.95" customHeight="1">
      <c r="A949" s="49">
        <v>974</v>
      </c>
      <c r="B949" s="50" t="s">
        <v>489</v>
      </c>
      <c r="C949" s="51" t="s">
        <v>20</v>
      </c>
      <c r="D949" s="51" t="s">
        <v>84</v>
      </c>
      <c r="E949" s="52">
        <v>47248000000</v>
      </c>
      <c r="F949" s="52">
        <v>42186000000</v>
      </c>
      <c r="G949" s="52">
        <v>-487000000</v>
      </c>
      <c r="H949" s="52" t="s">
        <v>757</v>
      </c>
      <c r="I949" s="52" t="s">
        <v>757</v>
      </c>
      <c r="J949" s="51" t="s">
        <v>14</v>
      </c>
      <c r="K949" s="51" t="s">
        <v>124</v>
      </c>
      <c r="L949" s="41">
        <f t="shared" si="70"/>
        <v>5062000000</v>
      </c>
      <c r="M949" s="41">
        <f t="shared" si="71"/>
        <v>-487000000</v>
      </c>
      <c r="N949" s="41">
        <f t="shared" si="72"/>
        <v>5549000000</v>
      </c>
      <c r="O949" s="41">
        <f t="shared" si="73"/>
        <v>1.0103073145953267</v>
      </c>
      <c r="P949" s="41">
        <f t="shared" si="74"/>
        <v>0.11744412461903149</v>
      </c>
    </row>
    <row r="950" spans="1:16" ht="19.95" customHeight="1">
      <c r="A950" s="49">
        <v>975</v>
      </c>
      <c r="B950" s="50" t="s">
        <v>490</v>
      </c>
      <c r="C950" s="51" t="s">
        <v>11</v>
      </c>
      <c r="D950" s="51" t="s">
        <v>12</v>
      </c>
      <c r="E950" s="52">
        <v>3094500000</v>
      </c>
      <c r="F950" s="52">
        <v>2144200000</v>
      </c>
      <c r="G950" s="52">
        <v>98200000</v>
      </c>
      <c r="H950" s="52" t="s">
        <v>757</v>
      </c>
      <c r="I950" s="52">
        <v>332400000</v>
      </c>
      <c r="J950" s="51" t="s">
        <v>70</v>
      </c>
      <c r="K950" s="51" t="s">
        <v>73</v>
      </c>
      <c r="L950" s="41">
        <f t="shared" si="70"/>
        <v>950300000</v>
      </c>
      <c r="M950" s="41">
        <f t="shared" si="71"/>
        <v>430600000</v>
      </c>
      <c r="N950" s="41">
        <f t="shared" si="72"/>
        <v>519700000</v>
      </c>
      <c r="O950" s="41">
        <f t="shared" si="73"/>
        <v>0.86084989497495557</v>
      </c>
      <c r="P950" s="41">
        <f t="shared" si="74"/>
        <v>0.16794312489901439</v>
      </c>
    </row>
    <row r="951" spans="1:16" ht="19.95" customHeight="1">
      <c r="A951" s="49">
        <v>976</v>
      </c>
      <c r="B951" s="50" t="s">
        <v>490</v>
      </c>
      <c r="C951" s="51" t="s">
        <v>16</v>
      </c>
      <c r="D951" s="51" t="s">
        <v>17</v>
      </c>
      <c r="E951" s="52">
        <v>3276800000</v>
      </c>
      <c r="F951" s="52">
        <v>2272400000</v>
      </c>
      <c r="G951" s="52">
        <v>99600000</v>
      </c>
      <c r="H951" s="52" t="s">
        <v>757</v>
      </c>
      <c r="I951" s="52">
        <v>370900000</v>
      </c>
      <c r="J951" s="51" t="s">
        <v>70</v>
      </c>
      <c r="K951" s="51" t="s">
        <v>73</v>
      </c>
      <c r="L951" s="41">
        <f t="shared" si="70"/>
        <v>1004400000</v>
      </c>
      <c r="M951" s="41">
        <f t="shared" si="71"/>
        <v>470500000</v>
      </c>
      <c r="N951" s="41">
        <f t="shared" si="72"/>
        <v>533900000</v>
      </c>
      <c r="O951" s="41">
        <f t="shared" si="73"/>
        <v>0.856414794921875</v>
      </c>
      <c r="P951" s="41">
        <f t="shared" si="74"/>
        <v>0.162933349609375</v>
      </c>
    </row>
    <row r="952" spans="1:16" ht="19.95" customHeight="1">
      <c r="A952" s="49">
        <v>977</v>
      </c>
      <c r="B952" s="50" t="s">
        <v>490</v>
      </c>
      <c r="C952" s="51" t="s">
        <v>18</v>
      </c>
      <c r="D952" s="51" t="s">
        <v>19</v>
      </c>
      <c r="E952" s="52">
        <v>3350300000</v>
      </c>
      <c r="F952" s="52">
        <v>2317500000</v>
      </c>
      <c r="G952" s="52">
        <v>101100000</v>
      </c>
      <c r="H952" s="52" t="s">
        <v>757</v>
      </c>
      <c r="I952" s="52">
        <v>388100000</v>
      </c>
      <c r="J952" s="51" t="s">
        <v>70</v>
      </c>
      <c r="K952" s="51" t="s">
        <v>73</v>
      </c>
      <c r="L952" s="41">
        <f t="shared" si="70"/>
        <v>1032800000</v>
      </c>
      <c r="M952" s="41">
        <f t="shared" si="71"/>
        <v>489200000</v>
      </c>
      <c r="N952" s="41">
        <f t="shared" si="72"/>
        <v>543600000</v>
      </c>
      <c r="O952" s="41">
        <f t="shared" si="73"/>
        <v>0.85398322538280158</v>
      </c>
      <c r="P952" s="41">
        <f t="shared" si="74"/>
        <v>0.16225412649613469</v>
      </c>
    </row>
    <row r="953" spans="1:16" ht="19.95" customHeight="1">
      <c r="A953" s="49">
        <v>978</v>
      </c>
      <c r="B953" s="50" t="s">
        <v>490</v>
      </c>
      <c r="C953" s="51" t="s">
        <v>20</v>
      </c>
      <c r="D953" s="51" t="s">
        <v>21</v>
      </c>
      <c r="E953" s="52">
        <v>3253600000</v>
      </c>
      <c r="F953" s="52">
        <v>2171600000</v>
      </c>
      <c r="G953" s="52">
        <v>103700000</v>
      </c>
      <c r="H953" s="52" t="s">
        <v>757</v>
      </c>
      <c r="I953" s="52">
        <v>401300000</v>
      </c>
      <c r="J953" s="51" t="s">
        <v>70</v>
      </c>
      <c r="K953" s="51" t="s">
        <v>73</v>
      </c>
      <c r="L953" s="41">
        <f t="shared" si="70"/>
        <v>1082000000</v>
      </c>
      <c r="M953" s="41">
        <f t="shared" si="71"/>
        <v>505000000</v>
      </c>
      <c r="N953" s="41">
        <f t="shared" si="72"/>
        <v>577000000</v>
      </c>
      <c r="O953" s="41">
        <f t="shared" si="73"/>
        <v>0.84478731251536754</v>
      </c>
      <c r="P953" s="41">
        <f t="shared" si="74"/>
        <v>0.17734202114580772</v>
      </c>
    </row>
    <row r="954" spans="1:16" ht="19.95" customHeight="1">
      <c r="A954" s="49">
        <v>979</v>
      </c>
      <c r="B954" s="50" t="s">
        <v>491</v>
      </c>
      <c r="C954" s="51" t="s">
        <v>11</v>
      </c>
      <c r="D954" s="51" t="s">
        <v>284</v>
      </c>
      <c r="E954" s="52">
        <v>50521000000</v>
      </c>
      <c r="F954" s="52">
        <v>33194000000</v>
      </c>
      <c r="G954" s="52">
        <v>12244000000</v>
      </c>
      <c r="H954" s="52" t="s">
        <v>757</v>
      </c>
      <c r="I954" s="52">
        <v>1523000000</v>
      </c>
      <c r="J954" s="51" t="s">
        <v>24</v>
      </c>
      <c r="K954" s="51" t="s">
        <v>397</v>
      </c>
      <c r="L954" s="41">
        <f t="shared" si="70"/>
        <v>17327000000</v>
      </c>
      <c r="M954" s="41">
        <f t="shared" si="71"/>
        <v>13767000000</v>
      </c>
      <c r="N954" s="41">
        <f t="shared" si="72"/>
        <v>3560000000</v>
      </c>
      <c r="O954" s="41">
        <f t="shared" si="73"/>
        <v>0.72749945567189878</v>
      </c>
      <c r="P954" s="41">
        <f t="shared" si="74"/>
        <v>7.0465746917123567E-2</v>
      </c>
    </row>
    <row r="955" spans="1:16" ht="19.95" customHeight="1">
      <c r="A955" s="49">
        <v>980</v>
      </c>
      <c r="B955" s="50" t="s">
        <v>491</v>
      </c>
      <c r="C955" s="51" t="s">
        <v>16</v>
      </c>
      <c r="D955" s="51" t="s">
        <v>66</v>
      </c>
      <c r="E955" s="52">
        <v>53417000000</v>
      </c>
      <c r="F955" s="52">
        <v>34941000000</v>
      </c>
      <c r="G955" s="52">
        <v>12865000000</v>
      </c>
      <c r="H955" s="52" t="s">
        <v>757</v>
      </c>
      <c r="I955" s="52">
        <v>1462000000</v>
      </c>
      <c r="J955" s="51" t="s">
        <v>24</v>
      </c>
      <c r="K955" s="51" t="s">
        <v>397</v>
      </c>
      <c r="L955" s="41">
        <f t="shared" si="70"/>
        <v>18476000000</v>
      </c>
      <c r="M955" s="41">
        <f t="shared" si="71"/>
        <v>14327000000</v>
      </c>
      <c r="N955" s="41">
        <f t="shared" si="72"/>
        <v>4149000000</v>
      </c>
      <c r="O955" s="41">
        <f t="shared" si="73"/>
        <v>0.73178950521369601</v>
      </c>
      <c r="P955" s="41">
        <f t="shared" si="74"/>
        <v>7.7671902203418394E-2</v>
      </c>
    </row>
    <row r="956" spans="1:16" ht="19.95" customHeight="1">
      <c r="A956" s="49">
        <v>981</v>
      </c>
      <c r="B956" s="50" t="s">
        <v>491</v>
      </c>
      <c r="C956" s="51" t="s">
        <v>18</v>
      </c>
      <c r="D956" s="51" t="s">
        <v>286</v>
      </c>
      <c r="E956" s="52">
        <v>56223000000</v>
      </c>
      <c r="F956" s="52">
        <v>36665000000</v>
      </c>
      <c r="G956" s="52">
        <v>13281000000</v>
      </c>
      <c r="H956" s="52" t="s">
        <v>757</v>
      </c>
      <c r="I956" s="52">
        <v>1485000000</v>
      </c>
      <c r="J956" s="51" t="s">
        <v>24</v>
      </c>
      <c r="K956" s="51" t="s">
        <v>397</v>
      </c>
      <c r="L956" s="41">
        <f t="shared" si="70"/>
        <v>19558000000</v>
      </c>
      <c r="M956" s="41">
        <f t="shared" si="71"/>
        <v>14766000000</v>
      </c>
      <c r="N956" s="41">
        <f t="shared" si="72"/>
        <v>4792000000</v>
      </c>
      <c r="O956" s="41">
        <f t="shared" si="73"/>
        <v>0.73736726962275223</v>
      </c>
      <c r="P956" s="41">
        <f t="shared" si="74"/>
        <v>8.5232022481902425E-2</v>
      </c>
    </row>
    <row r="957" spans="1:16" ht="19.95" customHeight="1">
      <c r="A957" s="49">
        <v>982</v>
      </c>
      <c r="B957" s="50" t="s">
        <v>491</v>
      </c>
      <c r="C957" s="51" t="s">
        <v>20</v>
      </c>
      <c r="D957" s="51" t="s">
        <v>287</v>
      </c>
      <c r="E957" s="52">
        <v>59074000000</v>
      </c>
      <c r="F957" s="52">
        <v>38504000000</v>
      </c>
      <c r="G957" s="52">
        <v>14115000000</v>
      </c>
      <c r="H957" s="52" t="s">
        <v>757</v>
      </c>
      <c r="I957" s="52">
        <v>1484000000</v>
      </c>
      <c r="J957" s="51" t="s">
        <v>24</v>
      </c>
      <c r="K957" s="51" t="s">
        <v>397</v>
      </c>
      <c r="L957" s="41">
        <f t="shared" si="70"/>
        <v>20570000000</v>
      </c>
      <c r="M957" s="41">
        <f t="shared" si="71"/>
        <v>15599000000</v>
      </c>
      <c r="N957" s="41">
        <f t="shared" si="72"/>
        <v>4971000000</v>
      </c>
      <c r="O957" s="41">
        <f t="shared" si="73"/>
        <v>0.73594136168195823</v>
      </c>
      <c r="P957" s="41">
        <f t="shared" si="74"/>
        <v>8.4148694857297632E-2</v>
      </c>
    </row>
    <row r="958" spans="1:16" ht="19.95" customHeight="1">
      <c r="A958" s="49">
        <v>983</v>
      </c>
      <c r="B958" s="50" t="s">
        <v>492</v>
      </c>
      <c r="C958" s="51" t="s">
        <v>11</v>
      </c>
      <c r="D958" s="51" t="s">
        <v>178</v>
      </c>
      <c r="E958" s="52">
        <v>3598916000</v>
      </c>
      <c r="F958" s="52">
        <v>2195857000</v>
      </c>
      <c r="G958" s="52">
        <v>601300000</v>
      </c>
      <c r="H958" s="52">
        <v>683688000</v>
      </c>
      <c r="I958" s="52" t="s">
        <v>757</v>
      </c>
      <c r="J958" s="51" t="s">
        <v>31</v>
      </c>
      <c r="K958" s="51" t="s">
        <v>98</v>
      </c>
      <c r="L958" s="41">
        <f t="shared" si="70"/>
        <v>1403059000</v>
      </c>
      <c r="M958" s="41">
        <f t="shared" si="71"/>
        <v>1284988000</v>
      </c>
      <c r="N958" s="41">
        <f t="shared" si="72"/>
        <v>118071000</v>
      </c>
      <c r="O958" s="41">
        <f t="shared" si="73"/>
        <v>0.64295137758147169</v>
      </c>
      <c r="P958" s="41">
        <f t="shared" si="74"/>
        <v>3.2807378666242837E-2</v>
      </c>
    </row>
    <row r="959" spans="1:16" ht="19.95" customHeight="1">
      <c r="A959" s="49">
        <v>984</v>
      </c>
      <c r="B959" s="50" t="s">
        <v>492</v>
      </c>
      <c r="C959" s="51" t="s">
        <v>16</v>
      </c>
      <c r="D959" s="51" t="s">
        <v>485</v>
      </c>
      <c r="E959" s="52">
        <v>4607309000</v>
      </c>
      <c r="F959" s="52">
        <v>2599828000</v>
      </c>
      <c r="G959" s="52">
        <v>613341000</v>
      </c>
      <c r="H959" s="52">
        <v>716471000</v>
      </c>
      <c r="I959" s="52" t="s">
        <v>757</v>
      </c>
      <c r="J959" s="51" t="s">
        <v>31</v>
      </c>
      <c r="K959" s="51" t="s">
        <v>98</v>
      </c>
      <c r="L959" s="41">
        <f t="shared" si="70"/>
        <v>2007481000</v>
      </c>
      <c r="M959" s="41">
        <f t="shared" si="71"/>
        <v>1329812000</v>
      </c>
      <c r="N959" s="41">
        <f t="shared" si="72"/>
        <v>677669000</v>
      </c>
      <c r="O959" s="41">
        <f t="shared" si="73"/>
        <v>0.71136904427291503</v>
      </c>
      <c r="P959" s="41">
        <f t="shared" si="74"/>
        <v>0.1470856415317488</v>
      </c>
    </row>
    <row r="960" spans="1:16" ht="19.95" customHeight="1">
      <c r="A960" s="49">
        <v>985</v>
      </c>
      <c r="B960" s="50" t="s">
        <v>492</v>
      </c>
      <c r="C960" s="51" t="s">
        <v>18</v>
      </c>
      <c r="D960" s="51" t="s">
        <v>486</v>
      </c>
      <c r="E960" s="52">
        <v>5259312000</v>
      </c>
      <c r="F960" s="52">
        <v>2974976000</v>
      </c>
      <c r="G960" s="52">
        <v>591611000</v>
      </c>
      <c r="H960" s="52">
        <v>825242000</v>
      </c>
      <c r="I960" s="52" t="s">
        <v>757</v>
      </c>
      <c r="J960" s="51" t="s">
        <v>31</v>
      </c>
      <c r="K960" s="51" t="s">
        <v>98</v>
      </c>
      <c r="L960" s="41">
        <f t="shared" si="70"/>
        <v>2284336000</v>
      </c>
      <c r="M960" s="41">
        <f t="shared" si="71"/>
        <v>1416853000</v>
      </c>
      <c r="N960" s="41">
        <f t="shared" si="72"/>
        <v>867483000</v>
      </c>
      <c r="O960" s="41">
        <f t="shared" si="73"/>
        <v>0.73060107481739056</v>
      </c>
      <c r="P960" s="41">
        <f t="shared" si="74"/>
        <v>0.16494229663499713</v>
      </c>
    </row>
    <row r="961" spans="1:16" ht="19.95" customHeight="1">
      <c r="A961" s="49">
        <v>986</v>
      </c>
      <c r="B961" s="50" t="s">
        <v>492</v>
      </c>
      <c r="C961" s="51" t="s">
        <v>20</v>
      </c>
      <c r="D961" s="51" t="s">
        <v>493</v>
      </c>
      <c r="E961" s="52">
        <v>5885893000</v>
      </c>
      <c r="F961" s="52">
        <v>3266971000</v>
      </c>
      <c r="G961" s="52">
        <v>630954000</v>
      </c>
      <c r="H961" s="52">
        <v>913712000</v>
      </c>
      <c r="I961" s="52" t="s">
        <v>757</v>
      </c>
      <c r="J961" s="51" t="s">
        <v>31</v>
      </c>
      <c r="K961" s="51" t="s">
        <v>98</v>
      </c>
      <c r="L961" s="41">
        <f t="shared" si="70"/>
        <v>2618922000</v>
      </c>
      <c r="M961" s="41">
        <f t="shared" si="71"/>
        <v>1544666000</v>
      </c>
      <c r="N961" s="41">
        <f t="shared" si="72"/>
        <v>1074256000</v>
      </c>
      <c r="O961" s="41">
        <f t="shared" si="73"/>
        <v>0.73756471617815689</v>
      </c>
      <c r="P961" s="41">
        <f t="shared" si="74"/>
        <v>0.18251368144137176</v>
      </c>
    </row>
    <row r="962" spans="1:16" ht="19.95" customHeight="1">
      <c r="A962" s="49">
        <v>987</v>
      </c>
      <c r="B962" s="50" t="s">
        <v>494</v>
      </c>
      <c r="C962" s="51" t="s">
        <v>11</v>
      </c>
      <c r="D962" s="51" t="s">
        <v>12</v>
      </c>
      <c r="E962" s="52">
        <v>7810610000</v>
      </c>
      <c r="F962" s="52">
        <v>7479746000</v>
      </c>
      <c r="G962" s="52">
        <v>360586000</v>
      </c>
      <c r="H962" s="52" t="s">
        <v>757</v>
      </c>
      <c r="I962" s="52">
        <v>116388000</v>
      </c>
      <c r="J962" s="51" t="s">
        <v>75</v>
      </c>
      <c r="K962" s="51" t="s">
        <v>495</v>
      </c>
      <c r="L962" s="41">
        <f t="shared" si="70"/>
        <v>330864000</v>
      </c>
      <c r="M962" s="41">
        <f t="shared" si="71"/>
        <v>476974000</v>
      </c>
      <c r="N962" s="41">
        <f t="shared" si="72"/>
        <v>-146110000</v>
      </c>
      <c r="O962" s="41">
        <f t="shared" si="73"/>
        <v>0.93893255456360003</v>
      </c>
      <c r="P962" s="41">
        <f t="shared" si="74"/>
        <v>-1.8706605502003044E-2</v>
      </c>
    </row>
    <row r="963" spans="1:16" ht="19.95" customHeight="1">
      <c r="A963" s="53">
        <v>988</v>
      </c>
      <c r="B963" s="54" t="s">
        <v>494</v>
      </c>
      <c r="C963" s="55" t="s">
        <v>16</v>
      </c>
      <c r="D963" s="55" t="s">
        <v>17</v>
      </c>
      <c r="E963" s="56">
        <v>9531778000</v>
      </c>
      <c r="F963" s="56">
        <v>7567707000</v>
      </c>
      <c r="G963" s="56">
        <v>2177616000</v>
      </c>
      <c r="H963" s="56" t="s">
        <v>757</v>
      </c>
      <c r="I963" s="56">
        <v>167425000</v>
      </c>
      <c r="J963" s="55" t="s">
        <v>75</v>
      </c>
      <c r="K963" s="55" t="s">
        <v>495</v>
      </c>
      <c r="L963" s="57">
        <f t="shared" ref="L963:L1026" si="75">Total_Revenue-COGS</f>
        <v>1964071000</v>
      </c>
      <c r="M963" s="57">
        <f t="shared" ref="M963:M1026" si="76">SGAA+RandD+OOI</f>
        <v>2345041000</v>
      </c>
      <c r="N963" s="57">
        <f t="shared" ref="N963:N1026" si="77">Gross_Profit-Total_Operating_Expenses</f>
        <v>-380970000</v>
      </c>
      <c r="O963" s="57">
        <f t="shared" ref="O963:O1026" si="78">1-(Total_Operating_Expenses/Total_Revenue)</f>
        <v>0.75397654036843909</v>
      </c>
      <c r="P963" s="57">
        <f t="shared" ref="P963:P1026" si="79">Operating_Profit/Total_Revenue</f>
        <v>-3.9968408832014343E-2</v>
      </c>
    </row>
    <row r="964" spans="1:16" ht="19.95" customHeight="1">
      <c r="A964" s="49">
        <v>989</v>
      </c>
      <c r="B964" s="50" t="s">
        <v>494</v>
      </c>
      <c r="C964" s="51" t="s">
        <v>18</v>
      </c>
      <c r="D964" s="51" t="s">
        <v>19</v>
      </c>
      <c r="E964" s="52">
        <v>10681897000</v>
      </c>
      <c r="F964" s="52">
        <v>8024286000</v>
      </c>
      <c r="G964" s="52">
        <v>2856642000</v>
      </c>
      <c r="H964" s="52" t="s">
        <v>757</v>
      </c>
      <c r="I964" s="52">
        <v>185993000</v>
      </c>
      <c r="J964" s="51" t="s">
        <v>75</v>
      </c>
      <c r="K964" s="51" t="s">
        <v>495</v>
      </c>
      <c r="L964" s="41">
        <f t="shared" si="75"/>
        <v>2657611000</v>
      </c>
      <c r="M964" s="41">
        <f t="shared" si="76"/>
        <v>3042635000</v>
      </c>
      <c r="N964" s="41">
        <f t="shared" si="77"/>
        <v>-385024000</v>
      </c>
      <c r="O964" s="41">
        <f t="shared" si="78"/>
        <v>0.71515967622604859</v>
      </c>
      <c r="P964" s="41">
        <f t="shared" si="79"/>
        <v>-3.6044534037353103E-2</v>
      </c>
    </row>
    <row r="965" spans="1:16" ht="19.95" customHeight="1">
      <c r="A965" s="49">
        <v>990</v>
      </c>
      <c r="B965" s="50" t="s">
        <v>494</v>
      </c>
      <c r="C965" s="51" t="s">
        <v>20</v>
      </c>
      <c r="D965" s="51" t="s">
        <v>21</v>
      </c>
      <c r="E965" s="52">
        <v>10116502000</v>
      </c>
      <c r="F965" s="52">
        <v>7677233000</v>
      </c>
      <c r="G965" s="52">
        <v>2620072000</v>
      </c>
      <c r="H965" s="52" t="s">
        <v>757</v>
      </c>
      <c r="I965" s="52">
        <v>224133000</v>
      </c>
      <c r="J965" s="51" t="s">
        <v>75</v>
      </c>
      <c r="K965" s="51" t="s">
        <v>495</v>
      </c>
      <c r="L965" s="41">
        <f t="shared" si="75"/>
        <v>2439269000</v>
      </c>
      <c r="M965" s="41">
        <f t="shared" si="76"/>
        <v>2844205000</v>
      </c>
      <c r="N965" s="41">
        <f t="shared" si="77"/>
        <v>-404936000</v>
      </c>
      <c r="O965" s="41">
        <f t="shared" si="78"/>
        <v>0.71885489668266755</v>
      </c>
      <c r="P965" s="41">
        <f t="shared" si="79"/>
        <v>-4.0027274249538031E-2</v>
      </c>
    </row>
    <row r="966" spans="1:16" ht="19.95" customHeight="1">
      <c r="A966" s="49">
        <v>991</v>
      </c>
      <c r="B966" s="50" t="s">
        <v>496</v>
      </c>
      <c r="C966" s="51" t="s">
        <v>11</v>
      </c>
      <c r="D966" s="51" t="s">
        <v>17</v>
      </c>
      <c r="E966" s="52">
        <v>17699000000</v>
      </c>
      <c r="F966" s="52">
        <v>8307000000</v>
      </c>
      <c r="G966" s="52">
        <v>7161000000</v>
      </c>
      <c r="H966" s="52" t="s">
        <v>757</v>
      </c>
      <c r="I966" s="52">
        <v>867000000</v>
      </c>
      <c r="J966" s="51" t="s">
        <v>14</v>
      </c>
      <c r="K966" s="51" t="s">
        <v>15</v>
      </c>
      <c r="L966" s="41">
        <f t="shared" si="75"/>
        <v>9392000000</v>
      </c>
      <c r="M966" s="41">
        <f t="shared" si="76"/>
        <v>8028000000</v>
      </c>
      <c r="N966" s="41">
        <f t="shared" si="77"/>
        <v>1364000000</v>
      </c>
      <c r="O966" s="41">
        <f t="shared" si="78"/>
        <v>0.54641505169783611</v>
      </c>
      <c r="P966" s="41">
        <f t="shared" si="79"/>
        <v>7.706650093225606E-2</v>
      </c>
    </row>
    <row r="967" spans="1:16" ht="19.95" customHeight="1">
      <c r="A967" s="49">
        <v>992</v>
      </c>
      <c r="B967" s="50" t="s">
        <v>496</v>
      </c>
      <c r="C967" s="51" t="s">
        <v>16</v>
      </c>
      <c r="D967" s="51" t="s">
        <v>19</v>
      </c>
      <c r="E967" s="52">
        <v>18605000000</v>
      </c>
      <c r="F967" s="52">
        <v>7677000000</v>
      </c>
      <c r="G967" s="52">
        <v>7639000000</v>
      </c>
      <c r="H967" s="52" t="s">
        <v>757</v>
      </c>
      <c r="I967" s="52">
        <v>938000000</v>
      </c>
      <c r="J967" s="51" t="s">
        <v>14</v>
      </c>
      <c r="K967" s="51" t="s">
        <v>15</v>
      </c>
      <c r="L967" s="41">
        <f t="shared" si="75"/>
        <v>10928000000</v>
      </c>
      <c r="M967" s="41">
        <f t="shared" si="76"/>
        <v>8577000000</v>
      </c>
      <c r="N967" s="41">
        <f t="shared" si="77"/>
        <v>2351000000</v>
      </c>
      <c r="O967" s="41">
        <f t="shared" si="78"/>
        <v>0.5389948938457404</v>
      </c>
      <c r="P967" s="41">
        <f t="shared" si="79"/>
        <v>0.12636388067723731</v>
      </c>
    </row>
    <row r="968" spans="1:16" ht="19.95" customHeight="1">
      <c r="A968" s="49">
        <v>993</v>
      </c>
      <c r="B968" s="50" t="s">
        <v>496</v>
      </c>
      <c r="C968" s="51" t="s">
        <v>18</v>
      </c>
      <c r="D968" s="51" t="s">
        <v>21</v>
      </c>
      <c r="E968" s="52">
        <v>19820000000</v>
      </c>
      <c r="F968" s="52">
        <v>6025000000</v>
      </c>
      <c r="G968" s="52">
        <v>8625000000</v>
      </c>
      <c r="H968" s="52" t="s">
        <v>757</v>
      </c>
      <c r="I968" s="52">
        <v>1015000000</v>
      </c>
      <c r="J968" s="51" t="s">
        <v>14</v>
      </c>
      <c r="K968" s="51" t="s">
        <v>15</v>
      </c>
      <c r="L968" s="41">
        <f t="shared" si="75"/>
        <v>13795000000</v>
      </c>
      <c r="M968" s="41">
        <f t="shared" si="76"/>
        <v>9640000000</v>
      </c>
      <c r="N968" s="41">
        <f t="shared" si="77"/>
        <v>4155000000</v>
      </c>
      <c r="O968" s="41">
        <f t="shared" si="78"/>
        <v>0.51362260343087796</v>
      </c>
      <c r="P968" s="41">
        <f t="shared" si="79"/>
        <v>0.20963673057517659</v>
      </c>
    </row>
    <row r="969" spans="1:16" ht="19.95" customHeight="1">
      <c r="A969" s="49">
        <v>994</v>
      </c>
      <c r="B969" s="50" t="s">
        <v>496</v>
      </c>
      <c r="C969" s="51" t="s">
        <v>20</v>
      </c>
      <c r="D969" s="51" t="s">
        <v>84</v>
      </c>
      <c r="E969" s="52">
        <v>20425000000</v>
      </c>
      <c r="F969" s="52">
        <v>6132000000</v>
      </c>
      <c r="G969" s="52">
        <v>9312000000</v>
      </c>
      <c r="H969" s="52" t="s">
        <v>757</v>
      </c>
      <c r="I969" s="52">
        <v>1221000000</v>
      </c>
      <c r="J969" s="51" t="s">
        <v>14</v>
      </c>
      <c r="K969" s="51" t="s">
        <v>15</v>
      </c>
      <c r="L969" s="41">
        <f t="shared" si="75"/>
        <v>14293000000</v>
      </c>
      <c r="M969" s="41">
        <f t="shared" si="76"/>
        <v>10533000000</v>
      </c>
      <c r="N969" s="41">
        <f t="shared" si="77"/>
        <v>3760000000</v>
      </c>
      <c r="O969" s="41">
        <f t="shared" si="78"/>
        <v>0.48430844553243579</v>
      </c>
      <c r="P969" s="41">
        <f t="shared" si="79"/>
        <v>0.18408812729498164</v>
      </c>
    </row>
    <row r="970" spans="1:16" ht="19.95" customHeight="1">
      <c r="A970" s="49">
        <v>995</v>
      </c>
      <c r="B970" s="50" t="s">
        <v>497</v>
      </c>
      <c r="C970" s="51" t="s">
        <v>11</v>
      </c>
      <c r="D970" s="51" t="s">
        <v>12</v>
      </c>
      <c r="E970" s="52">
        <v>6376000000</v>
      </c>
      <c r="F970" s="52">
        <v>3851000000</v>
      </c>
      <c r="G970" s="52">
        <v>1201000000</v>
      </c>
      <c r="H970" s="52" t="s">
        <v>757</v>
      </c>
      <c r="I970" s="52">
        <v>749000000</v>
      </c>
      <c r="J970" s="51" t="s">
        <v>268</v>
      </c>
      <c r="K970" s="51" t="s">
        <v>498</v>
      </c>
      <c r="L970" s="41">
        <f t="shared" si="75"/>
        <v>2525000000</v>
      </c>
      <c r="M970" s="41">
        <f t="shared" si="76"/>
        <v>1950000000</v>
      </c>
      <c r="N970" s="41">
        <f t="shared" si="77"/>
        <v>575000000</v>
      </c>
      <c r="O970" s="41">
        <f t="shared" si="78"/>
        <v>0.69416562107904645</v>
      </c>
      <c r="P970" s="41">
        <f t="shared" si="79"/>
        <v>9.0181932245922206E-2</v>
      </c>
    </row>
    <row r="971" spans="1:16" ht="19.95" customHeight="1">
      <c r="A971" s="49">
        <v>996</v>
      </c>
      <c r="B971" s="50" t="s">
        <v>497</v>
      </c>
      <c r="C971" s="51" t="s">
        <v>16</v>
      </c>
      <c r="D971" s="51" t="s">
        <v>17</v>
      </c>
      <c r="E971" s="52">
        <v>6313000000</v>
      </c>
      <c r="F971" s="52">
        <v>3685000000</v>
      </c>
      <c r="G971" s="52">
        <v>1162000000</v>
      </c>
      <c r="H971" s="52" t="s">
        <v>757</v>
      </c>
      <c r="I971" s="52">
        <v>800000000</v>
      </c>
      <c r="J971" s="51" t="s">
        <v>268</v>
      </c>
      <c r="K971" s="51" t="s">
        <v>498</v>
      </c>
      <c r="L971" s="41">
        <f t="shared" si="75"/>
        <v>2628000000</v>
      </c>
      <c r="M971" s="41">
        <f t="shared" si="76"/>
        <v>1962000000</v>
      </c>
      <c r="N971" s="41">
        <f t="shared" si="77"/>
        <v>666000000</v>
      </c>
      <c r="O971" s="41">
        <f t="shared" si="78"/>
        <v>0.68921273562490093</v>
      </c>
      <c r="P971" s="41">
        <f t="shared" si="79"/>
        <v>0.10549659432916204</v>
      </c>
    </row>
    <row r="972" spans="1:16" ht="19.95" customHeight="1">
      <c r="A972" s="49">
        <v>997</v>
      </c>
      <c r="B972" s="50" t="s">
        <v>497</v>
      </c>
      <c r="C972" s="51" t="s">
        <v>18</v>
      </c>
      <c r="D972" s="51" t="s">
        <v>19</v>
      </c>
      <c r="E972" s="52">
        <v>6777000000</v>
      </c>
      <c r="F972" s="52">
        <v>3775000000</v>
      </c>
      <c r="G972" s="52">
        <v>1181000000</v>
      </c>
      <c r="H972" s="52" t="s">
        <v>757</v>
      </c>
      <c r="I972" s="52">
        <v>808000000</v>
      </c>
      <c r="J972" s="51" t="s">
        <v>268</v>
      </c>
      <c r="K972" s="51" t="s">
        <v>498</v>
      </c>
      <c r="L972" s="41">
        <f t="shared" si="75"/>
        <v>3002000000</v>
      </c>
      <c r="M972" s="41">
        <f t="shared" si="76"/>
        <v>1989000000</v>
      </c>
      <c r="N972" s="41">
        <f t="shared" si="77"/>
        <v>1013000000</v>
      </c>
      <c r="O972" s="41">
        <f t="shared" si="78"/>
        <v>0.70650730411686591</v>
      </c>
      <c r="P972" s="41">
        <f t="shared" si="79"/>
        <v>0.14947616939648811</v>
      </c>
    </row>
    <row r="973" spans="1:16" ht="19.95" customHeight="1">
      <c r="A973" s="49">
        <v>998</v>
      </c>
      <c r="B973" s="50" t="s">
        <v>497</v>
      </c>
      <c r="C973" s="51" t="s">
        <v>20</v>
      </c>
      <c r="D973" s="51" t="s">
        <v>21</v>
      </c>
      <c r="E973" s="52">
        <v>8229000000</v>
      </c>
      <c r="F973" s="52">
        <v>4265000000</v>
      </c>
      <c r="G973" s="52">
        <v>1467000000</v>
      </c>
      <c r="H973" s="52" t="s">
        <v>757</v>
      </c>
      <c r="I973" s="52">
        <v>1166000000</v>
      </c>
      <c r="J973" s="51" t="s">
        <v>268</v>
      </c>
      <c r="K973" s="51" t="s">
        <v>498</v>
      </c>
      <c r="L973" s="41">
        <f t="shared" si="75"/>
        <v>3964000000</v>
      </c>
      <c r="M973" s="41">
        <f t="shared" si="76"/>
        <v>2633000000</v>
      </c>
      <c r="N973" s="41">
        <f t="shared" si="77"/>
        <v>1331000000</v>
      </c>
      <c r="O973" s="41">
        <f t="shared" si="78"/>
        <v>0.68003402600558993</v>
      </c>
      <c r="P973" s="41">
        <f t="shared" si="79"/>
        <v>0.16174504800097217</v>
      </c>
    </row>
    <row r="974" spans="1:16" ht="19.95" customHeight="1">
      <c r="A974" s="49">
        <v>999</v>
      </c>
      <c r="B974" s="50" t="s">
        <v>499</v>
      </c>
      <c r="C974" s="51" t="s">
        <v>11</v>
      </c>
      <c r="D974" s="51" t="s">
        <v>12</v>
      </c>
      <c r="E974" s="52">
        <v>45352000000</v>
      </c>
      <c r="F974" s="52">
        <v>39595000000</v>
      </c>
      <c r="G974" s="52">
        <v>909000000</v>
      </c>
      <c r="H974" s="52">
        <v>172000000</v>
      </c>
      <c r="I974" s="52" t="s">
        <v>757</v>
      </c>
      <c r="J974" s="51" t="s">
        <v>88</v>
      </c>
      <c r="K974" s="51" t="s">
        <v>279</v>
      </c>
      <c r="L974" s="41">
        <f t="shared" si="75"/>
        <v>5757000000</v>
      </c>
      <c r="M974" s="41">
        <f t="shared" si="76"/>
        <v>1081000000</v>
      </c>
      <c r="N974" s="41">
        <f t="shared" si="77"/>
        <v>4676000000</v>
      </c>
      <c r="O974" s="41">
        <f t="shared" si="78"/>
        <v>0.9761642264949727</v>
      </c>
      <c r="P974" s="41">
        <f t="shared" si="79"/>
        <v>0.10310460398659375</v>
      </c>
    </row>
    <row r="975" spans="1:16" ht="19.95" customHeight="1">
      <c r="A975" s="49">
        <v>1000</v>
      </c>
      <c r="B975" s="50" t="s">
        <v>499</v>
      </c>
      <c r="C975" s="51" t="s">
        <v>16</v>
      </c>
      <c r="D975" s="51" t="s">
        <v>17</v>
      </c>
      <c r="E975" s="52">
        <v>44062000000</v>
      </c>
      <c r="F975" s="52">
        <v>37940000000</v>
      </c>
      <c r="G975" s="52">
        <v>870000000</v>
      </c>
      <c r="H975" s="52">
        <v>150000000</v>
      </c>
      <c r="I975" s="52" t="s">
        <v>757</v>
      </c>
      <c r="J975" s="51" t="s">
        <v>88</v>
      </c>
      <c r="K975" s="51" t="s">
        <v>279</v>
      </c>
      <c r="L975" s="41">
        <f t="shared" si="75"/>
        <v>6122000000</v>
      </c>
      <c r="M975" s="41">
        <f t="shared" si="76"/>
        <v>1020000000</v>
      </c>
      <c r="N975" s="41">
        <f t="shared" si="77"/>
        <v>5102000000</v>
      </c>
      <c r="O975" s="41">
        <f t="shared" si="78"/>
        <v>0.97685080114384282</v>
      </c>
      <c r="P975" s="41">
        <f t="shared" si="79"/>
        <v>0.11579138486677863</v>
      </c>
    </row>
    <row r="976" spans="1:16" ht="19.95" customHeight="1">
      <c r="A976" s="49">
        <v>1001</v>
      </c>
      <c r="B976" s="50" t="s">
        <v>499</v>
      </c>
      <c r="C976" s="51" t="s">
        <v>18</v>
      </c>
      <c r="D976" s="51" t="s">
        <v>19</v>
      </c>
      <c r="E976" s="52">
        <v>45608000000</v>
      </c>
      <c r="F976" s="52">
        <v>38939000000</v>
      </c>
      <c r="G976" s="52">
        <v>806000000</v>
      </c>
      <c r="H976" s="52">
        <v>127000000</v>
      </c>
      <c r="I976" s="52" t="s">
        <v>757</v>
      </c>
      <c r="J976" s="51" t="s">
        <v>88</v>
      </c>
      <c r="K976" s="51" t="s">
        <v>279</v>
      </c>
      <c r="L976" s="41">
        <f t="shared" si="75"/>
        <v>6669000000</v>
      </c>
      <c r="M976" s="41">
        <f t="shared" si="76"/>
        <v>933000000</v>
      </c>
      <c r="N976" s="41">
        <f t="shared" si="77"/>
        <v>5736000000</v>
      </c>
      <c r="O976" s="41">
        <f t="shared" si="78"/>
        <v>0.97954306262059287</v>
      </c>
      <c r="P976" s="41">
        <f t="shared" si="79"/>
        <v>0.12576740922645149</v>
      </c>
    </row>
    <row r="977" spans="1:16" ht="19.95" customHeight="1">
      <c r="A977" s="49">
        <v>1002</v>
      </c>
      <c r="B977" s="50" t="s">
        <v>499</v>
      </c>
      <c r="C977" s="51" t="s">
        <v>20</v>
      </c>
      <c r="D977" s="51" t="s">
        <v>21</v>
      </c>
      <c r="E977" s="52">
        <v>32735000000</v>
      </c>
      <c r="F977" s="52">
        <v>25683000000</v>
      </c>
      <c r="G977" s="52">
        <v>828000000</v>
      </c>
      <c r="H977" s="52">
        <v>102000000</v>
      </c>
      <c r="I977" s="52" t="s">
        <v>757</v>
      </c>
      <c r="J977" s="51" t="s">
        <v>88</v>
      </c>
      <c r="K977" s="51" t="s">
        <v>279</v>
      </c>
      <c r="L977" s="41">
        <f t="shared" si="75"/>
        <v>7052000000</v>
      </c>
      <c r="M977" s="41">
        <f t="shared" si="76"/>
        <v>930000000</v>
      </c>
      <c r="N977" s="41">
        <f t="shared" si="77"/>
        <v>6122000000</v>
      </c>
      <c r="O977" s="41">
        <f t="shared" si="78"/>
        <v>0.97159004124026271</v>
      </c>
      <c r="P977" s="41">
        <f t="shared" si="79"/>
        <v>0.18701695433022758</v>
      </c>
    </row>
    <row r="978" spans="1:16" ht="19.95" customHeight="1">
      <c r="A978" s="49">
        <v>1003</v>
      </c>
      <c r="B978" s="50" t="s">
        <v>500</v>
      </c>
      <c r="C978" s="51" t="s">
        <v>11</v>
      </c>
      <c r="D978" s="51" t="s">
        <v>302</v>
      </c>
      <c r="E978" s="52">
        <v>27686000000</v>
      </c>
      <c r="F978" s="52">
        <v>16538000000</v>
      </c>
      <c r="G978" s="52">
        <v>8482000000</v>
      </c>
      <c r="H978" s="52" t="s">
        <v>757</v>
      </c>
      <c r="I978" s="52" t="s">
        <v>757</v>
      </c>
      <c r="J978" s="51" t="s">
        <v>24</v>
      </c>
      <c r="K978" s="51" t="s">
        <v>455</v>
      </c>
      <c r="L978" s="41">
        <f t="shared" si="75"/>
        <v>11148000000</v>
      </c>
      <c r="M978" s="41">
        <f t="shared" si="76"/>
        <v>8482000000</v>
      </c>
      <c r="N978" s="41">
        <f t="shared" si="77"/>
        <v>2666000000</v>
      </c>
      <c r="O978" s="41">
        <f t="shared" si="78"/>
        <v>0.69363577259264608</v>
      </c>
      <c r="P978" s="41">
        <f t="shared" si="79"/>
        <v>9.6294155891064076E-2</v>
      </c>
    </row>
    <row r="979" spans="1:16" ht="19.95" customHeight="1">
      <c r="A979" s="49">
        <v>1004</v>
      </c>
      <c r="B979" s="50" t="s">
        <v>500</v>
      </c>
      <c r="C979" s="51" t="s">
        <v>16</v>
      </c>
      <c r="D979" s="51" t="s">
        <v>157</v>
      </c>
      <c r="E979" s="52">
        <v>27931000000</v>
      </c>
      <c r="F979" s="52">
        <v>16725000000</v>
      </c>
      <c r="G979" s="52">
        <v>8440000000</v>
      </c>
      <c r="H979" s="52" t="s">
        <v>757</v>
      </c>
      <c r="I979" s="52" t="s">
        <v>757</v>
      </c>
      <c r="J979" s="51" t="s">
        <v>24</v>
      </c>
      <c r="K979" s="51" t="s">
        <v>455</v>
      </c>
      <c r="L979" s="41">
        <f t="shared" si="75"/>
        <v>11206000000</v>
      </c>
      <c r="M979" s="41">
        <f t="shared" si="76"/>
        <v>8440000000</v>
      </c>
      <c r="N979" s="41">
        <f t="shared" si="77"/>
        <v>2766000000</v>
      </c>
      <c r="O979" s="41">
        <f t="shared" si="78"/>
        <v>0.69782678744047832</v>
      </c>
      <c r="P979" s="41">
        <f t="shared" si="79"/>
        <v>9.9029751888582582E-2</v>
      </c>
    </row>
    <row r="980" spans="1:16" ht="19.95" customHeight="1">
      <c r="A980" s="49">
        <v>1005</v>
      </c>
      <c r="B980" s="50" t="s">
        <v>500</v>
      </c>
      <c r="C980" s="51" t="s">
        <v>18</v>
      </c>
      <c r="D980" s="51" t="s">
        <v>67</v>
      </c>
      <c r="E980" s="52">
        <v>28105000000</v>
      </c>
      <c r="F980" s="52">
        <v>16863000000</v>
      </c>
      <c r="G980" s="52">
        <v>8355000000</v>
      </c>
      <c r="H980" s="52" t="s">
        <v>757</v>
      </c>
      <c r="I980" s="52" t="s">
        <v>757</v>
      </c>
      <c r="J980" s="51" t="s">
        <v>24</v>
      </c>
      <c r="K980" s="51" t="s">
        <v>455</v>
      </c>
      <c r="L980" s="41">
        <f t="shared" si="75"/>
        <v>11242000000</v>
      </c>
      <c r="M980" s="41">
        <f t="shared" si="76"/>
        <v>8355000000</v>
      </c>
      <c r="N980" s="41">
        <f t="shared" si="77"/>
        <v>2887000000</v>
      </c>
      <c r="O980" s="41">
        <f t="shared" si="78"/>
        <v>0.70272193559864793</v>
      </c>
      <c r="P980" s="41">
        <f t="shared" si="79"/>
        <v>0.10272193559864792</v>
      </c>
    </row>
    <row r="981" spans="1:16" ht="19.95" customHeight="1">
      <c r="A981" s="49">
        <v>1006</v>
      </c>
      <c r="B981" s="50" t="s">
        <v>500</v>
      </c>
      <c r="C981" s="51" t="s">
        <v>20</v>
      </c>
      <c r="D981" s="51" t="s">
        <v>158</v>
      </c>
      <c r="E981" s="52">
        <v>27079000000</v>
      </c>
      <c r="F981" s="52">
        <v>16496000000</v>
      </c>
      <c r="G981" s="52">
        <v>8256000000</v>
      </c>
      <c r="H981" s="52" t="s">
        <v>757</v>
      </c>
      <c r="I981" s="52" t="s">
        <v>757</v>
      </c>
      <c r="J981" s="51" t="s">
        <v>24</v>
      </c>
      <c r="K981" s="51" t="s">
        <v>455</v>
      </c>
      <c r="L981" s="41">
        <f t="shared" si="75"/>
        <v>10583000000</v>
      </c>
      <c r="M981" s="41">
        <f t="shared" si="76"/>
        <v>8256000000</v>
      </c>
      <c r="N981" s="41">
        <f t="shared" si="77"/>
        <v>2327000000</v>
      </c>
      <c r="O981" s="41">
        <f t="shared" si="78"/>
        <v>0.69511429521031065</v>
      </c>
      <c r="P981" s="41">
        <f t="shared" si="79"/>
        <v>8.5933749399903989E-2</v>
      </c>
    </row>
    <row r="982" spans="1:16" ht="19.95" customHeight="1">
      <c r="A982" s="49">
        <v>1007</v>
      </c>
      <c r="B982" s="50" t="s">
        <v>501</v>
      </c>
      <c r="C982" s="51" t="s">
        <v>11</v>
      </c>
      <c r="D982" s="51" t="s">
        <v>17</v>
      </c>
      <c r="E982" s="52">
        <v>8312000000</v>
      </c>
      <c r="F982" s="52" t="s">
        <v>757</v>
      </c>
      <c r="G982" s="52">
        <v>3456000000</v>
      </c>
      <c r="H982" s="52" t="s">
        <v>757</v>
      </c>
      <c r="I982" s="52">
        <v>258000000</v>
      </c>
      <c r="J982" s="51" t="s">
        <v>31</v>
      </c>
      <c r="K982" s="51" t="s">
        <v>86</v>
      </c>
      <c r="L982" s="41">
        <f t="shared" si="75"/>
        <v>8312000000</v>
      </c>
      <c r="M982" s="41">
        <f t="shared" si="76"/>
        <v>3714000000</v>
      </c>
      <c r="N982" s="41">
        <f t="shared" si="77"/>
        <v>4598000000</v>
      </c>
      <c r="O982" s="41">
        <f t="shared" si="78"/>
        <v>0.55317613089509143</v>
      </c>
      <c r="P982" s="41">
        <f t="shared" si="79"/>
        <v>0.55317613089509143</v>
      </c>
    </row>
    <row r="983" spans="1:16" ht="19.95" customHeight="1">
      <c r="A983" s="49">
        <v>1008</v>
      </c>
      <c r="B983" s="50" t="s">
        <v>501</v>
      </c>
      <c r="C983" s="51" t="s">
        <v>16</v>
      </c>
      <c r="D983" s="51" t="s">
        <v>19</v>
      </c>
      <c r="E983" s="52">
        <v>9441000000</v>
      </c>
      <c r="F983" s="52" t="s">
        <v>757</v>
      </c>
      <c r="G983" s="52">
        <v>4014000000</v>
      </c>
      <c r="H983" s="52" t="s">
        <v>757</v>
      </c>
      <c r="I983" s="52">
        <v>321000000</v>
      </c>
      <c r="J983" s="51" t="s">
        <v>31</v>
      </c>
      <c r="K983" s="51" t="s">
        <v>86</v>
      </c>
      <c r="L983" s="41">
        <f t="shared" si="75"/>
        <v>9441000000</v>
      </c>
      <c r="M983" s="41">
        <f t="shared" si="76"/>
        <v>4335000000</v>
      </c>
      <c r="N983" s="41">
        <f t="shared" si="77"/>
        <v>5106000000</v>
      </c>
      <c r="O983" s="41">
        <f t="shared" si="78"/>
        <v>0.54083253892596117</v>
      </c>
      <c r="P983" s="41">
        <f t="shared" si="79"/>
        <v>0.54083253892596128</v>
      </c>
    </row>
    <row r="984" spans="1:16" ht="19.95" customHeight="1">
      <c r="A984" s="49">
        <v>1009</v>
      </c>
      <c r="B984" s="50" t="s">
        <v>501</v>
      </c>
      <c r="C984" s="51" t="s">
        <v>18</v>
      </c>
      <c r="D984" s="51" t="s">
        <v>21</v>
      </c>
      <c r="E984" s="52">
        <v>9667000000</v>
      </c>
      <c r="F984" s="52" t="s">
        <v>757</v>
      </c>
      <c r="G984" s="52">
        <v>4162000000</v>
      </c>
      <c r="H984" s="52" t="s">
        <v>757</v>
      </c>
      <c r="I984" s="52">
        <v>366000000</v>
      </c>
      <c r="J984" s="51" t="s">
        <v>31</v>
      </c>
      <c r="K984" s="51" t="s">
        <v>86</v>
      </c>
      <c r="L984" s="41">
        <f t="shared" si="75"/>
        <v>9667000000</v>
      </c>
      <c r="M984" s="41">
        <f t="shared" si="76"/>
        <v>4528000000</v>
      </c>
      <c r="N984" s="41">
        <f t="shared" si="77"/>
        <v>5139000000</v>
      </c>
      <c r="O984" s="41">
        <f t="shared" si="78"/>
        <v>0.53160235853936078</v>
      </c>
      <c r="P984" s="41">
        <f t="shared" si="79"/>
        <v>0.53160235853936066</v>
      </c>
    </row>
    <row r="985" spans="1:16" ht="19.95" customHeight="1">
      <c r="A985" s="49">
        <v>1010</v>
      </c>
      <c r="B985" s="50" t="s">
        <v>501</v>
      </c>
      <c r="C985" s="51" t="s">
        <v>20</v>
      </c>
      <c r="D985" s="51" t="s">
        <v>84</v>
      </c>
      <c r="E985" s="52">
        <v>10776000000</v>
      </c>
      <c r="F985" s="52" t="s">
        <v>757</v>
      </c>
      <c r="G985" s="52">
        <v>4525000000</v>
      </c>
      <c r="H985" s="52" t="s">
        <v>757</v>
      </c>
      <c r="I985" s="52">
        <v>373000000</v>
      </c>
      <c r="J985" s="51" t="s">
        <v>31</v>
      </c>
      <c r="K985" s="51" t="s">
        <v>86</v>
      </c>
      <c r="L985" s="41">
        <f t="shared" si="75"/>
        <v>10776000000</v>
      </c>
      <c r="M985" s="41">
        <f t="shared" si="76"/>
        <v>4898000000</v>
      </c>
      <c r="N985" s="41">
        <f t="shared" si="77"/>
        <v>5878000000</v>
      </c>
      <c r="O985" s="41">
        <f t="shared" si="78"/>
        <v>0.54547141796584997</v>
      </c>
      <c r="P985" s="41">
        <f t="shared" si="79"/>
        <v>0.54547141796585008</v>
      </c>
    </row>
    <row r="986" spans="1:16" ht="19.95" customHeight="1">
      <c r="A986" s="49">
        <v>1011</v>
      </c>
      <c r="B986" s="50" t="s">
        <v>502</v>
      </c>
      <c r="C986" s="51" t="s">
        <v>11</v>
      </c>
      <c r="D986" s="51" t="s">
        <v>12</v>
      </c>
      <c r="E986" s="52">
        <v>475888000</v>
      </c>
      <c r="F986" s="52">
        <v>117275000</v>
      </c>
      <c r="G986" s="52">
        <v>47115000</v>
      </c>
      <c r="H986" s="52" t="s">
        <v>757</v>
      </c>
      <c r="I986" s="52">
        <v>121211000</v>
      </c>
      <c r="J986" s="51" t="s">
        <v>80</v>
      </c>
      <c r="K986" s="51" t="s">
        <v>331</v>
      </c>
      <c r="L986" s="41">
        <f t="shared" si="75"/>
        <v>358613000</v>
      </c>
      <c r="M986" s="41">
        <f t="shared" si="76"/>
        <v>168326000</v>
      </c>
      <c r="N986" s="41">
        <f t="shared" si="77"/>
        <v>190287000</v>
      </c>
      <c r="O986" s="41">
        <f t="shared" si="78"/>
        <v>0.64629072386780084</v>
      </c>
      <c r="P986" s="41">
        <f t="shared" si="79"/>
        <v>0.39985668896883303</v>
      </c>
    </row>
    <row r="987" spans="1:16" ht="19.95" customHeight="1">
      <c r="A987" s="49">
        <v>1012</v>
      </c>
      <c r="B987" s="50" t="s">
        <v>502</v>
      </c>
      <c r="C987" s="51" t="s">
        <v>16</v>
      </c>
      <c r="D987" s="51" t="s">
        <v>17</v>
      </c>
      <c r="E987" s="52">
        <v>635490000</v>
      </c>
      <c r="F987" s="52">
        <v>172050000</v>
      </c>
      <c r="G987" s="52">
        <v>43720000</v>
      </c>
      <c r="H987" s="52" t="s">
        <v>757</v>
      </c>
      <c r="I987" s="52">
        <v>186979000</v>
      </c>
      <c r="J987" s="51" t="s">
        <v>80</v>
      </c>
      <c r="K987" s="51" t="s">
        <v>331</v>
      </c>
      <c r="L987" s="41">
        <f t="shared" si="75"/>
        <v>463440000</v>
      </c>
      <c r="M987" s="41">
        <f t="shared" si="76"/>
        <v>230699000</v>
      </c>
      <c r="N987" s="41">
        <f t="shared" si="77"/>
        <v>232741000</v>
      </c>
      <c r="O987" s="41">
        <f t="shared" si="78"/>
        <v>0.63697461801129829</v>
      </c>
      <c r="P987" s="41">
        <f t="shared" si="79"/>
        <v>0.36623865049017296</v>
      </c>
    </row>
    <row r="988" spans="1:16" ht="19.95" customHeight="1">
      <c r="A988" s="49">
        <v>1013</v>
      </c>
      <c r="B988" s="50" t="s">
        <v>502</v>
      </c>
      <c r="C988" s="51" t="s">
        <v>18</v>
      </c>
      <c r="D988" s="51" t="s">
        <v>19</v>
      </c>
      <c r="E988" s="52">
        <v>992332000</v>
      </c>
      <c r="F988" s="52">
        <v>275379000</v>
      </c>
      <c r="G988" s="52">
        <v>57664000</v>
      </c>
      <c r="H988" s="52" t="s">
        <v>757</v>
      </c>
      <c r="I988" s="52">
        <v>301812000</v>
      </c>
      <c r="J988" s="51" t="s">
        <v>80</v>
      </c>
      <c r="K988" s="51" t="s">
        <v>331</v>
      </c>
      <c r="L988" s="41">
        <f t="shared" si="75"/>
        <v>716953000</v>
      </c>
      <c r="M988" s="41">
        <f t="shared" si="76"/>
        <v>359476000</v>
      </c>
      <c r="N988" s="41">
        <f t="shared" si="77"/>
        <v>357477000</v>
      </c>
      <c r="O988" s="41">
        <f t="shared" si="78"/>
        <v>0.63774623815416609</v>
      </c>
      <c r="P988" s="41">
        <f t="shared" si="79"/>
        <v>0.36023931506794099</v>
      </c>
    </row>
    <row r="989" spans="1:16" ht="19.95" customHeight="1">
      <c r="A989" s="49">
        <v>1014</v>
      </c>
      <c r="B989" s="50" t="s">
        <v>502</v>
      </c>
      <c r="C989" s="51" t="s">
        <v>20</v>
      </c>
      <c r="D989" s="51" t="s">
        <v>21</v>
      </c>
      <c r="E989" s="52">
        <v>1042779000</v>
      </c>
      <c r="F989" s="52">
        <v>280901000</v>
      </c>
      <c r="G989" s="52">
        <v>53992000</v>
      </c>
      <c r="H989" s="52" t="s">
        <v>757</v>
      </c>
      <c r="I989" s="52">
        <v>294520000</v>
      </c>
      <c r="J989" s="51" t="s">
        <v>80</v>
      </c>
      <c r="K989" s="51" t="s">
        <v>331</v>
      </c>
      <c r="L989" s="41">
        <f t="shared" si="75"/>
        <v>761878000</v>
      </c>
      <c r="M989" s="41">
        <f t="shared" si="76"/>
        <v>348512000</v>
      </c>
      <c r="N989" s="41">
        <f t="shared" si="77"/>
        <v>413366000</v>
      </c>
      <c r="O989" s="41">
        <f t="shared" si="78"/>
        <v>0.66578536775289876</v>
      </c>
      <c r="P989" s="41">
        <f t="shared" si="79"/>
        <v>0.39640805961761794</v>
      </c>
    </row>
    <row r="990" spans="1:16" ht="19.95" customHeight="1">
      <c r="A990" s="49">
        <v>1015</v>
      </c>
      <c r="B990" s="50" t="s">
        <v>503</v>
      </c>
      <c r="C990" s="51" t="s">
        <v>11</v>
      </c>
      <c r="D990" s="51" t="s">
        <v>12</v>
      </c>
      <c r="E990" s="52">
        <v>797517000</v>
      </c>
      <c r="F990" s="52">
        <v>337533000</v>
      </c>
      <c r="G990" s="52">
        <v>20412000</v>
      </c>
      <c r="H990" s="52" t="s">
        <v>757</v>
      </c>
      <c r="I990" s="52">
        <v>277621000</v>
      </c>
      <c r="J990" s="51" t="s">
        <v>80</v>
      </c>
      <c r="K990" s="51" t="s">
        <v>362</v>
      </c>
      <c r="L990" s="41">
        <f t="shared" si="75"/>
        <v>459984000</v>
      </c>
      <c r="M990" s="41">
        <f t="shared" si="76"/>
        <v>298033000</v>
      </c>
      <c r="N990" s="41">
        <f t="shared" si="77"/>
        <v>161951000</v>
      </c>
      <c r="O990" s="41">
        <f t="shared" si="78"/>
        <v>0.6262988751336962</v>
      </c>
      <c r="P990" s="41">
        <f t="shared" si="79"/>
        <v>0.20306902548785793</v>
      </c>
    </row>
    <row r="991" spans="1:16" ht="19.95" customHeight="1">
      <c r="A991" s="49">
        <v>1016</v>
      </c>
      <c r="B991" s="50" t="s">
        <v>503</v>
      </c>
      <c r="C991" s="51" t="s">
        <v>16</v>
      </c>
      <c r="D991" s="51" t="s">
        <v>17</v>
      </c>
      <c r="E991" s="52">
        <v>1029475000</v>
      </c>
      <c r="F991" s="52">
        <v>423256000</v>
      </c>
      <c r="G991" s="52">
        <v>27772000</v>
      </c>
      <c r="H991" s="52" t="s">
        <v>757</v>
      </c>
      <c r="I991" s="52">
        <v>357165000</v>
      </c>
      <c r="J991" s="51" t="s">
        <v>80</v>
      </c>
      <c r="K991" s="51" t="s">
        <v>362</v>
      </c>
      <c r="L991" s="41">
        <f t="shared" si="75"/>
        <v>606219000</v>
      </c>
      <c r="M991" s="41">
        <f t="shared" si="76"/>
        <v>384937000</v>
      </c>
      <c r="N991" s="41">
        <f t="shared" si="77"/>
        <v>221282000</v>
      </c>
      <c r="O991" s="41">
        <f t="shared" si="78"/>
        <v>0.62608416911532583</v>
      </c>
      <c r="P991" s="41">
        <f t="shared" si="79"/>
        <v>0.21494645328929796</v>
      </c>
    </row>
    <row r="992" spans="1:16" ht="19.95" customHeight="1">
      <c r="A992" s="49">
        <v>1017</v>
      </c>
      <c r="B992" s="50" t="s">
        <v>503</v>
      </c>
      <c r="C992" s="51" t="s">
        <v>18</v>
      </c>
      <c r="D992" s="51" t="s">
        <v>19</v>
      </c>
      <c r="E992" s="52">
        <v>1105247000</v>
      </c>
      <c r="F992" s="52">
        <v>441929000</v>
      </c>
      <c r="G992" s="52">
        <v>29412000</v>
      </c>
      <c r="H992" s="52" t="s">
        <v>757</v>
      </c>
      <c r="I992" s="52">
        <v>378716000</v>
      </c>
      <c r="J992" s="51" t="s">
        <v>80</v>
      </c>
      <c r="K992" s="51" t="s">
        <v>362</v>
      </c>
      <c r="L992" s="41">
        <f t="shared" si="75"/>
        <v>663318000</v>
      </c>
      <c r="M992" s="41">
        <f t="shared" si="76"/>
        <v>408128000</v>
      </c>
      <c r="N992" s="41">
        <f t="shared" si="77"/>
        <v>255190000</v>
      </c>
      <c r="O992" s="41">
        <f t="shared" si="78"/>
        <v>0.63073593504438374</v>
      </c>
      <c r="P992" s="41">
        <f t="shared" si="79"/>
        <v>0.23088956586174855</v>
      </c>
    </row>
    <row r="993" spans="1:16" ht="19.95" customHeight="1">
      <c r="A993" s="49">
        <v>1018</v>
      </c>
      <c r="B993" s="50" t="s">
        <v>503</v>
      </c>
      <c r="C993" s="51" t="s">
        <v>20</v>
      </c>
      <c r="D993" s="51" t="s">
        <v>21</v>
      </c>
      <c r="E993" s="52">
        <v>1288149000</v>
      </c>
      <c r="F993" s="52">
        <v>497359000</v>
      </c>
      <c r="G993" s="52">
        <v>29870000</v>
      </c>
      <c r="H993" s="52" t="s">
        <v>757</v>
      </c>
      <c r="I993" s="52">
        <v>464472000</v>
      </c>
      <c r="J993" s="51" t="s">
        <v>80</v>
      </c>
      <c r="K993" s="51" t="s">
        <v>362</v>
      </c>
      <c r="L993" s="41">
        <f t="shared" si="75"/>
        <v>790790000</v>
      </c>
      <c r="M993" s="41">
        <f t="shared" si="76"/>
        <v>494342000</v>
      </c>
      <c r="N993" s="41">
        <f t="shared" si="77"/>
        <v>296448000</v>
      </c>
      <c r="O993" s="41">
        <f t="shared" si="78"/>
        <v>0.61623849414935694</v>
      </c>
      <c r="P993" s="41">
        <f t="shared" si="79"/>
        <v>0.23013486793841395</v>
      </c>
    </row>
    <row r="994" spans="1:16" ht="19.95" customHeight="1">
      <c r="A994" s="49">
        <v>1019</v>
      </c>
      <c r="B994" s="50" t="s">
        <v>504</v>
      </c>
      <c r="C994" s="51" t="s">
        <v>11</v>
      </c>
      <c r="D994" s="51" t="s">
        <v>12</v>
      </c>
      <c r="E994" s="52">
        <v>11814000000</v>
      </c>
      <c r="F994" s="52">
        <v>10190000000</v>
      </c>
      <c r="G994" s="52">
        <v>582000000</v>
      </c>
      <c r="H994" s="52" t="s">
        <v>757</v>
      </c>
      <c r="I994" s="52">
        <v>102000000</v>
      </c>
      <c r="J994" s="51" t="s">
        <v>24</v>
      </c>
      <c r="K994" s="51" t="s">
        <v>190</v>
      </c>
      <c r="L994" s="41">
        <f t="shared" si="75"/>
        <v>1624000000</v>
      </c>
      <c r="M994" s="41">
        <f t="shared" si="76"/>
        <v>684000000</v>
      </c>
      <c r="N994" s="41">
        <f t="shared" si="77"/>
        <v>940000000</v>
      </c>
      <c r="O994" s="41">
        <f t="shared" si="78"/>
        <v>0.94210259014728293</v>
      </c>
      <c r="P994" s="41">
        <f t="shared" si="79"/>
        <v>7.9566615879465036E-2</v>
      </c>
    </row>
    <row r="995" spans="1:16" ht="19.95" customHeight="1">
      <c r="A995" s="49">
        <v>1020</v>
      </c>
      <c r="B995" s="50" t="s">
        <v>504</v>
      </c>
      <c r="C995" s="51" t="s">
        <v>16</v>
      </c>
      <c r="D995" s="51" t="s">
        <v>17</v>
      </c>
      <c r="E995" s="52">
        <v>12784000000</v>
      </c>
      <c r="F995" s="52">
        <v>11020000000</v>
      </c>
      <c r="G995" s="52">
        <v>649000000</v>
      </c>
      <c r="H995" s="52" t="s">
        <v>757</v>
      </c>
      <c r="I995" s="52">
        <v>127000000</v>
      </c>
      <c r="J995" s="51" t="s">
        <v>24</v>
      </c>
      <c r="K995" s="51" t="s">
        <v>190</v>
      </c>
      <c r="L995" s="41">
        <f t="shared" si="75"/>
        <v>1764000000</v>
      </c>
      <c r="M995" s="41">
        <f t="shared" si="76"/>
        <v>776000000</v>
      </c>
      <c r="N995" s="41">
        <f t="shared" si="77"/>
        <v>988000000</v>
      </c>
      <c r="O995" s="41">
        <f t="shared" si="78"/>
        <v>0.93929912390488113</v>
      </c>
      <c r="P995" s="41">
        <f t="shared" si="79"/>
        <v>7.7284105131414274E-2</v>
      </c>
    </row>
    <row r="996" spans="1:16" ht="19.95" customHeight="1">
      <c r="A996" s="49">
        <v>1021</v>
      </c>
      <c r="B996" s="50" t="s">
        <v>504</v>
      </c>
      <c r="C996" s="51" t="s">
        <v>18</v>
      </c>
      <c r="D996" s="51" t="s">
        <v>19</v>
      </c>
      <c r="E996" s="52">
        <v>13796000000</v>
      </c>
      <c r="F996" s="52">
        <v>11830000000</v>
      </c>
      <c r="G996" s="52">
        <v>659000000</v>
      </c>
      <c r="H996" s="52" t="s">
        <v>757</v>
      </c>
      <c r="I996" s="52">
        <v>148000000</v>
      </c>
      <c r="J996" s="51" t="s">
        <v>24</v>
      </c>
      <c r="K996" s="51" t="s">
        <v>190</v>
      </c>
      <c r="L996" s="41">
        <f t="shared" si="75"/>
        <v>1966000000</v>
      </c>
      <c r="M996" s="41">
        <f t="shared" si="76"/>
        <v>807000000</v>
      </c>
      <c r="N996" s="41">
        <f t="shared" si="77"/>
        <v>1159000000</v>
      </c>
      <c r="O996" s="41">
        <f t="shared" si="78"/>
        <v>0.94150478399536097</v>
      </c>
      <c r="P996" s="41">
        <f t="shared" si="79"/>
        <v>8.400985792983473E-2</v>
      </c>
    </row>
    <row r="997" spans="1:16" ht="19.95" customHeight="1">
      <c r="A997" s="49">
        <v>1022</v>
      </c>
      <c r="B997" s="50" t="s">
        <v>504</v>
      </c>
      <c r="C997" s="51" t="s">
        <v>20</v>
      </c>
      <c r="D997" s="51" t="s">
        <v>21</v>
      </c>
      <c r="E997" s="52">
        <v>14486000000</v>
      </c>
      <c r="F997" s="52">
        <v>12363000000</v>
      </c>
      <c r="G997" s="52">
        <v>634000000</v>
      </c>
      <c r="H997" s="52" t="s">
        <v>757</v>
      </c>
      <c r="I997" s="52">
        <v>139000000</v>
      </c>
      <c r="J997" s="51" t="s">
        <v>24</v>
      </c>
      <c r="K997" s="51" t="s">
        <v>190</v>
      </c>
      <c r="L997" s="41">
        <f t="shared" si="75"/>
        <v>2123000000</v>
      </c>
      <c r="M997" s="41">
        <f t="shared" si="76"/>
        <v>773000000</v>
      </c>
      <c r="N997" s="41">
        <f t="shared" si="77"/>
        <v>1350000000</v>
      </c>
      <c r="O997" s="41">
        <f t="shared" si="78"/>
        <v>0.94663813337015046</v>
      </c>
      <c r="P997" s="41">
        <f t="shared" si="79"/>
        <v>9.319342813751208E-2</v>
      </c>
    </row>
    <row r="998" spans="1:16" ht="19.95" customHeight="1">
      <c r="A998" s="49">
        <v>1023</v>
      </c>
      <c r="B998" s="50" t="s">
        <v>505</v>
      </c>
      <c r="C998" s="51" t="s">
        <v>11</v>
      </c>
      <c r="D998" s="51" t="s">
        <v>17</v>
      </c>
      <c r="E998" s="52">
        <v>6761000000</v>
      </c>
      <c r="F998" s="52">
        <v>4802000000</v>
      </c>
      <c r="G998" s="52">
        <v>1347000000</v>
      </c>
      <c r="H998" s="52" t="s">
        <v>757</v>
      </c>
      <c r="I998" s="52" t="s">
        <v>757</v>
      </c>
      <c r="J998" s="51" t="s">
        <v>14</v>
      </c>
      <c r="K998" s="51" t="s">
        <v>93</v>
      </c>
      <c r="L998" s="41">
        <f t="shared" si="75"/>
        <v>1959000000</v>
      </c>
      <c r="M998" s="41">
        <f t="shared" si="76"/>
        <v>1347000000</v>
      </c>
      <c r="N998" s="41">
        <f t="shared" si="77"/>
        <v>612000000</v>
      </c>
      <c r="O998" s="41">
        <f t="shared" si="78"/>
        <v>0.80076911699452746</v>
      </c>
      <c r="P998" s="41">
        <f t="shared" si="79"/>
        <v>9.0519153971306027E-2</v>
      </c>
    </row>
    <row r="999" spans="1:16" ht="19.95" customHeight="1">
      <c r="A999" s="49">
        <v>1024</v>
      </c>
      <c r="B999" s="50" t="s">
        <v>505</v>
      </c>
      <c r="C999" s="51" t="s">
        <v>16</v>
      </c>
      <c r="D999" s="51" t="s">
        <v>19</v>
      </c>
      <c r="E999" s="52">
        <v>7006000000</v>
      </c>
      <c r="F999" s="52">
        <v>4946000000</v>
      </c>
      <c r="G999" s="52">
        <v>1338000000</v>
      </c>
      <c r="H999" s="52" t="s">
        <v>757</v>
      </c>
      <c r="I999" s="52" t="s">
        <v>757</v>
      </c>
      <c r="J999" s="51" t="s">
        <v>14</v>
      </c>
      <c r="K999" s="51" t="s">
        <v>93</v>
      </c>
      <c r="L999" s="41">
        <f t="shared" si="75"/>
        <v>2060000000</v>
      </c>
      <c r="M999" s="41">
        <f t="shared" si="76"/>
        <v>1338000000</v>
      </c>
      <c r="N999" s="41">
        <f t="shared" si="77"/>
        <v>722000000</v>
      </c>
      <c r="O999" s="41">
        <f t="shared" si="78"/>
        <v>0.80902083928061663</v>
      </c>
      <c r="P999" s="41">
        <f t="shared" si="79"/>
        <v>0.10305452469312018</v>
      </c>
    </row>
    <row r="1000" spans="1:16" ht="19.95" customHeight="1">
      <c r="A1000" s="49">
        <v>1025</v>
      </c>
      <c r="B1000" s="50" t="s">
        <v>505</v>
      </c>
      <c r="C1000" s="51" t="s">
        <v>18</v>
      </c>
      <c r="D1000" s="51" t="s">
        <v>21</v>
      </c>
      <c r="E1000" s="52">
        <v>7142000000</v>
      </c>
      <c r="F1000" s="52">
        <v>4889000000</v>
      </c>
      <c r="G1000" s="52">
        <v>1339000000</v>
      </c>
      <c r="H1000" s="52" t="s">
        <v>757</v>
      </c>
      <c r="I1000" s="52" t="s">
        <v>757</v>
      </c>
      <c r="J1000" s="51" t="s">
        <v>14</v>
      </c>
      <c r="K1000" s="51" t="s">
        <v>93</v>
      </c>
      <c r="L1000" s="41">
        <f t="shared" si="75"/>
        <v>2253000000</v>
      </c>
      <c r="M1000" s="41">
        <f t="shared" si="76"/>
        <v>1339000000</v>
      </c>
      <c r="N1000" s="41">
        <f t="shared" si="77"/>
        <v>914000000</v>
      </c>
      <c r="O1000" s="41">
        <f t="shared" si="78"/>
        <v>0.81251750210025198</v>
      </c>
      <c r="P1000" s="41">
        <f t="shared" si="79"/>
        <v>0.12797535704284513</v>
      </c>
    </row>
    <row r="1001" spans="1:16" ht="19.95" customHeight="1">
      <c r="A1001" s="49">
        <v>1026</v>
      </c>
      <c r="B1001" s="50" t="s">
        <v>505</v>
      </c>
      <c r="C1001" s="51" t="s">
        <v>20</v>
      </c>
      <c r="D1001" s="51" t="s">
        <v>84</v>
      </c>
      <c r="E1001" s="52">
        <v>7357000000</v>
      </c>
      <c r="F1001" s="52">
        <v>4901000000</v>
      </c>
      <c r="G1001" s="52">
        <v>1403000000</v>
      </c>
      <c r="H1001" s="52" t="s">
        <v>757</v>
      </c>
      <c r="I1001" s="52" t="s">
        <v>757</v>
      </c>
      <c r="J1001" s="51" t="s">
        <v>14</v>
      </c>
      <c r="K1001" s="51" t="s">
        <v>93</v>
      </c>
      <c r="L1001" s="41">
        <f t="shared" si="75"/>
        <v>2456000000</v>
      </c>
      <c r="M1001" s="41">
        <f t="shared" si="76"/>
        <v>1403000000</v>
      </c>
      <c r="N1001" s="41">
        <f t="shared" si="77"/>
        <v>1053000000</v>
      </c>
      <c r="O1001" s="41">
        <f t="shared" si="78"/>
        <v>0.80929726790811474</v>
      </c>
      <c r="P1001" s="41">
        <f t="shared" si="79"/>
        <v>0.14312899279597663</v>
      </c>
    </row>
    <row r="1002" spans="1:16" ht="19.95" customHeight="1">
      <c r="A1002" s="49">
        <v>1027</v>
      </c>
      <c r="B1002" s="50" t="s">
        <v>506</v>
      </c>
      <c r="C1002" s="51" t="s">
        <v>11</v>
      </c>
      <c r="D1002" s="51" t="s">
        <v>12</v>
      </c>
      <c r="E1002" s="52">
        <v>6420881000</v>
      </c>
      <c r="F1002" s="52">
        <v>3011684000</v>
      </c>
      <c r="G1002" s="52">
        <v>2388182000</v>
      </c>
      <c r="H1002" s="52" t="s">
        <v>757</v>
      </c>
      <c r="I1002" s="52" t="s">
        <v>757</v>
      </c>
      <c r="J1002" s="51" t="s">
        <v>24</v>
      </c>
      <c r="K1002" s="51" t="s">
        <v>385</v>
      </c>
      <c r="L1002" s="41">
        <f t="shared" si="75"/>
        <v>3409197000</v>
      </c>
      <c r="M1002" s="41">
        <f t="shared" si="76"/>
        <v>2388182000</v>
      </c>
      <c r="N1002" s="41">
        <f t="shared" si="77"/>
        <v>1021015000</v>
      </c>
      <c r="O1002" s="41">
        <f t="shared" si="78"/>
        <v>0.62806007462215852</v>
      </c>
      <c r="P1002" s="41">
        <f t="shared" si="79"/>
        <v>0.15901478317383549</v>
      </c>
    </row>
    <row r="1003" spans="1:16" ht="19.95" customHeight="1">
      <c r="A1003" s="49">
        <v>1028</v>
      </c>
      <c r="B1003" s="50" t="s">
        <v>506</v>
      </c>
      <c r="C1003" s="51" t="s">
        <v>16</v>
      </c>
      <c r="D1003" s="51" t="s">
        <v>17</v>
      </c>
      <c r="E1003" s="52">
        <v>6484892000</v>
      </c>
      <c r="F1003" s="52">
        <v>3006009000</v>
      </c>
      <c r="G1003" s="52">
        <v>2310780000</v>
      </c>
      <c r="H1003" s="52" t="s">
        <v>757</v>
      </c>
      <c r="I1003" s="52" t="s">
        <v>757</v>
      </c>
      <c r="J1003" s="51" t="s">
        <v>24</v>
      </c>
      <c r="K1003" s="51" t="s">
        <v>385</v>
      </c>
      <c r="L1003" s="41">
        <f t="shared" si="75"/>
        <v>3478883000</v>
      </c>
      <c r="M1003" s="41">
        <f t="shared" si="76"/>
        <v>2310780000</v>
      </c>
      <c r="N1003" s="41">
        <f t="shared" si="77"/>
        <v>1168103000</v>
      </c>
      <c r="O1003" s="41">
        <f t="shared" si="78"/>
        <v>0.64366715744842007</v>
      </c>
      <c r="P1003" s="41">
        <f t="shared" si="79"/>
        <v>0.18012682400878843</v>
      </c>
    </row>
    <row r="1004" spans="1:16" ht="19.95" customHeight="1">
      <c r="A1004" s="49">
        <v>1029</v>
      </c>
      <c r="B1004" s="50" t="s">
        <v>506</v>
      </c>
      <c r="C1004" s="51" t="s">
        <v>18</v>
      </c>
      <c r="D1004" s="51" t="s">
        <v>19</v>
      </c>
      <c r="E1004" s="52">
        <v>6023819000</v>
      </c>
      <c r="F1004" s="52">
        <v>3022797000</v>
      </c>
      <c r="G1004" s="52">
        <v>2347308000</v>
      </c>
      <c r="H1004" s="52" t="s">
        <v>757</v>
      </c>
      <c r="I1004" s="52" t="s">
        <v>757</v>
      </c>
      <c r="J1004" s="51" t="s">
        <v>24</v>
      </c>
      <c r="K1004" s="51" t="s">
        <v>385</v>
      </c>
      <c r="L1004" s="41">
        <f t="shared" si="75"/>
        <v>3001022000</v>
      </c>
      <c r="M1004" s="41">
        <f t="shared" si="76"/>
        <v>2347308000</v>
      </c>
      <c r="N1004" s="41">
        <f t="shared" si="77"/>
        <v>653714000</v>
      </c>
      <c r="O1004" s="41">
        <f t="shared" si="78"/>
        <v>0.61032892920587423</v>
      </c>
      <c r="P1004" s="41">
        <f t="shared" si="79"/>
        <v>0.10852152098195514</v>
      </c>
    </row>
    <row r="1005" spans="1:16" ht="19.95" customHeight="1">
      <c r="A1005" s="49">
        <v>1030</v>
      </c>
      <c r="B1005" s="50" t="s">
        <v>506</v>
      </c>
      <c r="C1005" s="51" t="s">
        <v>20</v>
      </c>
      <c r="D1005" s="51" t="s">
        <v>21</v>
      </c>
      <c r="E1005" s="52">
        <v>5702613000</v>
      </c>
      <c r="F1005" s="52">
        <v>2896255000</v>
      </c>
      <c r="G1005" s="52">
        <v>2265436000</v>
      </c>
      <c r="H1005" s="52" t="s">
        <v>757</v>
      </c>
      <c r="I1005" s="52" t="s">
        <v>757</v>
      </c>
      <c r="J1005" s="51" t="s">
        <v>24</v>
      </c>
      <c r="K1005" s="51" t="s">
        <v>385</v>
      </c>
      <c r="L1005" s="41">
        <f t="shared" si="75"/>
        <v>2806358000</v>
      </c>
      <c r="M1005" s="41">
        <f t="shared" si="76"/>
        <v>2265436000</v>
      </c>
      <c r="N1005" s="41">
        <f t="shared" si="77"/>
        <v>540922000</v>
      </c>
      <c r="O1005" s="41">
        <f t="shared" si="78"/>
        <v>0.60273720134962694</v>
      </c>
      <c r="P1005" s="41">
        <f t="shared" si="79"/>
        <v>9.4855112910520137E-2</v>
      </c>
    </row>
    <row r="1006" spans="1:16" ht="19.95" customHeight="1">
      <c r="A1006" s="49">
        <v>1031</v>
      </c>
      <c r="B1006" s="50" t="s">
        <v>507</v>
      </c>
      <c r="C1006" s="51" t="s">
        <v>11</v>
      </c>
      <c r="D1006" s="51" t="s">
        <v>12</v>
      </c>
      <c r="E1006" s="52">
        <v>27567000000</v>
      </c>
      <c r="F1006" s="52">
        <v>16750700000</v>
      </c>
      <c r="G1006" s="52">
        <v>2211700000</v>
      </c>
      <c r="H1006" s="52" t="s">
        <v>757</v>
      </c>
      <c r="I1006" s="52" t="s">
        <v>757</v>
      </c>
      <c r="J1006" s="51" t="s">
        <v>24</v>
      </c>
      <c r="K1006" s="51" t="s">
        <v>215</v>
      </c>
      <c r="L1006" s="41">
        <f t="shared" si="75"/>
        <v>10816300000</v>
      </c>
      <c r="M1006" s="41">
        <f t="shared" si="76"/>
        <v>2211700000</v>
      </c>
      <c r="N1006" s="41">
        <f t="shared" si="77"/>
        <v>8604600000</v>
      </c>
      <c r="O1006" s="41">
        <f t="shared" si="78"/>
        <v>0.91977001487285526</v>
      </c>
      <c r="P1006" s="41">
        <f t="shared" si="79"/>
        <v>0.31213407334856896</v>
      </c>
    </row>
    <row r="1007" spans="1:16" ht="19.95" customHeight="1">
      <c r="A1007" s="49">
        <v>1032</v>
      </c>
      <c r="B1007" s="50" t="s">
        <v>507</v>
      </c>
      <c r="C1007" s="51" t="s">
        <v>16</v>
      </c>
      <c r="D1007" s="51" t="s">
        <v>17</v>
      </c>
      <c r="E1007" s="52">
        <v>28105700000</v>
      </c>
      <c r="F1007" s="52">
        <v>17203000000</v>
      </c>
      <c r="G1007" s="52">
        <v>2138400000</v>
      </c>
      <c r="H1007" s="52" t="s">
        <v>757</v>
      </c>
      <c r="I1007" s="52" t="s">
        <v>757</v>
      </c>
      <c r="J1007" s="51" t="s">
        <v>24</v>
      </c>
      <c r="K1007" s="51" t="s">
        <v>215</v>
      </c>
      <c r="L1007" s="41">
        <f t="shared" si="75"/>
        <v>10902700000</v>
      </c>
      <c r="M1007" s="41">
        <f t="shared" si="76"/>
        <v>2138400000</v>
      </c>
      <c r="N1007" s="41">
        <f t="shared" si="77"/>
        <v>8764300000</v>
      </c>
      <c r="O1007" s="41">
        <f t="shared" si="78"/>
        <v>0.92391578932387386</v>
      </c>
      <c r="P1007" s="41">
        <f t="shared" si="79"/>
        <v>0.31183354266216462</v>
      </c>
    </row>
    <row r="1008" spans="1:16" ht="19.95" customHeight="1">
      <c r="A1008" s="49">
        <v>1033</v>
      </c>
      <c r="B1008" s="50" t="s">
        <v>507</v>
      </c>
      <c r="C1008" s="51" t="s">
        <v>18</v>
      </c>
      <c r="D1008" s="51" t="s">
        <v>19</v>
      </c>
      <c r="E1008" s="52">
        <v>27441300000</v>
      </c>
      <c r="F1008" s="52">
        <v>16985600000</v>
      </c>
      <c r="G1008" s="52">
        <v>2506500000</v>
      </c>
      <c r="H1008" s="52" t="s">
        <v>757</v>
      </c>
      <c r="I1008" s="52" t="s">
        <v>757</v>
      </c>
      <c r="J1008" s="51" t="s">
        <v>24</v>
      </c>
      <c r="K1008" s="51" t="s">
        <v>215</v>
      </c>
      <c r="L1008" s="41">
        <f t="shared" si="75"/>
        <v>10455700000</v>
      </c>
      <c r="M1008" s="41">
        <f t="shared" si="76"/>
        <v>2506500000</v>
      </c>
      <c r="N1008" s="41">
        <f t="shared" si="77"/>
        <v>7949200000</v>
      </c>
      <c r="O1008" s="41">
        <f t="shared" si="78"/>
        <v>0.90865957516589957</v>
      </c>
      <c r="P1008" s="41">
        <f t="shared" si="79"/>
        <v>0.28968015363703614</v>
      </c>
    </row>
    <row r="1009" spans="1:16" ht="19.95" customHeight="1">
      <c r="A1009" s="49">
        <v>1034</v>
      </c>
      <c r="B1009" s="50" t="s">
        <v>507</v>
      </c>
      <c r="C1009" s="51" t="s">
        <v>20</v>
      </c>
      <c r="D1009" s="51" t="s">
        <v>21</v>
      </c>
      <c r="E1009" s="52">
        <v>25413000000</v>
      </c>
      <c r="F1009" s="52">
        <v>15623800000</v>
      </c>
      <c r="G1009" s="52">
        <v>2643700000</v>
      </c>
      <c r="H1009" s="52" t="s">
        <v>757</v>
      </c>
      <c r="I1009" s="52" t="s">
        <v>757</v>
      </c>
      <c r="J1009" s="51" t="s">
        <v>24</v>
      </c>
      <c r="K1009" s="51" t="s">
        <v>215</v>
      </c>
      <c r="L1009" s="41">
        <f t="shared" si="75"/>
        <v>9789200000</v>
      </c>
      <c r="M1009" s="41">
        <f t="shared" si="76"/>
        <v>2643700000</v>
      </c>
      <c r="N1009" s="41">
        <f t="shared" si="77"/>
        <v>7145500000</v>
      </c>
      <c r="O1009" s="41">
        <f t="shared" si="78"/>
        <v>0.89597056624562232</v>
      </c>
      <c r="P1009" s="41">
        <f t="shared" si="79"/>
        <v>0.28117498917876677</v>
      </c>
    </row>
    <row r="1010" spans="1:16" ht="19.95" customHeight="1">
      <c r="A1010" s="49">
        <v>1035</v>
      </c>
      <c r="B1010" s="50" t="s">
        <v>508</v>
      </c>
      <c r="C1010" s="51" t="s">
        <v>11</v>
      </c>
      <c r="D1010" s="51" t="s">
        <v>313</v>
      </c>
      <c r="E1010" s="52">
        <v>1581623000</v>
      </c>
      <c r="F1010" s="52">
        <v>743164000</v>
      </c>
      <c r="G1010" s="52">
        <v>261471000</v>
      </c>
      <c r="H1010" s="52">
        <v>254723000</v>
      </c>
      <c r="I1010" s="52">
        <v>111537000</v>
      </c>
      <c r="J1010" s="51" t="s">
        <v>31</v>
      </c>
      <c r="K1010" s="51" t="s">
        <v>55</v>
      </c>
      <c r="L1010" s="41">
        <f t="shared" si="75"/>
        <v>838459000</v>
      </c>
      <c r="M1010" s="41">
        <f t="shared" si="76"/>
        <v>627731000</v>
      </c>
      <c r="N1010" s="41">
        <f t="shared" si="77"/>
        <v>210728000</v>
      </c>
      <c r="O1010" s="41">
        <f t="shared" si="78"/>
        <v>0.60310959059143676</v>
      </c>
      <c r="P1010" s="41">
        <f t="shared" si="79"/>
        <v>0.13323529058441866</v>
      </c>
    </row>
    <row r="1011" spans="1:16" ht="19.95" customHeight="1">
      <c r="A1011" s="49">
        <v>1036</v>
      </c>
      <c r="B1011" s="50" t="s">
        <v>508</v>
      </c>
      <c r="C1011" s="51" t="s">
        <v>16</v>
      </c>
      <c r="D1011" s="51" t="s">
        <v>314</v>
      </c>
      <c r="E1011" s="52">
        <v>1931217000</v>
      </c>
      <c r="F1011" s="52">
        <v>802474000</v>
      </c>
      <c r="G1011" s="52">
        <v>267278000</v>
      </c>
      <c r="H1011" s="52">
        <v>305043000</v>
      </c>
      <c r="I1011" s="52">
        <v>94534000</v>
      </c>
      <c r="J1011" s="51" t="s">
        <v>31</v>
      </c>
      <c r="K1011" s="51" t="s">
        <v>55</v>
      </c>
      <c r="L1011" s="41">
        <f t="shared" si="75"/>
        <v>1128743000</v>
      </c>
      <c r="M1011" s="41">
        <f t="shared" si="76"/>
        <v>666855000</v>
      </c>
      <c r="N1011" s="41">
        <f t="shared" si="77"/>
        <v>461888000</v>
      </c>
      <c r="O1011" s="41">
        <f t="shared" si="78"/>
        <v>0.65469701229846256</v>
      </c>
      <c r="P1011" s="41">
        <f t="shared" si="79"/>
        <v>0.23916939422136405</v>
      </c>
    </row>
    <row r="1012" spans="1:16" ht="19.95" customHeight="1">
      <c r="A1012" s="49">
        <v>1037</v>
      </c>
      <c r="B1012" s="50" t="s">
        <v>508</v>
      </c>
      <c r="C1012" s="51" t="s">
        <v>18</v>
      </c>
      <c r="D1012" s="51" t="s">
        <v>315</v>
      </c>
      <c r="E1012" s="52">
        <v>2147036000</v>
      </c>
      <c r="F1012" s="52">
        <v>917472000</v>
      </c>
      <c r="G1012" s="52">
        <v>274815000</v>
      </c>
      <c r="H1012" s="52">
        <v>349543000</v>
      </c>
      <c r="I1012" s="52">
        <v>176746000</v>
      </c>
      <c r="J1012" s="51" t="s">
        <v>31</v>
      </c>
      <c r="K1012" s="51" t="s">
        <v>55</v>
      </c>
      <c r="L1012" s="41">
        <f t="shared" si="75"/>
        <v>1229564000</v>
      </c>
      <c r="M1012" s="41">
        <f t="shared" si="76"/>
        <v>801104000</v>
      </c>
      <c r="N1012" s="41">
        <f t="shared" si="77"/>
        <v>428460000</v>
      </c>
      <c r="O1012" s="41">
        <f t="shared" si="78"/>
        <v>0.62687910216689424</v>
      </c>
      <c r="P1012" s="41">
        <f t="shared" si="79"/>
        <v>0.19955883366650581</v>
      </c>
    </row>
    <row r="1013" spans="1:16" ht="19.95" customHeight="1">
      <c r="A1013" s="49">
        <v>1038</v>
      </c>
      <c r="B1013" s="50" t="s">
        <v>508</v>
      </c>
      <c r="C1013" s="51" t="s">
        <v>20</v>
      </c>
      <c r="D1013" s="51" t="s">
        <v>316</v>
      </c>
      <c r="E1013" s="52">
        <v>2173334000</v>
      </c>
      <c r="F1013" s="52">
        <v>967870000</v>
      </c>
      <c r="G1013" s="52">
        <v>301670000</v>
      </c>
      <c r="H1013" s="52">
        <v>372596000</v>
      </c>
      <c r="I1013" s="52">
        <v>174896000</v>
      </c>
      <c r="J1013" s="51" t="s">
        <v>31</v>
      </c>
      <c r="K1013" s="51" t="s">
        <v>55</v>
      </c>
      <c r="L1013" s="41">
        <f t="shared" si="75"/>
        <v>1205464000</v>
      </c>
      <c r="M1013" s="41">
        <f t="shared" si="76"/>
        <v>849162000</v>
      </c>
      <c r="N1013" s="41">
        <f t="shared" si="77"/>
        <v>356302000</v>
      </c>
      <c r="O1013" s="41">
        <f t="shared" si="78"/>
        <v>0.60928140819588705</v>
      </c>
      <c r="P1013" s="41">
        <f t="shared" si="79"/>
        <v>0.16394258774767248</v>
      </c>
    </row>
    <row r="1014" spans="1:16" ht="19.95" customHeight="1">
      <c r="A1014" s="49">
        <v>1039</v>
      </c>
      <c r="B1014" s="50" t="s">
        <v>509</v>
      </c>
      <c r="C1014" s="51" t="s">
        <v>11</v>
      </c>
      <c r="D1014" s="51" t="s">
        <v>313</v>
      </c>
      <c r="E1014" s="52">
        <v>1221960000</v>
      </c>
      <c r="F1014" s="52">
        <v>115315000000</v>
      </c>
      <c r="G1014" s="52">
        <v>4110000000</v>
      </c>
      <c r="H1014" s="52">
        <v>433000000</v>
      </c>
      <c r="I1014" s="52" t="s">
        <v>757</v>
      </c>
      <c r="J1014" s="51" t="s">
        <v>37</v>
      </c>
      <c r="K1014" s="51" t="s">
        <v>41</v>
      </c>
      <c r="L1014" s="41">
        <f t="shared" si="75"/>
        <v>-114093040000</v>
      </c>
      <c r="M1014" s="41">
        <f t="shared" si="76"/>
        <v>4543000000</v>
      </c>
      <c r="N1014" s="41">
        <f t="shared" si="77"/>
        <v>-118636040000</v>
      </c>
      <c r="O1014" s="41">
        <f t="shared" si="78"/>
        <v>-2.7177976365838488</v>
      </c>
      <c r="P1014" s="41">
        <f t="shared" si="79"/>
        <v>-97.086680415070873</v>
      </c>
    </row>
    <row r="1015" spans="1:16" ht="19.95" customHeight="1">
      <c r="A1015" s="49">
        <v>1040</v>
      </c>
      <c r="B1015" s="50" t="s">
        <v>509</v>
      </c>
      <c r="C1015" s="51" t="s">
        <v>16</v>
      </c>
      <c r="D1015" s="51" t="s">
        <v>314</v>
      </c>
      <c r="E1015" s="52">
        <v>137392000000</v>
      </c>
      <c r="F1015" s="52">
        <v>129040000000</v>
      </c>
      <c r="G1015" s="52">
        <v>5388000000</v>
      </c>
      <c r="H1015" s="52">
        <v>457000000</v>
      </c>
      <c r="I1015" s="52" t="s">
        <v>757</v>
      </c>
      <c r="J1015" s="51" t="s">
        <v>37</v>
      </c>
      <c r="K1015" s="51" t="s">
        <v>41</v>
      </c>
      <c r="L1015" s="41">
        <f t="shared" si="75"/>
        <v>8352000000</v>
      </c>
      <c r="M1015" s="41">
        <f t="shared" si="76"/>
        <v>5845000000</v>
      </c>
      <c r="N1015" s="41">
        <f t="shared" si="77"/>
        <v>2507000000</v>
      </c>
      <c r="O1015" s="41">
        <f t="shared" si="78"/>
        <v>0.9574574938861069</v>
      </c>
      <c r="P1015" s="41">
        <f t="shared" si="79"/>
        <v>1.8247059508559451E-2</v>
      </c>
    </row>
    <row r="1016" spans="1:16" ht="19.95" customHeight="1">
      <c r="A1016" s="49">
        <v>1041</v>
      </c>
      <c r="B1016" s="50" t="s">
        <v>509</v>
      </c>
      <c r="C1016" s="51" t="s">
        <v>18</v>
      </c>
      <c r="D1016" s="51" t="s">
        <v>315</v>
      </c>
      <c r="E1016" s="52">
        <v>179045000000</v>
      </c>
      <c r="F1016" s="52">
        <v>167634000000</v>
      </c>
      <c r="G1016" s="52">
        <v>7901000000</v>
      </c>
      <c r="H1016" s="52">
        <v>392000000</v>
      </c>
      <c r="I1016" s="52" t="s">
        <v>757</v>
      </c>
      <c r="J1016" s="51" t="s">
        <v>37</v>
      </c>
      <c r="K1016" s="51" t="s">
        <v>41</v>
      </c>
      <c r="L1016" s="41">
        <f t="shared" si="75"/>
        <v>11411000000</v>
      </c>
      <c r="M1016" s="41">
        <f t="shared" si="76"/>
        <v>8293000000</v>
      </c>
      <c r="N1016" s="41">
        <f t="shared" si="77"/>
        <v>3118000000</v>
      </c>
      <c r="O1016" s="41">
        <f t="shared" si="78"/>
        <v>0.95368203524253681</v>
      </c>
      <c r="P1016" s="41">
        <f t="shared" si="79"/>
        <v>1.7414616437208524E-2</v>
      </c>
    </row>
    <row r="1017" spans="1:16" ht="19.95" customHeight="1">
      <c r="A1017" s="49">
        <v>1042</v>
      </c>
      <c r="B1017" s="50" t="s">
        <v>509</v>
      </c>
      <c r="C1017" s="51" t="s">
        <v>20</v>
      </c>
      <c r="D1017" s="51" t="s">
        <v>316</v>
      </c>
      <c r="E1017" s="52">
        <v>190884000000</v>
      </c>
      <c r="F1017" s="52">
        <v>179468000000</v>
      </c>
      <c r="G1017" s="52">
        <v>7276000000</v>
      </c>
      <c r="H1017" s="52">
        <v>392000000</v>
      </c>
      <c r="I1017" s="52" t="s">
        <v>757</v>
      </c>
      <c r="J1017" s="51" t="s">
        <v>37</v>
      </c>
      <c r="K1017" s="51" t="s">
        <v>41</v>
      </c>
      <c r="L1017" s="41">
        <f t="shared" si="75"/>
        <v>11416000000</v>
      </c>
      <c r="M1017" s="41">
        <f t="shared" si="76"/>
        <v>7668000000</v>
      </c>
      <c r="N1017" s="41">
        <f t="shared" si="77"/>
        <v>3748000000</v>
      </c>
      <c r="O1017" s="41">
        <f t="shared" si="78"/>
        <v>0.9598290060979443</v>
      </c>
      <c r="P1017" s="41">
        <f t="shared" si="79"/>
        <v>1.9634961547327173E-2</v>
      </c>
    </row>
    <row r="1018" spans="1:16" ht="19.95" customHeight="1">
      <c r="A1018" s="49">
        <v>1043</v>
      </c>
      <c r="B1018" s="50" t="s">
        <v>510</v>
      </c>
      <c r="C1018" s="51" t="s">
        <v>11</v>
      </c>
      <c r="D1018" s="51" t="s">
        <v>12</v>
      </c>
      <c r="E1018" s="52">
        <v>2730300000</v>
      </c>
      <c r="F1018" s="52">
        <v>795000000</v>
      </c>
      <c r="G1018" s="52">
        <v>752200000</v>
      </c>
      <c r="H1018" s="52" t="s">
        <v>757</v>
      </c>
      <c r="I1018" s="52">
        <v>93500000</v>
      </c>
      <c r="J1018" s="51" t="s">
        <v>75</v>
      </c>
      <c r="K1018" s="51" t="s">
        <v>511</v>
      </c>
      <c r="L1018" s="41">
        <f t="shared" si="75"/>
        <v>1935300000</v>
      </c>
      <c r="M1018" s="41">
        <f t="shared" si="76"/>
        <v>845700000</v>
      </c>
      <c r="N1018" s="41">
        <f t="shared" si="77"/>
        <v>1089600000</v>
      </c>
      <c r="O1018" s="41">
        <f t="shared" si="78"/>
        <v>0.69025381826172949</v>
      </c>
      <c r="P1018" s="41">
        <f t="shared" si="79"/>
        <v>0.39907702450280191</v>
      </c>
    </row>
    <row r="1019" spans="1:16" ht="19.95" customHeight="1">
      <c r="A1019" s="53">
        <v>1044</v>
      </c>
      <c r="B1019" s="54" t="s">
        <v>510</v>
      </c>
      <c r="C1019" s="55" t="s">
        <v>16</v>
      </c>
      <c r="D1019" s="55" t="s">
        <v>17</v>
      </c>
      <c r="E1019" s="56">
        <v>2972500000</v>
      </c>
      <c r="F1019" s="56">
        <v>822400000</v>
      </c>
      <c r="G1019" s="56">
        <v>822100000</v>
      </c>
      <c r="H1019" s="56" t="s">
        <v>757</v>
      </c>
      <c r="I1019" s="56">
        <v>93400000</v>
      </c>
      <c r="J1019" s="55" t="s">
        <v>75</v>
      </c>
      <c r="K1019" s="55" t="s">
        <v>511</v>
      </c>
      <c r="L1019" s="57">
        <f t="shared" si="75"/>
        <v>2150100000</v>
      </c>
      <c r="M1019" s="57">
        <f t="shared" si="76"/>
        <v>915500000</v>
      </c>
      <c r="N1019" s="57">
        <f t="shared" si="77"/>
        <v>1234600000</v>
      </c>
      <c r="O1019" s="57">
        <f t="shared" si="78"/>
        <v>0.69201009251471823</v>
      </c>
      <c r="P1019" s="57">
        <f t="shared" si="79"/>
        <v>0.41534062237174096</v>
      </c>
    </row>
    <row r="1020" spans="1:16" ht="19.95" customHeight="1">
      <c r="A1020" s="49">
        <v>1045</v>
      </c>
      <c r="B1020" s="50" t="s">
        <v>510</v>
      </c>
      <c r="C1020" s="51" t="s">
        <v>18</v>
      </c>
      <c r="D1020" s="51" t="s">
        <v>19</v>
      </c>
      <c r="E1020" s="52">
        <v>3334300000</v>
      </c>
      <c r="F1020" s="52">
        <v>930300000</v>
      </c>
      <c r="G1020" s="52">
        <v>869300000</v>
      </c>
      <c r="H1020" s="52" t="s">
        <v>757</v>
      </c>
      <c r="I1020" s="52">
        <v>95600000</v>
      </c>
      <c r="J1020" s="51" t="s">
        <v>75</v>
      </c>
      <c r="K1020" s="51" t="s">
        <v>511</v>
      </c>
      <c r="L1020" s="41">
        <f t="shared" si="75"/>
        <v>2404000000</v>
      </c>
      <c r="M1020" s="41">
        <f t="shared" si="76"/>
        <v>964900000</v>
      </c>
      <c r="N1020" s="41">
        <f t="shared" si="77"/>
        <v>1439100000</v>
      </c>
      <c r="O1020" s="41">
        <f t="shared" si="78"/>
        <v>0.71061392196263085</v>
      </c>
      <c r="P1020" s="41">
        <f t="shared" si="79"/>
        <v>0.43160483459796661</v>
      </c>
    </row>
    <row r="1021" spans="1:16" ht="19.95" customHeight="1">
      <c r="A1021" s="49">
        <v>1046</v>
      </c>
      <c r="B1021" s="50" t="s">
        <v>510</v>
      </c>
      <c r="C1021" s="51" t="s">
        <v>20</v>
      </c>
      <c r="D1021" s="51" t="s">
        <v>21</v>
      </c>
      <c r="E1021" s="52">
        <v>3484500000</v>
      </c>
      <c r="F1021" s="52">
        <v>976300000</v>
      </c>
      <c r="G1021" s="52">
        <v>921300000</v>
      </c>
      <c r="H1021" s="52" t="s">
        <v>757</v>
      </c>
      <c r="I1021" s="52">
        <v>113500000</v>
      </c>
      <c r="J1021" s="51" t="s">
        <v>75</v>
      </c>
      <c r="K1021" s="51" t="s">
        <v>511</v>
      </c>
      <c r="L1021" s="41">
        <f t="shared" si="75"/>
        <v>2508200000</v>
      </c>
      <c r="M1021" s="41">
        <f t="shared" si="76"/>
        <v>1034800000</v>
      </c>
      <c r="N1021" s="41">
        <f t="shared" si="77"/>
        <v>1473400000</v>
      </c>
      <c r="O1021" s="41">
        <f t="shared" si="78"/>
        <v>0.7030276940737552</v>
      </c>
      <c r="P1021" s="41">
        <f t="shared" si="79"/>
        <v>0.42284402353278805</v>
      </c>
    </row>
    <row r="1022" spans="1:16" ht="19.95" customHeight="1">
      <c r="A1022" s="49">
        <v>1047</v>
      </c>
      <c r="B1022" s="50" t="s">
        <v>512</v>
      </c>
      <c r="C1022" s="51" t="s">
        <v>11</v>
      </c>
      <c r="D1022" s="51" t="s">
        <v>12</v>
      </c>
      <c r="E1022" s="52">
        <v>35015000000</v>
      </c>
      <c r="F1022" s="52">
        <v>21939000000</v>
      </c>
      <c r="G1022" s="52">
        <v>9176000000</v>
      </c>
      <c r="H1022" s="52" t="s">
        <v>757</v>
      </c>
      <c r="I1022" s="52">
        <v>217000000</v>
      </c>
      <c r="J1022" s="51" t="s">
        <v>60</v>
      </c>
      <c r="K1022" s="51" t="s">
        <v>173</v>
      </c>
      <c r="L1022" s="41">
        <f t="shared" si="75"/>
        <v>13076000000</v>
      </c>
      <c r="M1022" s="41">
        <f t="shared" si="76"/>
        <v>9393000000</v>
      </c>
      <c r="N1022" s="41">
        <f t="shared" si="77"/>
        <v>3683000000</v>
      </c>
      <c r="O1022" s="41">
        <f t="shared" si="78"/>
        <v>0.73174353848350715</v>
      </c>
      <c r="P1022" s="41">
        <f t="shared" si="79"/>
        <v>0.1051834927888048</v>
      </c>
    </row>
    <row r="1023" spans="1:16" ht="19.95" customHeight="1">
      <c r="A1023" s="49">
        <v>1048</v>
      </c>
      <c r="B1023" s="50" t="s">
        <v>512</v>
      </c>
      <c r="C1023" s="51" t="s">
        <v>16</v>
      </c>
      <c r="D1023" s="51" t="s">
        <v>17</v>
      </c>
      <c r="E1023" s="52">
        <v>35299000000</v>
      </c>
      <c r="F1023" s="52">
        <v>22189000000</v>
      </c>
      <c r="G1023" s="52">
        <v>8679000000</v>
      </c>
      <c r="H1023" s="52" t="s">
        <v>757</v>
      </c>
      <c r="I1023" s="52">
        <v>217000000</v>
      </c>
      <c r="J1023" s="51" t="s">
        <v>60</v>
      </c>
      <c r="K1023" s="51" t="s">
        <v>173</v>
      </c>
      <c r="L1023" s="41">
        <f t="shared" si="75"/>
        <v>13110000000</v>
      </c>
      <c r="M1023" s="41">
        <f t="shared" si="76"/>
        <v>8896000000</v>
      </c>
      <c r="N1023" s="41">
        <f t="shared" si="77"/>
        <v>4214000000</v>
      </c>
      <c r="O1023" s="41">
        <f t="shared" si="78"/>
        <v>0.74798152922179106</v>
      </c>
      <c r="P1023" s="41">
        <f t="shared" si="79"/>
        <v>0.11938015241224964</v>
      </c>
    </row>
    <row r="1024" spans="1:16" ht="19.95" customHeight="1">
      <c r="A1024" s="49">
        <v>1049</v>
      </c>
      <c r="B1024" s="50" t="s">
        <v>512</v>
      </c>
      <c r="C1024" s="51" t="s">
        <v>18</v>
      </c>
      <c r="D1024" s="51" t="s">
        <v>19</v>
      </c>
      <c r="E1024" s="52">
        <v>34244000000</v>
      </c>
      <c r="F1024" s="52">
        <v>21647000000</v>
      </c>
      <c r="G1024" s="52">
        <v>8457000000</v>
      </c>
      <c r="H1024" s="52" t="s">
        <v>757</v>
      </c>
      <c r="I1024" s="52">
        <v>206000000</v>
      </c>
      <c r="J1024" s="51" t="s">
        <v>60</v>
      </c>
      <c r="K1024" s="51" t="s">
        <v>173</v>
      </c>
      <c r="L1024" s="41">
        <f t="shared" si="75"/>
        <v>12597000000</v>
      </c>
      <c r="M1024" s="41">
        <f t="shared" si="76"/>
        <v>8663000000</v>
      </c>
      <c r="N1024" s="41">
        <f t="shared" si="77"/>
        <v>3934000000</v>
      </c>
      <c r="O1024" s="41">
        <f t="shared" si="78"/>
        <v>0.74702137600747576</v>
      </c>
      <c r="P1024" s="41">
        <f t="shared" si="79"/>
        <v>0.11488143908421913</v>
      </c>
    </row>
    <row r="1025" spans="1:16" ht="19.95" customHeight="1">
      <c r="A1025" s="49">
        <v>1050</v>
      </c>
      <c r="B1025" s="50" t="s">
        <v>512</v>
      </c>
      <c r="C1025" s="51" t="s">
        <v>20</v>
      </c>
      <c r="D1025" s="51" t="s">
        <v>21</v>
      </c>
      <c r="E1025" s="52">
        <v>29636000000</v>
      </c>
      <c r="F1025" s="52">
        <v>18124000000</v>
      </c>
      <c r="G1025" s="52">
        <v>7577000000</v>
      </c>
      <c r="H1025" s="52" t="s">
        <v>757</v>
      </c>
      <c r="I1025" s="52">
        <v>181000000</v>
      </c>
      <c r="J1025" s="51" t="s">
        <v>60</v>
      </c>
      <c r="K1025" s="51" t="s">
        <v>173</v>
      </c>
      <c r="L1025" s="41">
        <f t="shared" si="75"/>
        <v>11512000000</v>
      </c>
      <c r="M1025" s="41">
        <f t="shared" si="76"/>
        <v>7758000000</v>
      </c>
      <c r="N1025" s="41">
        <f t="shared" si="77"/>
        <v>3754000000</v>
      </c>
      <c r="O1025" s="41">
        <f t="shared" si="78"/>
        <v>0.7382237818868943</v>
      </c>
      <c r="P1025" s="41">
        <f t="shared" si="79"/>
        <v>0.12667026589283303</v>
      </c>
    </row>
    <row r="1026" spans="1:16" ht="19.95" customHeight="1">
      <c r="A1026" s="49">
        <v>1051</v>
      </c>
      <c r="B1026" s="50" t="s">
        <v>513</v>
      </c>
      <c r="C1026" s="51" t="s">
        <v>11</v>
      </c>
      <c r="D1026" s="51" t="s">
        <v>12</v>
      </c>
      <c r="E1026" s="52">
        <v>68150000000</v>
      </c>
      <c r="F1026" s="52">
        <v>37987000000</v>
      </c>
      <c r="G1026" s="52">
        <v>9098000000</v>
      </c>
      <c r="H1026" s="52" t="s">
        <v>757</v>
      </c>
      <c r="I1026" s="52">
        <v>17755000000</v>
      </c>
      <c r="J1026" s="51" t="s">
        <v>75</v>
      </c>
      <c r="K1026" s="51" t="s">
        <v>76</v>
      </c>
      <c r="L1026" s="41">
        <f t="shared" si="75"/>
        <v>30163000000</v>
      </c>
      <c r="M1026" s="41">
        <f t="shared" si="76"/>
        <v>26853000000</v>
      </c>
      <c r="N1026" s="41">
        <f t="shared" si="77"/>
        <v>3310000000</v>
      </c>
      <c r="O1026" s="41">
        <f t="shared" si="78"/>
        <v>0.60597212032281733</v>
      </c>
      <c r="P1026" s="41">
        <f t="shared" si="79"/>
        <v>4.8569332355099047E-2</v>
      </c>
    </row>
    <row r="1027" spans="1:16" ht="19.95" customHeight="1">
      <c r="A1027" s="53">
        <v>1052</v>
      </c>
      <c r="B1027" s="54" t="s">
        <v>513</v>
      </c>
      <c r="C1027" s="55" t="s">
        <v>16</v>
      </c>
      <c r="D1027" s="55" t="s">
        <v>17</v>
      </c>
      <c r="E1027" s="56">
        <v>68199000000</v>
      </c>
      <c r="F1027" s="56">
        <v>38107000000</v>
      </c>
      <c r="G1027" s="56">
        <v>9438000000</v>
      </c>
      <c r="H1027" s="56" t="s">
        <v>757</v>
      </c>
      <c r="I1027" s="56">
        <v>16602000000</v>
      </c>
      <c r="J1027" s="55" t="s">
        <v>75</v>
      </c>
      <c r="K1027" s="55" t="s">
        <v>76</v>
      </c>
      <c r="L1027" s="57">
        <f t="shared" ref="L1027:L1090" si="80">Total_Revenue-COGS</f>
        <v>30092000000</v>
      </c>
      <c r="M1027" s="57">
        <f t="shared" ref="M1027:M1090" si="81">SGAA+RandD+OOI</f>
        <v>26040000000</v>
      </c>
      <c r="N1027" s="57">
        <f t="shared" ref="N1027:N1090" si="82">Gross_Profit-Total_Operating_Expenses</f>
        <v>4052000000</v>
      </c>
      <c r="O1027" s="57">
        <f t="shared" ref="O1027:O1090" si="83">1-(Total_Operating_Expenses/Total_Revenue)</f>
        <v>0.61817621959266267</v>
      </c>
      <c r="P1027" s="57">
        <f t="shared" ref="P1027:P1090" si="84">Operating_Profit/Total_Revenue</f>
        <v>5.9414360914382909E-2</v>
      </c>
    </row>
    <row r="1028" spans="1:16" ht="19.95" customHeight="1">
      <c r="A1028" s="49">
        <v>1053</v>
      </c>
      <c r="B1028" s="50" t="s">
        <v>513</v>
      </c>
      <c r="C1028" s="51" t="s">
        <v>18</v>
      </c>
      <c r="D1028" s="51" t="s">
        <v>19</v>
      </c>
      <c r="E1028" s="52">
        <v>73316000000</v>
      </c>
      <c r="F1028" s="52">
        <v>39102000000</v>
      </c>
      <c r="G1028" s="52">
        <v>8319000000</v>
      </c>
      <c r="H1028" s="52" t="s">
        <v>757</v>
      </c>
      <c r="I1028" s="52">
        <v>17091000000</v>
      </c>
      <c r="J1028" s="51" t="s">
        <v>75</v>
      </c>
      <c r="K1028" s="51" t="s">
        <v>76</v>
      </c>
      <c r="L1028" s="41">
        <f t="shared" si="80"/>
        <v>34214000000</v>
      </c>
      <c r="M1028" s="41">
        <f t="shared" si="81"/>
        <v>25410000000</v>
      </c>
      <c r="N1028" s="41">
        <f t="shared" si="82"/>
        <v>8804000000</v>
      </c>
      <c r="O1028" s="41">
        <f t="shared" si="83"/>
        <v>0.65341808063724161</v>
      </c>
      <c r="P1028" s="41">
        <f t="shared" si="84"/>
        <v>0.12008292869223634</v>
      </c>
    </row>
    <row r="1029" spans="1:16" ht="19.95" customHeight="1">
      <c r="A1029" s="49">
        <v>1054</v>
      </c>
      <c r="B1029" s="50" t="s">
        <v>513</v>
      </c>
      <c r="C1029" s="51" t="s">
        <v>20</v>
      </c>
      <c r="D1029" s="51" t="s">
        <v>21</v>
      </c>
      <c r="E1029" s="52">
        <v>69951000000</v>
      </c>
      <c r="F1029" s="52">
        <v>38714000000</v>
      </c>
      <c r="G1029" s="52">
        <v>6998000000</v>
      </c>
      <c r="H1029" s="52" t="s">
        <v>757</v>
      </c>
      <c r="I1029" s="52">
        <v>16769000000</v>
      </c>
      <c r="J1029" s="51" t="s">
        <v>75</v>
      </c>
      <c r="K1029" s="51" t="s">
        <v>76</v>
      </c>
      <c r="L1029" s="41">
        <f t="shared" si="80"/>
        <v>31237000000</v>
      </c>
      <c r="M1029" s="41">
        <f t="shared" si="81"/>
        <v>23767000000</v>
      </c>
      <c r="N1029" s="41">
        <f t="shared" si="82"/>
        <v>7470000000</v>
      </c>
      <c r="O1029" s="41">
        <f t="shared" si="83"/>
        <v>0.66023359208588872</v>
      </c>
      <c r="P1029" s="41">
        <f t="shared" si="84"/>
        <v>0.10678903804091436</v>
      </c>
    </row>
    <row r="1030" spans="1:16" ht="19.95" customHeight="1">
      <c r="A1030" s="49">
        <v>1055</v>
      </c>
      <c r="B1030" s="50" t="s">
        <v>514</v>
      </c>
      <c r="C1030" s="51" t="s">
        <v>11</v>
      </c>
      <c r="D1030" s="51" t="s">
        <v>12</v>
      </c>
      <c r="E1030" s="52">
        <v>5787980000</v>
      </c>
      <c r="F1030" s="52">
        <v>4297922000</v>
      </c>
      <c r="G1030" s="52">
        <v>1110550000</v>
      </c>
      <c r="H1030" s="52" t="s">
        <v>757</v>
      </c>
      <c r="I1030" s="52" t="s">
        <v>757</v>
      </c>
      <c r="J1030" s="51" t="s">
        <v>24</v>
      </c>
      <c r="K1030" s="51" t="s">
        <v>515</v>
      </c>
      <c r="L1030" s="41">
        <f t="shared" si="80"/>
        <v>1490058000</v>
      </c>
      <c r="M1030" s="41">
        <f t="shared" si="81"/>
        <v>1110550000</v>
      </c>
      <c r="N1030" s="41">
        <f t="shared" si="82"/>
        <v>379508000</v>
      </c>
      <c r="O1030" s="41">
        <f t="shared" si="83"/>
        <v>0.80812822435461074</v>
      </c>
      <c r="P1030" s="41">
        <f t="shared" si="84"/>
        <v>6.5568298439179121E-2</v>
      </c>
    </row>
    <row r="1031" spans="1:16" ht="19.95" customHeight="1">
      <c r="A1031" s="49">
        <v>1056</v>
      </c>
      <c r="B1031" s="50" t="s">
        <v>514</v>
      </c>
      <c r="C1031" s="51" t="s">
        <v>16</v>
      </c>
      <c r="D1031" s="51" t="s">
        <v>17</v>
      </c>
      <c r="E1031" s="52">
        <v>7348754000</v>
      </c>
      <c r="F1031" s="52">
        <v>5427945000</v>
      </c>
      <c r="G1031" s="52">
        <v>1373878000</v>
      </c>
      <c r="H1031" s="52" t="s">
        <v>757</v>
      </c>
      <c r="I1031" s="52" t="s">
        <v>757</v>
      </c>
      <c r="J1031" s="51" t="s">
        <v>24</v>
      </c>
      <c r="K1031" s="51" t="s">
        <v>515</v>
      </c>
      <c r="L1031" s="41">
        <f t="shared" si="80"/>
        <v>1920809000</v>
      </c>
      <c r="M1031" s="41">
        <f t="shared" si="81"/>
        <v>1373878000</v>
      </c>
      <c r="N1031" s="41">
        <f t="shared" si="82"/>
        <v>546931000</v>
      </c>
      <c r="O1031" s="41">
        <f t="shared" si="83"/>
        <v>0.81304612999700354</v>
      </c>
      <c r="P1031" s="41">
        <f t="shared" si="84"/>
        <v>7.4424997761525294E-2</v>
      </c>
    </row>
    <row r="1032" spans="1:16" ht="19.95" customHeight="1">
      <c r="A1032" s="49">
        <v>1057</v>
      </c>
      <c r="B1032" s="50" t="s">
        <v>514</v>
      </c>
      <c r="C1032" s="51" t="s">
        <v>18</v>
      </c>
      <c r="D1032" s="51" t="s">
        <v>19</v>
      </c>
      <c r="E1032" s="52">
        <v>7803446000</v>
      </c>
      <c r="F1032" s="52">
        <v>5649254000</v>
      </c>
      <c r="G1032" s="52">
        <v>1381396000</v>
      </c>
      <c r="H1032" s="52" t="s">
        <v>757</v>
      </c>
      <c r="I1032" s="52" t="s">
        <v>757</v>
      </c>
      <c r="J1032" s="51" t="s">
        <v>24</v>
      </c>
      <c r="K1032" s="51" t="s">
        <v>515</v>
      </c>
      <c r="L1032" s="41">
        <f t="shared" si="80"/>
        <v>2154192000</v>
      </c>
      <c r="M1032" s="41">
        <f t="shared" si="81"/>
        <v>1381396000</v>
      </c>
      <c r="N1032" s="41">
        <f t="shared" si="82"/>
        <v>772796000</v>
      </c>
      <c r="O1032" s="41">
        <f t="shared" si="83"/>
        <v>0.82297615694399628</v>
      </c>
      <c r="P1032" s="41">
        <f t="shared" si="84"/>
        <v>9.9032658135905602E-2</v>
      </c>
    </row>
    <row r="1033" spans="1:16" ht="19.95" customHeight="1">
      <c r="A1033" s="49">
        <v>1058</v>
      </c>
      <c r="B1033" s="50" t="s">
        <v>514</v>
      </c>
      <c r="C1033" s="51" t="s">
        <v>20</v>
      </c>
      <c r="D1033" s="51" t="s">
        <v>21</v>
      </c>
      <c r="E1033" s="52">
        <v>8071563000</v>
      </c>
      <c r="F1033" s="52">
        <v>5660877000</v>
      </c>
      <c r="G1033" s="52">
        <v>1573120000</v>
      </c>
      <c r="H1033" s="52" t="s">
        <v>757</v>
      </c>
      <c r="I1033" s="52" t="s">
        <v>757</v>
      </c>
      <c r="J1033" s="51" t="s">
        <v>24</v>
      </c>
      <c r="K1033" s="51" t="s">
        <v>515</v>
      </c>
      <c r="L1033" s="41">
        <f t="shared" si="80"/>
        <v>2410686000</v>
      </c>
      <c r="M1033" s="41">
        <f t="shared" si="81"/>
        <v>1573120000</v>
      </c>
      <c r="N1033" s="41">
        <f t="shared" si="82"/>
        <v>837566000</v>
      </c>
      <c r="O1033" s="41">
        <f t="shared" si="83"/>
        <v>0.80510342296776971</v>
      </c>
      <c r="P1033" s="41">
        <f t="shared" si="84"/>
        <v>0.10376751070393678</v>
      </c>
    </row>
    <row r="1034" spans="1:16" ht="19.95" customHeight="1">
      <c r="A1034" s="49">
        <v>1059</v>
      </c>
      <c r="B1034" s="50" t="s">
        <v>516</v>
      </c>
      <c r="C1034" s="51" t="s">
        <v>11</v>
      </c>
      <c r="D1034" s="51" t="s">
        <v>12</v>
      </c>
      <c r="E1034" s="52">
        <v>3901300000</v>
      </c>
      <c r="F1034" s="52">
        <v>1503800000</v>
      </c>
      <c r="G1034" s="52">
        <v>1457300000</v>
      </c>
      <c r="H1034" s="52">
        <v>100100000</v>
      </c>
      <c r="I1034" s="52" t="s">
        <v>757</v>
      </c>
      <c r="J1034" s="51" t="s">
        <v>60</v>
      </c>
      <c r="K1034" s="51" t="s">
        <v>173</v>
      </c>
      <c r="L1034" s="41">
        <f t="shared" si="80"/>
        <v>2397500000</v>
      </c>
      <c r="M1034" s="41">
        <f t="shared" si="81"/>
        <v>1557400000</v>
      </c>
      <c r="N1034" s="41">
        <f t="shared" si="82"/>
        <v>840100000</v>
      </c>
      <c r="O1034" s="41">
        <f t="shared" si="83"/>
        <v>0.60079973342219262</v>
      </c>
      <c r="P1034" s="41">
        <f t="shared" si="84"/>
        <v>0.21533847691795044</v>
      </c>
    </row>
    <row r="1035" spans="1:16" ht="19.95" customHeight="1">
      <c r="A1035" s="49">
        <v>1060</v>
      </c>
      <c r="B1035" s="50" t="s">
        <v>516</v>
      </c>
      <c r="C1035" s="51" t="s">
        <v>16</v>
      </c>
      <c r="D1035" s="51" t="s">
        <v>17</v>
      </c>
      <c r="E1035" s="52">
        <v>4200700000</v>
      </c>
      <c r="F1035" s="52">
        <v>1528500000</v>
      </c>
      <c r="G1035" s="52">
        <v>1548600000</v>
      </c>
      <c r="H1035" s="52">
        <v>100200000</v>
      </c>
      <c r="I1035" s="52" t="s">
        <v>757</v>
      </c>
      <c r="J1035" s="51" t="s">
        <v>60</v>
      </c>
      <c r="K1035" s="51" t="s">
        <v>173</v>
      </c>
      <c r="L1035" s="41">
        <f t="shared" si="80"/>
        <v>2672200000</v>
      </c>
      <c r="M1035" s="41">
        <f t="shared" si="81"/>
        <v>1648800000</v>
      </c>
      <c r="N1035" s="41">
        <f t="shared" si="82"/>
        <v>1023400000</v>
      </c>
      <c r="O1035" s="41">
        <f t="shared" si="83"/>
        <v>0.60749398909705521</v>
      </c>
      <c r="P1035" s="41">
        <f t="shared" si="84"/>
        <v>0.24362606232294617</v>
      </c>
    </row>
    <row r="1036" spans="1:16" ht="19.95" customHeight="1">
      <c r="A1036" s="49">
        <v>1061</v>
      </c>
      <c r="B1036" s="50" t="s">
        <v>516</v>
      </c>
      <c r="C1036" s="51" t="s">
        <v>18</v>
      </c>
      <c r="D1036" s="51" t="s">
        <v>19</v>
      </c>
      <c r="E1036" s="52">
        <v>4409300000</v>
      </c>
      <c r="F1036" s="52">
        <v>1700600000</v>
      </c>
      <c r="G1036" s="52">
        <v>1617600000</v>
      </c>
      <c r="H1036" s="52">
        <v>115100000</v>
      </c>
      <c r="I1036" s="52" t="s">
        <v>757</v>
      </c>
      <c r="J1036" s="51" t="s">
        <v>60</v>
      </c>
      <c r="K1036" s="51" t="s">
        <v>173</v>
      </c>
      <c r="L1036" s="41">
        <f t="shared" si="80"/>
        <v>2708700000</v>
      </c>
      <c r="M1036" s="41">
        <f t="shared" si="81"/>
        <v>1732700000</v>
      </c>
      <c r="N1036" s="41">
        <f t="shared" si="82"/>
        <v>976000000</v>
      </c>
      <c r="O1036" s="41">
        <f t="shared" si="83"/>
        <v>0.60703513029279021</v>
      </c>
      <c r="P1036" s="41">
        <f t="shared" si="84"/>
        <v>0.22135032771641758</v>
      </c>
    </row>
    <row r="1037" spans="1:16" ht="19.95" customHeight="1">
      <c r="A1037" s="49">
        <v>1062</v>
      </c>
      <c r="B1037" s="50" t="s">
        <v>516</v>
      </c>
      <c r="C1037" s="51" t="s">
        <v>20</v>
      </c>
      <c r="D1037" s="51" t="s">
        <v>21</v>
      </c>
      <c r="E1037" s="52">
        <v>4071300000</v>
      </c>
      <c r="F1037" s="52">
        <v>1455300000</v>
      </c>
      <c r="G1037" s="52">
        <v>1532400000</v>
      </c>
      <c r="H1037" s="52">
        <v>108400000</v>
      </c>
      <c r="I1037" s="52" t="s">
        <v>757</v>
      </c>
      <c r="J1037" s="51" t="s">
        <v>60</v>
      </c>
      <c r="K1037" s="51" t="s">
        <v>173</v>
      </c>
      <c r="L1037" s="41">
        <f t="shared" si="80"/>
        <v>2616000000</v>
      </c>
      <c r="M1037" s="41">
        <f t="shared" si="81"/>
        <v>1640800000</v>
      </c>
      <c r="N1037" s="41">
        <f t="shared" si="82"/>
        <v>975200000</v>
      </c>
      <c r="O1037" s="41">
        <f t="shared" si="83"/>
        <v>0.59698376439957745</v>
      </c>
      <c r="P1037" s="41">
        <f t="shared" si="84"/>
        <v>0.23953037113452705</v>
      </c>
    </row>
    <row r="1038" spans="1:16" ht="19.95" customHeight="1">
      <c r="A1038" s="49">
        <v>1063</v>
      </c>
      <c r="B1038" s="50" t="s">
        <v>517</v>
      </c>
      <c r="C1038" s="51" t="s">
        <v>11</v>
      </c>
      <c r="D1038" s="51" t="s">
        <v>189</v>
      </c>
      <c r="E1038" s="52">
        <v>4123400000</v>
      </c>
      <c r="F1038" s="52">
        <v>2457600000</v>
      </c>
      <c r="G1038" s="52">
        <v>1090300000</v>
      </c>
      <c r="H1038" s="52" t="s">
        <v>757</v>
      </c>
      <c r="I1038" s="52" t="s">
        <v>757</v>
      </c>
      <c r="J1038" s="51" t="s">
        <v>60</v>
      </c>
      <c r="K1038" s="51" t="s">
        <v>173</v>
      </c>
      <c r="L1038" s="41">
        <f t="shared" si="80"/>
        <v>1665800000</v>
      </c>
      <c r="M1038" s="41">
        <f t="shared" si="81"/>
        <v>1090300000</v>
      </c>
      <c r="N1038" s="41">
        <f t="shared" si="82"/>
        <v>575500000</v>
      </c>
      <c r="O1038" s="41">
        <f t="shared" si="83"/>
        <v>0.73558228646262791</v>
      </c>
      <c r="P1038" s="41">
        <f t="shared" si="84"/>
        <v>0.13956928748120484</v>
      </c>
    </row>
    <row r="1039" spans="1:16" ht="19.95" customHeight="1">
      <c r="A1039" s="49">
        <v>1064</v>
      </c>
      <c r="B1039" s="50" t="s">
        <v>517</v>
      </c>
      <c r="C1039" s="51" t="s">
        <v>16</v>
      </c>
      <c r="D1039" s="51" t="s">
        <v>191</v>
      </c>
      <c r="E1039" s="52">
        <v>4243200000</v>
      </c>
      <c r="F1039" s="52">
        <v>2513000000</v>
      </c>
      <c r="G1039" s="52">
        <v>1122000000</v>
      </c>
      <c r="H1039" s="52" t="s">
        <v>757</v>
      </c>
      <c r="I1039" s="52" t="s">
        <v>757</v>
      </c>
      <c r="J1039" s="51" t="s">
        <v>60</v>
      </c>
      <c r="K1039" s="51" t="s">
        <v>173</v>
      </c>
      <c r="L1039" s="41">
        <f t="shared" si="80"/>
        <v>1730200000</v>
      </c>
      <c r="M1039" s="41">
        <f t="shared" si="81"/>
        <v>1122000000</v>
      </c>
      <c r="N1039" s="41">
        <f t="shared" si="82"/>
        <v>608200000</v>
      </c>
      <c r="O1039" s="41">
        <f t="shared" si="83"/>
        <v>0.73557692307692313</v>
      </c>
      <c r="P1039" s="41">
        <f t="shared" si="84"/>
        <v>0.14333521870286575</v>
      </c>
    </row>
    <row r="1040" spans="1:16" ht="19.95" customHeight="1">
      <c r="A1040" s="49">
        <v>1065</v>
      </c>
      <c r="B1040" s="50" t="s">
        <v>517</v>
      </c>
      <c r="C1040" s="51" t="s">
        <v>18</v>
      </c>
      <c r="D1040" s="51" t="s">
        <v>192</v>
      </c>
      <c r="E1040" s="52">
        <v>4296300000</v>
      </c>
      <c r="F1040" s="52">
        <v>2559000000</v>
      </c>
      <c r="G1040" s="52">
        <v>1127400000</v>
      </c>
      <c r="H1040" s="52" t="s">
        <v>757</v>
      </c>
      <c r="I1040" s="52" t="s">
        <v>757</v>
      </c>
      <c r="J1040" s="51" t="s">
        <v>60</v>
      </c>
      <c r="K1040" s="51" t="s">
        <v>173</v>
      </c>
      <c r="L1040" s="41">
        <f t="shared" si="80"/>
        <v>1737300000</v>
      </c>
      <c r="M1040" s="41">
        <f t="shared" si="81"/>
        <v>1127400000</v>
      </c>
      <c r="N1040" s="41">
        <f t="shared" si="82"/>
        <v>609900000</v>
      </c>
      <c r="O1040" s="41">
        <f t="shared" si="83"/>
        <v>0.73758815725158855</v>
      </c>
      <c r="P1040" s="41">
        <f t="shared" si="84"/>
        <v>0.14195936037986173</v>
      </c>
    </row>
    <row r="1041" spans="1:16" ht="19.95" customHeight="1">
      <c r="A1041" s="49">
        <v>1066</v>
      </c>
      <c r="B1041" s="50" t="s">
        <v>517</v>
      </c>
      <c r="C1041" s="51" t="s">
        <v>20</v>
      </c>
      <c r="D1041" s="51" t="s">
        <v>193</v>
      </c>
      <c r="E1041" s="52">
        <v>4411500000</v>
      </c>
      <c r="F1041" s="52">
        <v>2579800000</v>
      </c>
      <c r="G1041" s="52">
        <v>1175000000</v>
      </c>
      <c r="H1041" s="52" t="s">
        <v>757</v>
      </c>
      <c r="I1041" s="52" t="s">
        <v>757</v>
      </c>
      <c r="J1041" s="51" t="s">
        <v>60</v>
      </c>
      <c r="K1041" s="51" t="s">
        <v>173</v>
      </c>
      <c r="L1041" s="41">
        <f t="shared" si="80"/>
        <v>1831700000</v>
      </c>
      <c r="M1041" s="41">
        <f t="shared" si="81"/>
        <v>1175000000</v>
      </c>
      <c r="N1041" s="41">
        <f t="shared" si="82"/>
        <v>656700000</v>
      </c>
      <c r="O1041" s="41">
        <f t="shared" si="83"/>
        <v>0.73365068570780911</v>
      </c>
      <c r="P1041" s="41">
        <f t="shared" si="84"/>
        <v>0.14886093165589936</v>
      </c>
    </row>
    <row r="1042" spans="1:16" ht="19.95" customHeight="1">
      <c r="A1042" s="49">
        <v>1067</v>
      </c>
      <c r="B1042" s="50" t="s">
        <v>518</v>
      </c>
      <c r="C1042" s="51" t="s">
        <v>11</v>
      </c>
      <c r="D1042" s="51" t="s">
        <v>12</v>
      </c>
      <c r="E1042" s="52">
        <v>2031901000</v>
      </c>
      <c r="F1042" s="52">
        <v>1704767000</v>
      </c>
      <c r="G1042" s="52">
        <v>135824000</v>
      </c>
      <c r="H1042" s="52" t="s">
        <v>757</v>
      </c>
      <c r="I1042" s="52" t="s">
        <v>757</v>
      </c>
      <c r="J1042" s="51" t="s">
        <v>88</v>
      </c>
      <c r="K1042" s="51" t="s">
        <v>519</v>
      </c>
      <c r="L1042" s="41">
        <f t="shared" si="80"/>
        <v>327134000</v>
      </c>
      <c r="M1042" s="41">
        <f t="shared" si="81"/>
        <v>135824000</v>
      </c>
      <c r="N1042" s="41">
        <f t="shared" si="82"/>
        <v>191310000</v>
      </c>
      <c r="O1042" s="41">
        <f t="shared" si="83"/>
        <v>0.93315422355715161</v>
      </c>
      <c r="P1042" s="41">
        <f t="shared" si="84"/>
        <v>9.4153209236079907E-2</v>
      </c>
    </row>
    <row r="1043" spans="1:16" ht="19.95" customHeight="1">
      <c r="A1043" s="49">
        <v>1068</v>
      </c>
      <c r="B1043" s="50" t="s">
        <v>518</v>
      </c>
      <c r="C1043" s="51" t="s">
        <v>16</v>
      </c>
      <c r="D1043" s="51" t="s">
        <v>17</v>
      </c>
      <c r="E1043" s="52">
        <v>2155551000</v>
      </c>
      <c r="F1043" s="52">
        <v>1791594000</v>
      </c>
      <c r="G1043" s="52">
        <v>145298000</v>
      </c>
      <c r="H1043" s="52" t="s">
        <v>757</v>
      </c>
      <c r="I1043" s="52" t="s">
        <v>757</v>
      </c>
      <c r="J1043" s="51" t="s">
        <v>88</v>
      </c>
      <c r="K1043" s="51" t="s">
        <v>519</v>
      </c>
      <c r="L1043" s="41">
        <f t="shared" si="80"/>
        <v>363957000</v>
      </c>
      <c r="M1043" s="41">
        <f t="shared" si="81"/>
        <v>145298000</v>
      </c>
      <c r="N1043" s="41">
        <f t="shared" si="82"/>
        <v>218659000</v>
      </c>
      <c r="O1043" s="41">
        <f t="shared" si="83"/>
        <v>0.93259356888331568</v>
      </c>
      <c r="P1043" s="41">
        <f t="shared" si="84"/>
        <v>0.10143995665145478</v>
      </c>
    </row>
    <row r="1044" spans="1:16" ht="19.95" customHeight="1">
      <c r="A1044" s="49">
        <v>1069</v>
      </c>
      <c r="B1044" s="50" t="s">
        <v>518</v>
      </c>
      <c r="C1044" s="51" t="s">
        <v>18</v>
      </c>
      <c r="D1044" s="51" t="s">
        <v>19</v>
      </c>
      <c r="E1044" s="52">
        <v>2957951000</v>
      </c>
      <c r="F1044" s="52">
        <v>2435591000</v>
      </c>
      <c r="G1044" s="52">
        <v>164596000</v>
      </c>
      <c r="H1044" s="52" t="s">
        <v>757</v>
      </c>
      <c r="I1044" s="52" t="s">
        <v>757</v>
      </c>
      <c r="J1044" s="51" t="s">
        <v>88</v>
      </c>
      <c r="K1044" s="51" t="s">
        <v>519</v>
      </c>
      <c r="L1044" s="41">
        <f t="shared" si="80"/>
        <v>522360000</v>
      </c>
      <c r="M1044" s="41">
        <f t="shared" si="81"/>
        <v>164596000</v>
      </c>
      <c r="N1044" s="41">
        <f t="shared" si="82"/>
        <v>357764000</v>
      </c>
      <c r="O1044" s="41">
        <f t="shared" si="83"/>
        <v>0.9443547239288278</v>
      </c>
      <c r="P1044" s="41">
        <f t="shared" si="84"/>
        <v>0.12094994136143566</v>
      </c>
    </row>
    <row r="1045" spans="1:16" ht="19.95" customHeight="1">
      <c r="A1045" s="49">
        <v>1070</v>
      </c>
      <c r="B1045" s="50" t="s">
        <v>518</v>
      </c>
      <c r="C1045" s="51" t="s">
        <v>20</v>
      </c>
      <c r="D1045" s="51" t="s">
        <v>21</v>
      </c>
      <c r="E1045" s="52">
        <v>3539570000</v>
      </c>
      <c r="F1045" s="52">
        <v>2817803000</v>
      </c>
      <c r="G1045" s="52">
        <v>233887000</v>
      </c>
      <c r="H1045" s="52" t="s">
        <v>757</v>
      </c>
      <c r="I1045" s="52" t="s">
        <v>757</v>
      </c>
      <c r="J1045" s="51" t="s">
        <v>88</v>
      </c>
      <c r="K1045" s="51" t="s">
        <v>519</v>
      </c>
      <c r="L1045" s="41">
        <f t="shared" si="80"/>
        <v>721767000</v>
      </c>
      <c r="M1045" s="41">
        <f t="shared" si="81"/>
        <v>233887000</v>
      </c>
      <c r="N1045" s="41">
        <f t="shared" si="82"/>
        <v>487880000</v>
      </c>
      <c r="O1045" s="41">
        <f t="shared" si="83"/>
        <v>0.93392219958921563</v>
      </c>
      <c r="P1045" s="41">
        <f t="shared" si="84"/>
        <v>0.13783595182465666</v>
      </c>
    </row>
    <row r="1046" spans="1:16" ht="19.95" customHeight="1">
      <c r="A1046" s="49">
        <v>1071</v>
      </c>
      <c r="B1046" s="50" t="s">
        <v>520</v>
      </c>
      <c r="C1046" s="51" t="s">
        <v>11</v>
      </c>
      <c r="D1046" s="51" t="s">
        <v>12</v>
      </c>
      <c r="E1046" s="52">
        <v>11924000000</v>
      </c>
      <c r="F1046" s="52" t="s">
        <v>757</v>
      </c>
      <c r="G1046" s="52">
        <v>7134000000</v>
      </c>
      <c r="H1046" s="52" t="s">
        <v>757</v>
      </c>
      <c r="I1046" s="52">
        <v>2961000000</v>
      </c>
      <c r="J1046" s="51" t="s">
        <v>75</v>
      </c>
      <c r="K1046" s="51" t="s">
        <v>521</v>
      </c>
      <c r="L1046" s="41">
        <f t="shared" si="80"/>
        <v>11924000000</v>
      </c>
      <c r="M1046" s="41">
        <f t="shared" si="81"/>
        <v>10095000000</v>
      </c>
      <c r="N1046" s="41">
        <f t="shared" si="82"/>
        <v>1829000000</v>
      </c>
      <c r="O1046" s="41">
        <f t="shared" si="83"/>
        <v>0.15338812479033881</v>
      </c>
      <c r="P1046" s="41">
        <f t="shared" si="84"/>
        <v>0.15338812479033881</v>
      </c>
    </row>
    <row r="1047" spans="1:16" ht="19.95" customHeight="1">
      <c r="A1047" s="53">
        <v>1072</v>
      </c>
      <c r="B1047" s="54" t="s">
        <v>520</v>
      </c>
      <c r="C1047" s="55" t="s">
        <v>16</v>
      </c>
      <c r="D1047" s="55" t="s">
        <v>17</v>
      </c>
      <c r="E1047" s="56">
        <v>12261000000</v>
      </c>
      <c r="F1047" s="56" t="s">
        <v>757</v>
      </c>
      <c r="G1047" s="56">
        <v>7226000000</v>
      </c>
      <c r="H1047" s="56" t="s">
        <v>757</v>
      </c>
      <c r="I1047" s="56">
        <v>2958000000</v>
      </c>
      <c r="J1047" s="55" t="s">
        <v>75</v>
      </c>
      <c r="K1047" s="55" t="s">
        <v>521</v>
      </c>
      <c r="L1047" s="57">
        <f t="shared" si="80"/>
        <v>12261000000</v>
      </c>
      <c r="M1047" s="57">
        <f t="shared" si="81"/>
        <v>10184000000</v>
      </c>
      <c r="N1047" s="57">
        <f t="shared" si="82"/>
        <v>2077000000</v>
      </c>
      <c r="O1047" s="57">
        <f t="shared" si="83"/>
        <v>0.1693989071038251</v>
      </c>
      <c r="P1047" s="57">
        <f t="shared" si="84"/>
        <v>0.16939890710382513</v>
      </c>
    </row>
    <row r="1048" spans="1:16" ht="19.95" customHeight="1">
      <c r="A1048" s="49">
        <v>1073</v>
      </c>
      <c r="B1048" s="50" t="s">
        <v>520</v>
      </c>
      <c r="C1048" s="51" t="s">
        <v>18</v>
      </c>
      <c r="D1048" s="51" t="s">
        <v>19</v>
      </c>
      <c r="E1048" s="52">
        <v>12951000000</v>
      </c>
      <c r="F1048" s="52" t="s">
        <v>757</v>
      </c>
      <c r="G1048" s="52">
        <v>7515000000</v>
      </c>
      <c r="H1048" s="52" t="s">
        <v>757</v>
      </c>
      <c r="I1048" s="52">
        <v>3135000000</v>
      </c>
      <c r="J1048" s="51" t="s">
        <v>75</v>
      </c>
      <c r="K1048" s="51" t="s">
        <v>521</v>
      </c>
      <c r="L1048" s="41">
        <f t="shared" si="80"/>
        <v>12951000000</v>
      </c>
      <c r="M1048" s="41">
        <f t="shared" si="81"/>
        <v>10650000000</v>
      </c>
      <c r="N1048" s="41">
        <f t="shared" si="82"/>
        <v>2301000000</v>
      </c>
      <c r="O1048" s="41">
        <f t="shared" si="83"/>
        <v>0.17766967801714151</v>
      </c>
      <c r="P1048" s="41">
        <f t="shared" si="84"/>
        <v>0.17766967801714154</v>
      </c>
    </row>
    <row r="1049" spans="1:16" ht="19.95" customHeight="1">
      <c r="A1049" s="49">
        <v>1074</v>
      </c>
      <c r="B1049" s="50" t="s">
        <v>520</v>
      </c>
      <c r="C1049" s="51" t="s">
        <v>20</v>
      </c>
      <c r="D1049" s="51" t="s">
        <v>21</v>
      </c>
      <c r="E1049" s="52">
        <v>12893000000</v>
      </c>
      <c r="F1049" s="52" t="s">
        <v>757</v>
      </c>
      <c r="G1049" s="52">
        <v>7334000000</v>
      </c>
      <c r="H1049" s="52" t="s">
        <v>757</v>
      </c>
      <c r="I1049" s="52">
        <v>3140000000</v>
      </c>
      <c r="J1049" s="51" t="s">
        <v>75</v>
      </c>
      <c r="K1049" s="51" t="s">
        <v>521</v>
      </c>
      <c r="L1049" s="41">
        <f t="shared" si="80"/>
        <v>12893000000</v>
      </c>
      <c r="M1049" s="41">
        <f t="shared" si="81"/>
        <v>10474000000</v>
      </c>
      <c r="N1049" s="41">
        <f t="shared" si="82"/>
        <v>2419000000</v>
      </c>
      <c r="O1049" s="41">
        <f t="shared" si="83"/>
        <v>0.18762118979291087</v>
      </c>
      <c r="P1049" s="41">
        <f t="shared" si="84"/>
        <v>0.18762118979291087</v>
      </c>
    </row>
    <row r="1050" spans="1:16" ht="19.95" customHeight="1">
      <c r="A1050" s="49">
        <v>1075</v>
      </c>
      <c r="B1050" s="50" t="s">
        <v>522</v>
      </c>
      <c r="C1050" s="51" t="s">
        <v>11</v>
      </c>
      <c r="D1050" s="51" t="s">
        <v>17</v>
      </c>
      <c r="E1050" s="52">
        <v>30871000000</v>
      </c>
      <c r="F1050" s="52">
        <v>16106000000</v>
      </c>
      <c r="G1050" s="52">
        <v>6384000000</v>
      </c>
      <c r="H1050" s="52">
        <v>1715000000</v>
      </c>
      <c r="I1050" s="52" t="s">
        <v>757</v>
      </c>
      <c r="J1050" s="51" t="s">
        <v>14</v>
      </c>
      <c r="K1050" s="51" t="s">
        <v>224</v>
      </c>
      <c r="L1050" s="41">
        <f t="shared" si="80"/>
        <v>14765000000</v>
      </c>
      <c r="M1050" s="41">
        <f t="shared" si="81"/>
        <v>8099000000</v>
      </c>
      <c r="N1050" s="41">
        <f t="shared" si="82"/>
        <v>6666000000</v>
      </c>
      <c r="O1050" s="41">
        <f t="shared" si="83"/>
        <v>0.73765022189109519</v>
      </c>
      <c r="P1050" s="41">
        <f t="shared" si="84"/>
        <v>0.21593080884972951</v>
      </c>
    </row>
    <row r="1051" spans="1:16" ht="19.95" customHeight="1">
      <c r="A1051" s="49">
        <v>1076</v>
      </c>
      <c r="B1051" s="50" t="s">
        <v>522</v>
      </c>
      <c r="C1051" s="51" t="s">
        <v>16</v>
      </c>
      <c r="D1051" s="51" t="s">
        <v>19</v>
      </c>
      <c r="E1051" s="52">
        <v>31821000000</v>
      </c>
      <c r="F1051" s="52">
        <v>16447000000</v>
      </c>
      <c r="G1051" s="52">
        <v>6469000000</v>
      </c>
      <c r="H1051" s="52">
        <v>1770000000</v>
      </c>
      <c r="I1051" s="52" t="s">
        <v>757</v>
      </c>
      <c r="J1051" s="51" t="s">
        <v>14</v>
      </c>
      <c r="K1051" s="51" t="s">
        <v>224</v>
      </c>
      <c r="L1051" s="41">
        <f t="shared" si="80"/>
        <v>15374000000</v>
      </c>
      <c r="M1051" s="41">
        <f t="shared" si="81"/>
        <v>8239000000</v>
      </c>
      <c r="N1051" s="41">
        <f t="shared" si="82"/>
        <v>7135000000</v>
      </c>
      <c r="O1051" s="41">
        <f t="shared" si="83"/>
        <v>0.74108293265453629</v>
      </c>
      <c r="P1051" s="41">
        <f t="shared" si="84"/>
        <v>0.2242229973916596</v>
      </c>
    </row>
    <row r="1052" spans="1:16" ht="19.95" customHeight="1">
      <c r="A1052" s="49">
        <v>1077</v>
      </c>
      <c r="B1052" s="50" t="s">
        <v>522</v>
      </c>
      <c r="C1052" s="51" t="s">
        <v>18</v>
      </c>
      <c r="D1052" s="51" t="s">
        <v>21</v>
      </c>
      <c r="E1052" s="52">
        <v>30274000000</v>
      </c>
      <c r="F1052" s="52">
        <v>15383000000</v>
      </c>
      <c r="G1052" s="52">
        <v>6182000000</v>
      </c>
      <c r="H1052" s="52">
        <v>1763000000</v>
      </c>
      <c r="I1052" s="52" t="s">
        <v>757</v>
      </c>
      <c r="J1052" s="51" t="s">
        <v>14</v>
      </c>
      <c r="K1052" s="51" t="s">
        <v>224</v>
      </c>
      <c r="L1052" s="41">
        <f t="shared" si="80"/>
        <v>14891000000</v>
      </c>
      <c r="M1052" s="41">
        <f t="shared" si="81"/>
        <v>7945000000</v>
      </c>
      <c r="N1052" s="41">
        <f t="shared" si="82"/>
        <v>6946000000</v>
      </c>
      <c r="O1052" s="41">
        <f t="shared" si="83"/>
        <v>0.73756358591530691</v>
      </c>
      <c r="P1052" s="41">
        <f t="shared" si="84"/>
        <v>0.22943780141375439</v>
      </c>
    </row>
    <row r="1053" spans="1:16" ht="19.95" customHeight="1">
      <c r="A1053" s="49">
        <v>1078</v>
      </c>
      <c r="B1053" s="50" t="s">
        <v>522</v>
      </c>
      <c r="C1053" s="51" t="s">
        <v>20</v>
      </c>
      <c r="D1053" s="51" t="s">
        <v>84</v>
      </c>
      <c r="E1053" s="52">
        <v>30109000000</v>
      </c>
      <c r="F1053" s="52">
        <v>15040000000</v>
      </c>
      <c r="G1053" s="52">
        <v>6111000000</v>
      </c>
      <c r="H1053" s="52">
        <v>1735000000</v>
      </c>
      <c r="I1053" s="52" t="s">
        <v>757</v>
      </c>
      <c r="J1053" s="51" t="s">
        <v>14</v>
      </c>
      <c r="K1053" s="51" t="s">
        <v>224</v>
      </c>
      <c r="L1053" s="41">
        <f t="shared" si="80"/>
        <v>15069000000</v>
      </c>
      <c r="M1053" s="41">
        <f t="shared" si="81"/>
        <v>7846000000</v>
      </c>
      <c r="N1053" s="41">
        <f t="shared" si="82"/>
        <v>7223000000</v>
      </c>
      <c r="O1053" s="41">
        <f t="shared" si="83"/>
        <v>0.73941346441263411</v>
      </c>
      <c r="P1053" s="41">
        <f t="shared" si="84"/>
        <v>0.23989504799229466</v>
      </c>
    </row>
    <row r="1054" spans="1:16" ht="19.95" customHeight="1">
      <c r="A1054" s="49">
        <v>1079</v>
      </c>
      <c r="B1054" s="50" t="s">
        <v>523</v>
      </c>
      <c r="C1054" s="51" t="s">
        <v>11</v>
      </c>
      <c r="D1054" s="51" t="s">
        <v>12</v>
      </c>
      <c r="E1054" s="52">
        <v>2060702000</v>
      </c>
      <c r="F1054" s="52">
        <v>995046000</v>
      </c>
      <c r="G1054" s="52" t="s">
        <v>757</v>
      </c>
      <c r="H1054" s="52" t="s">
        <v>759</v>
      </c>
      <c r="I1054" s="52" t="s">
        <v>757</v>
      </c>
      <c r="J1054" s="51" t="s">
        <v>60</v>
      </c>
      <c r="K1054" s="51" t="s">
        <v>307</v>
      </c>
      <c r="L1054" s="41">
        <f t="shared" si="80"/>
        <v>1065656000</v>
      </c>
      <c r="M1054" s="41">
        <f t="shared" si="81"/>
        <v>0</v>
      </c>
      <c r="N1054" s="41">
        <f t="shared" si="82"/>
        <v>1065656000</v>
      </c>
      <c r="O1054" s="41">
        <f t="shared" si="83"/>
        <v>1</v>
      </c>
      <c r="P1054" s="41">
        <f t="shared" si="84"/>
        <v>0.51713251115396597</v>
      </c>
    </row>
    <row r="1055" spans="1:16" ht="19.95" customHeight="1">
      <c r="A1055" s="49">
        <v>1080</v>
      </c>
      <c r="B1055" s="50" t="s">
        <v>523</v>
      </c>
      <c r="C1055" s="51" t="s">
        <v>16</v>
      </c>
      <c r="D1055" s="51" t="s">
        <v>17</v>
      </c>
      <c r="E1055" s="52">
        <v>2246428000</v>
      </c>
      <c r="F1055" s="52">
        <v>1073497000</v>
      </c>
      <c r="G1055" s="52" t="s">
        <v>757</v>
      </c>
      <c r="H1055" s="52" t="s">
        <v>757</v>
      </c>
      <c r="I1055" s="52" t="s">
        <v>757</v>
      </c>
      <c r="J1055" s="51" t="s">
        <v>60</v>
      </c>
      <c r="K1055" s="51" t="s">
        <v>307</v>
      </c>
      <c r="L1055" s="41">
        <f t="shared" si="80"/>
        <v>1172931000</v>
      </c>
      <c r="M1055" s="41">
        <f t="shared" si="81"/>
        <v>0</v>
      </c>
      <c r="N1055" s="41">
        <f t="shared" si="82"/>
        <v>1172931000</v>
      </c>
      <c r="O1055" s="41">
        <f t="shared" si="83"/>
        <v>1</v>
      </c>
      <c r="P1055" s="41">
        <f t="shared" si="84"/>
        <v>0.52213157955652267</v>
      </c>
    </row>
    <row r="1056" spans="1:16" ht="19.95" customHeight="1">
      <c r="A1056" s="49">
        <v>1081</v>
      </c>
      <c r="B1056" s="50" t="s">
        <v>523</v>
      </c>
      <c r="C1056" s="51" t="s">
        <v>18</v>
      </c>
      <c r="D1056" s="51" t="s">
        <v>19</v>
      </c>
      <c r="E1056" s="52">
        <v>2464867000</v>
      </c>
      <c r="F1056" s="52">
        <v>1125057000</v>
      </c>
      <c r="G1056" s="52" t="s">
        <v>757</v>
      </c>
      <c r="H1056" s="52" t="s">
        <v>757</v>
      </c>
      <c r="I1056" s="52" t="s">
        <v>757</v>
      </c>
      <c r="J1056" s="51" t="s">
        <v>60</v>
      </c>
      <c r="K1056" s="51" t="s">
        <v>307</v>
      </c>
      <c r="L1056" s="41">
        <f t="shared" si="80"/>
        <v>1339810000</v>
      </c>
      <c r="M1056" s="41">
        <f t="shared" si="81"/>
        <v>0</v>
      </c>
      <c r="N1056" s="41">
        <f t="shared" si="82"/>
        <v>1339810000</v>
      </c>
      <c r="O1056" s="41">
        <f t="shared" si="83"/>
        <v>1</v>
      </c>
      <c r="P1056" s="41">
        <f t="shared" si="84"/>
        <v>0.54356279669450724</v>
      </c>
    </row>
    <row r="1057" spans="1:16" ht="19.95" customHeight="1">
      <c r="A1057" s="49">
        <v>1082</v>
      </c>
      <c r="B1057" s="50" t="s">
        <v>523</v>
      </c>
      <c r="C1057" s="51" t="s">
        <v>20</v>
      </c>
      <c r="D1057" s="51" t="s">
        <v>21</v>
      </c>
      <c r="E1057" s="52">
        <v>2722564000</v>
      </c>
      <c r="F1057" s="52">
        <v>1090263000</v>
      </c>
      <c r="G1057" s="52" t="s">
        <v>757</v>
      </c>
      <c r="H1057" s="52" t="s">
        <v>757</v>
      </c>
      <c r="I1057" s="52" t="s">
        <v>757</v>
      </c>
      <c r="J1057" s="51" t="s">
        <v>60</v>
      </c>
      <c r="K1057" s="51" t="s">
        <v>307</v>
      </c>
      <c r="L1057" s="41">
        <f t="shared" si="80"/>
        <v>1632301000</v>
      </c>
      <c r="M1057" s="41">
        <f t="shared" si="81"/>
        <v>0</v>
      </c>
      <c r="N1057" s="41">
        <f t="shared" si="82"/>
        <v>1632301000</v>
      </c>
      <c r="O1057" s="41">
        <f t="shared" si="83"/>
        <v>1</v>
      </c>
      <c r="P1057" s="41">
        <f t="shared" si="84"/>
        <v>0.59954550196065182</v>
      </c>
    </row>
    <row r="1058" spans="1:16" ht="19.95" customHeight="1">
      <c r="A1058" s="49">
        <v>1083</v>
      </c>
      <c r="B1058" s="50" t="s">
        <v>524</v>
      </c>
      <c r="C1058" s="51" t="s">
        <v>11</v>
      </c>
      <c r="D1058" s="51" t="s">
        <v>12</v>
      </c>
      <c r="E1058" s="52">
        <v>24618000000</v>
      </c>
      <c r="F1058" s="52">
        <v>15055000000</v>
      </c>
      <c r="G1058" s="52">
        <v>2249000000</v>
      </c>
      <c r="H1058" s="52" t="s">
        <v>757</v>
      </c>
      <c r="I1058" s="52" t="s">
        <v>757</v>
      </c>
      <c r="J1058" s="51" t="s">
        <v>60</v>
      </c>
      <c r="K1058" s="51" t="s">
        <v>525</v>
      </c>
      <c r="L1058" s="41">
        <f t="shared" si="80"/>
        <v>9563000000</v>
      </c>
      <c r="M1058" s="41">
        <f t="shared" si="81"/>
        <v>2249000000</v>
      </c>
      <c r="N1058" s="41">
        <f t="shared" si="82"/>
        <v>7314000000</v>
      </c>
      <c r="O1058" s="41">
        <f t="shared" si="83"/>
        <v>0.90864408156633358</v>
      </c>
      <c r="P1058" s="41">
        <f t="shared" si="84"/>
        <v>0.29709968315866442</v>
      </c>
    </row>
    <row r="1059" spans="1:16" ht="19.95" customHeight="1">
      <c r="A1059" s="49">
        <v>1084</v>
      </c>
      <c r="B1059" s="50" t="s">
        <v>524</v>
      </c>
      <c r="C1059" s="51" t="s">
        <v>16</v>
      </c>
      <c r="D1059" s="51" t="s">
        <v>17</v>
      </c>
      <c r="E1059" s="52">
        <v>24466000000</v>
      </c>
      <c r="F1059" s="52">
        <v>14009000000</v>
      </c>
      <c r="G1059" s="52">
        <v>2362000000</v>
      </c>
      <c r="H1059" s="52" t="s">
        <v>757</v>
      </c>
      <c r="I1059" s="52" t="s">
        <v>757</v>
      </c>
      <c r="J1059" s="51" t="s">
        <v>60</v>
      </c>
      <c r="K1059" s="51" t="s">
        <v>525</v>
      </c>
      <c r="L1059" s="41">
        <f t="shared" si="80"/>
        <v>10457000000</v>
      </c>
      <c r="M1059" s="41">
        <f t="shared" si="81"/>
        <v>2362000000</v>
      </c>
      <c r="N1059" s="41">
        <f t="shared" si="82"/>
        <v>8095000000</v>
      </c>
      <c r="O1059" s="41">
        <f t="shared" si="83"/>
        <v>0.90345785988719041</v>
      </c>
      <c r="P1059" s="41">
        <f t="shared" si="84"/>
        <v>0.33086732608517944</v>
      </c>
    </row>
    <row r="1060" spans="1:16" ht="19.95" customHeight="1">
      <c r="A1060" s="49">
        <v>1085</v>
      </c>
      <c r="B1060" s="50" t="s">
        <v>524</v>
      </c>
      <c r="C1060" s="51" t="s">
        <v>18</v>
      </c>
      <c r="D1060" s="51" t="s">
        <v>19</v>
      </c>
      <c r="E1060" s="52">
        <v>24522000000</v>
      </c>
      <c r="F1060" s="52">
        <v>14362000000</v>
      </c>
      <c r="G1060" s="52">
        <v>2541000000</v>
      </c>
      <c r="H1060" s="52" t="s">
        <v>757</v>
      </c>
      <c r="I1060" s="52" t="s">
        <v>757</v>
      </c>
      <c r="J1060" s="51" t="s">
        <v>60</v>
      </c>
      <c r="K1060" s="51" t="s">
        <v>525</v>
      </c>
      <c r="L1060" s="41">
        <f t="shared" si="80"/>
        <v>10160000000</v>
      </c>
      <c r="M1060" s="41">
        <f t="shared" si="81"/>
        <v>2541000000</v>
      </c>
      <c r="N1060" s="41">
        <f t="shared" si="82"/>
        <v>7619000000</v>
      </c>
      <c r="O1060" s="41">
        <f t="shared" si="83"/>
        <v>0.89637876192806454</v>
      </c>
      <c r="P1060" s="41">
        <f t="shared" si="84"/>
        <v>0.31070059538373707</v>
      </c>
    </row>
    <row r="1061" spans="1:16" ht="19.95" customHeight="1">
      <c r="A1061" s="49">
        <v>1086</v>
      </c>
      <c r="B1061" s="50" t="s">
        <v>524</v>
      </c>
      <c r="C1061" s="51" t="s">
        <v>20</v>
      </c>
      <c r="D1061" s="51" t="s">
        <v>21</v>
      </c>
      <c r="E1061" s="52">
        <v>25434000000</v>
      </c>
      <c r="F1061" s="52">
        <v>14320000000</v>
      </c>
      <c r="G1061" s="52">
        <v>2749000000</v>
      </c>
      <c r="H1061" s="52" t="s">
        <v>757</v>
      </c>
      <c r="I1061" s="52" t="s">
        <v>757</v>
      </c>
      <c r="J1061" s="51" t="s">
        <v>60</v>
      </c>
      <c r="K1061" s="51" t="s">
        <v>525</v>
      </c>
      <c r="L1061" s="41">
        <f t="shared" si="80"/>
        <v>11114000000</v>
      </c>
      <c r="M1061" s="41">
        <f t="shared" si="81"/>
        <v>2749000000</v>
      </c>
      <c r="N1061" s="41">
        <f t="shared" si="82"/>
        <v>8365000000</v>
      </c>
      <c r="O1061" s="41">
        <f t="shared" si="83"/>
        <v>0.89191633246834945</v>
      </c>
      <c r="P1061" s="41">
        <f t="shared" si="84"/>
        <v>0.32889046158685226</v>
      </c>
    </row>
    <row r="1062" spans="1:16" ht="19.95" customHeight="1">
      <c r="A1062" s="49">
        <v>1087</v>
      </c>
      <c r="B1062" s="50" t="s">
        <v>526</v>
      </c>
      <c r="C1062" s="51" t="s">
        <v>11</v>
      </c>
      <c r="D1062" s="51" t="s">
        <v>136</v>
      </c>
      <c r="E1062" s="52">
        <v>14861000000</v>
      </c>
      <c r="F1062" s="52">
        <v>7208000000</v>
      </c>
      <c r="G1062" s="52">
        <v>2550000000</v>
      </c>
      <c r="H1062" s="52">
        <v>1533000000</v>
      </c>
      <c r="I1062" s="52" t="s">
        <v>757</v>
      </c>
      <c r="J1062" s="51" t="s">
        <v>88</v>
      </c>
      <c r="K1062" s="51" t="s">
        <v>198</v>
      </c>
      <c r="L1062" s="41">
        <f t="shared" si="80"/>
        <v>7653000000</v>
      </c>
      <c r="M1062" s="41">
        <f t="shared" si="81"/>
        <v>4083000000</v>
      </c>
      <c r="N1062" s="41">
        <f t="shared" si="82"/>
        <v>3570000000</v>
      </c>
      <c r="O1062" s="41">
        <f t="shared" si="83"/>
        <v>0.72525402059080823</v>
      </c>
      <c r="P1062" s="41">
        <f t="shared" si="84"/>
        <v>0.24022609514837495</v>
      </c>
    </row>
    <row r="1063" spans="1:16" ht="19.95" customHeight="1">
      <c r="A1063" s="49">
        <v>1088</v>
      </c>
      <c r="B1063" s="50" t="s">
        <v>526</v>
      </c>
      <c r="C1063" s="51" t="s">
        <v>16</v>
      </c>
      <c r="D1063" s="51" t="s">
        <v>137</v>
      </c>
      <c r="E1063" s="52">
        <v>15855000000</v>
      </c>
      <c r="F1063" s="52">
        <v>7281000000</v>
      </c>
      <c r="G1063" s="52">
        <v>2774000000</v>
      </c>
      <c r="H1063" s="52">
        <v>1725000000</v>
      </c>
      <c r="I1063" s="52" t="s">
        <v>757</v>
      </c>
      <c r="J1063" s="51" t="s">
        <v>88</v>
      </c>
      <c r="K1063" s="51" t="s">
        <v>198</v>
      </c>
      <c r="L1063" s="41">
        <f t="shared" si="80"/>
        <v>8574000000</v>
      </c>
      <c r="M1063" s="41">
        <f t="shared" si="81"/>
        <v>4499000000</v>
      </c>
      <c r="N1063" s="41">
        <f t="shared" si="82"/>
        <v>4075000000</v>
      </c>
      <c r="O1063" s="41">
        <f t="shared" si="83"/>
        <v>0.71624093345947648</v>
      </c>
      <c r="P1063" s="41">
        <f t="shared" si="84"/>
        <v>0.25701671397035636</v>
      </c>
    </row>
    <row r="1064" spans="1:16" ht="19.95" customHeight="1">
      <c r="A1064" s="49">
        <v>1089</v>
      </c>
      <c r="B1064" s="50" t="s">
        <v>526</v>
      </c>
      <c r="C1064" s="51" t="s">
        <v>18</v>
      </c>
      <c r="D1064" s="51" t="s">
        <v>138</v>
      </c>
      <c r="E1064" s="52">
        <v>15001000000</v>
      </c>
      <c r="F1064" s="52">
        <v>6819000000</v>
      </c>
      <c r="G1064" s="52">
        <v>2686000000</v>
      </c>
      <c r="H1064" s="52">
        <v>1580000000</v>
      </c>
      <c r="I1064" s="52" t="s">
        <v>757</v>
      </c>
      <c r="J1064" s="51" t="s">
        <v>88</v>
      </c>
      <c r="K1064" s="51" t="s">
        <v>198</v>
      </c>
      <c r="L1064" s="41">
        <f t="shared" si="80"/>
        <v>8182000000</v>
      </c>
      <c r="M1064" s="41">
        <f t="shared" si="81"/>
        <v>4266000000</v>
      </c>
      <c r="N1064" s="41">
        <f t="shared" si="82"/>
        <v>3916000000</v>
      </c>
      <c r="O1064" s="41">
        <f t="shared" si="83"/>
        <v>0.71561895873608428</v>
      </c>
      <c r="P1064" s="41">
        <f t="shared" si="84"/>
        <v>0.26104926338244117</v>
      </c>
    </row>
    <row r="1065" spans="1:16" ht="19.95" customHeight="1">
      <c r="A1065" s="49">
        <v>1090</v>
      </c>
      <c r="B1065" s="50" t="s">
        <v>526</v>
      </c>
      <c r="C1065" s="51" t="s">
        <v>20</v>
      </c>
      <c r="D1065" s="51" t="s">
        <v>139</v>
      </c>
      <c r="E1065" s="52">
        <v>13502000000</v>
      </c>
      <c r="F1065" s="52">
        <v>6485000000</v>
      </c>
      <c r="G1065" s="52">
        <v>2833000000</v>
      </c>
      <c r="H1065" s="52">
        <v>1512000000</v>
      </c>
      <c r="I1065" s="52" t="s">
        <v>757</v>
      </c>
      <c r="J1065" s="51" t="s">
        <v>88</v>
      </c>
      <c r="K1065" s="51" t="s">
        <v>198</v>
      </c>
      <c r="L1065" s="41">
        <f t="shared" si="80"/>
        <v>7017000000</v>
      </c>
      <c r="M1065" s="41">
        <f t="shared" si="81"/>
        <v>4345000000</v>
      </c>
      <c r="N1065" s="41">
        <f t="shared" si="82"/>
        <v>2672000000</v>
      </c>
      <c r="O1065" s="41">
        <f t="shared" si="83"/>
        <v>0.6781958228410605</v>
      </c>
      <c r="P1065" s="41">
        <f t="shared" si="84"/>
        <v>0.19789660790993926</v>
      </c>
    </row>
    <row r="1066" spans="1:16" ht="19.95" customHeight="1">
      <c r="A1066" s="49">
        <v>1091</v>
      </c>
      <c r="B1066" s="50" t="s">
        <v>527</v>
      </c>
      <c r="C1066" s="51" t="s">
        <v>11</v>
      </c>
      <c r="D1066" s="51" t="s">
        <v>263</v>
      </c>
      <c r="E1066" s="52">
        <v>9974100000</v>
      </c>
      <c r="F1066" s="52">
        <v>7213900000</v>
      </c>
      <c r="G1066" s="52">
        <v>550600000</v>
      </c>
      <c r="H1066" s="52" t="s">
        <v>757</v>
      </c>
      <c r="I1066" s="52" t="s">
        <v>757</v>
      </c>
      <c r="J1066" s="51" t="s">
        <v>88</v>
      </c>
      <c r="K1066" s="51" t="s">
        <v>198</v>
      </c>
      <c r="L1066" s="41">
        <f t="shared" si="80"/>
        <v>2760200000</v>
      </c>
      <c r="M1066" s="41">
        <f t="shared" si="81"/>
        <v>550600000</v>
      </c>
      <c r="N1066" s="41">
        <f t="shared" si="82"/>
        <v>2209600000</v>
      </c>
      <c r="O1066" s="41">
        <f t="shared" si="83"/>
        <v>0.94479702429291867</v>
      </c>
      <c r="P1066" s="41">
        <f t="shared" si="84"/>
        <v>0.22153377247069911</v>
      </c>
    </row>
    <row r="1067" spans="1:16" ht="19.95" customHeight="1">
      <c r="A1067" s="49">
        <v>1092</v>
      </c>
      <c r="B1067" s="50" t="s">
        <v>527</v>
      </c>
      <c r="C1067" s="51" t="s">
        <v>16</v>
      </c>
      <c r="D1067" s="51" t="s">
        <v>19</v>
      </c>
      <c r="E1067" s="52">
        <v>9055800000</v>
      </c>
      <c r="F1067" s="52">
        <v>7129200000</v>
      </c>
      <c r="G1067" s="52">
        <v>505800000</v>
      </c>
      <c r="H1067" s="52" t="s">
        <v>757</v>
      </c>
      <c r="I1067" s="52" t="s">
        <v>757</v>
      </c>
      <c r="J1067" s="51" t="s">
        <v>88</v>
      </c>
      <c r="K1067" s="51" t="s">
        <v>198</v>
      </c>
      <c r="L1067" s="41">
        <f t="shared" si="80"/>
        <v>1926600000</v>
      </c>
      <c r="M1067" s="41">
        <f t="shared" si="81"/>
        <v>505800000</v>
      </c>
      <c r="N1067" s="41">
        <f t="shared" si="82"/>
        <v>1420800000</v>
      </c>
      <c r="O1067" s="41">
        <f t="shared" si="83"/>
        <v>0.94414629298350228</v>
      </c>
      <c r="P1067" s="41">
        <f t="shared" si="84"/>
        <v>0.15689392433578481</v>
      </c>
    </row>
    <row r="1068" spans="1:16" ht="19.95" customHeight="1">
      <c r="A1068" s="49">
        <v>1093</v>
      </c>
      <c r="B1068" s="50" t="s">
        <v>527</v>
      </c>
      <c r="C1068" s="51" t="s">
        <v>18</v>
      </c>
      <c r="D1068" s="51" t="s">
        <v>21</v>
      </c>
      <c r="E1068" s="52">
        <v>8895300000</v>
      </c>
      <c r="F1068" s="52">
        <v>7177400000</v>
      </c>
      <c r="G1068" s="52">
        <v>439100000</v>
      </c>
      <c r="H1068" s="52" t="s">
        <v>757</v>
      </c>
      <c r="I1068" s="52" t="s">
        <v>757</v>
      </c>
      <c r="J1068" s="51" t="s">
        <v>88</v>
      </c>
      <c r="K1068" s="51" t="s">
        <v>198</v>
      </c>
      <c r="L1068" s="41">
        <f t="shared" si="80"/>
        <v>1717900000</v>
      </c>
      <c r="M1068" s="41">
        <f t="shared" si="81"/>
        <v>439100000</v>
      </c>
      <c r="N1068" s="41">
        <f t="shared" si="82"/>
        <v>1278800000</v>
      </c>
      <c r="O1068" s="41">
        <f t="shared" si="83"/>
        <v>0.95063685316965141</v>
      </c>
      <c r="P1068" s="41">
        <f t="shared" si="84"/>
        <v>0.14376131215360921</v>
      </c>
    </row>
    <row r="1069" spans="1:16" ht="19.95" customHeight="1">
      <c r="A1069" s="49">
        <v>1094</v>
      </c>
      <c r="B1069" s="50" t="s">
        <v>527</v>
      </c>
      <c r="C1069" s="51" t="s">
        <v>20</v>
      </c>
      <c r="D1069" s="51" t="s">
        <v>84</v>
      </c>
      <c r="E1069" s="52">
        <v>7162800000</v>
      </c>
      <c r="F1069" s="52">
        <v>6352800000</v>
      </c>
      <c r="G1069" s="52">
        <v>491000000</v>
      </c>
      <c r="H1069" s="52" t="s">
        <v>757</v>
      </c>
      <c r="I1069" s="52" t="s">
        <v>757</v>
      </c>
      <c r="J1069" s="51" t="s">
        <v>88</v>
      </c>
      <c r="K1069" s="51" t="s">
        <v>198</v>
      </c>
      <c r="L1069" s="41">
        <f t="shared" si="80"/>
        <v>810000000</v>
      </c>
      <c r="M1069" s="41">
        <f t="shared" si="81"/>
        <v>491000000</v>
      </c>
      <c r="N1069" s="41">
        <f t="shared" si="82"/>
        <v>319000000</v>
      </c>
      <c r="O1069" s="41">
        <f t="shared" si="83"/>
        <v>0.93145138772547043</v>
      </c>
      <c r="P1069" s="41">
        <f t="shared" si="84"/>
        <v>4.4535656447199416E-2</v>
      </c>
    </row>
    <row r="1070" spans="1:16" ht="19.95" customHeight="1">
      <c r="A1070" s="49">
        <v>1095</v>
      </c>
      <c r="B1070" s="50" t="s">
        <v>528</v>
      </c>
      <c r="C1070" s="51" t="s">
        <v>11</v>
      </c>
      <c r="D1070" s="51" t="s">
        <v>12</v>
      </c>
      <c r="E1070" s="52">
        <v>82243000000</v>
      </c>
      <c r="F1070" s="52">
        <v>68948000000</v>
      </c>
      <c r="G1070" s="52">
        <v>7202000000</v>
      </c>
      <c r="H1070" s="52" t="s">
        <v>757</v>
      </c>
      <c r="I1070" s="52">
        <v>995000000</v>
      </c>
      <c r="J1070" s="51" t="s">
        <v>116</v>
      </c>
      <c r="K1070" s="51" t="s">
        <v>462</v>
      </c>
      <c r="L1070" s="41">
        <f t="shared" si="80"/>
        <v>13295000000</v>
      </c>
      <c r="M1070" s="41">
        <f t="shared" si="81"/>
        <v>8197000000</v>
      </c>
      <c r="N1070" s="41">
        <f t="shared" si="82"/>
        <v>5098000000</v>
      </c>
      <c r="O1070" s="41">
        <f t="shared" si="83"/>
        <v>0.90033194314409737</v>
      </c>
      <c r="P1070" s="41">
        <f t="shared" si="84"/>
        <v>6.198703841056382E-2</v>
      </c>
    </row>
    <row r="1071" spans="1:16" ht="19.95" customHeight="1">
      <c r="A1071" s="53">
        <v>1096</v>
      </c>
      <c r="B1071" s="54" t="s">
        <v>528</v>
      </c>
      <c r="C1071" s="55" t="s">
        <v>16</v>
      </c>
      <c r="D1071" s="55" t="s">
        <v>17</v>
      </c>
      <c r="E1071" s="56">
        <v>1001600000</v>
      </c>
      <c r="F1071" s="56">
        <v>87758000000</v>
      </c>
      <c r="G1071" s="56">
        <v>7851000000</v>
      </c>
      <c r="H1071" s="56" t="s">
        <v>757</v>
      </c>
      <c r="I1071" s="56">
        <v>1220000000</v>
      </c>
      <c r="J1071" s="55" t="s">
        <v>116</v>
      </c>
      <c r="K1071" s="55" t="s">
        <v>462</v>
      </c>
      <c r="L1071" s="57">
        <f t="shared" si="80"/>
        <v>-86756400000</v>
      </c>
      <c r="M1071" s="57">
        <f t="shared" si="81"/>
        <v>9071000000</v>
      </c>
      <c r="N1071" s="57">
        <f t="shared" si="82"/>
        <v>-95827400000</v>
      </c>
      <c r="O1071" s="57">
        <f t="shared" si="83"/>
        <v>-8.0565095846645374</v>
      </c>
      <c r="P1071" s="57">
        <f t="shared" si="84"/>
        <v>-95.674321086261983</v>
      </c>
    </row>
    <row r="1072" spans="1:16" ht="19.95" customHeight="1">
      <c r="A1072" s="49">
        <v>1097</v>
      </c>
      <c r="B1072" s="50" t="s">
        <v>528</v>
      </c>
      <c r="C1072" s="51" t="s">
        <v>18</v>
      </c>
      <c r="D1072" s="51" t="s">
        <v>19</v>
      </c>
      <c r="E1072" s="52">
        <v>97817000000</v>
      </c>
      <c r="F1072" s="52">
        <v>84275000000</v>
      </c>
      <c r="G1072" s="52">
        <v>8450000000</v>
      </c>
      <c r="H1072" s="52" t="s">
        <v>757</v>
      </c>
      <c r="I1072" s="52">
        <v>1326000000</v>
      </c>
      <c r="J1072" s="51" t="s">
        <v>116</v>
      </c>
      <c r="K1072" s="51" t="s">
        <v>462</v>
      </c>
      <c r="L1072" s="41">
        <f t="shared" si="80"/>
        <v>13542000000</v>
      </c>
      <c r="M1072" s="41">
        <f t="shared" si="81"/>
        <v>9776000000</v>
      </c>
      <c r="N1072" s="41">
        <f t="shared" si="82"/>
        <v>3766000000</v>
      </c>
      <c r="O1072" s="41">
        <f t="shared" si="83"/>
        <v>0.9000582720794954</v>
      </c>
      <c r="P1072" s="41">
        <f t="shared" si="84"/>
        <v>3.8500465154318778E-2</v>
      </c>
    </row>
    <row r="1073" spans="1:16" ht="19.95" customHeight="1">
      <c r="A1073" s="49">
        <v>1098</v>
      </c>
      <c r="B1073" s="50" t="s">
        <v>528</v>
      </c>
      <c r="C1073" s="51" t="s">
        <v>20</v>
      </c>
      <c r="D1073" s="51" t="s">
        <v>21</v>
      </c>
      <c r="E1073" s="52">
        <v>72051000000</v>
      </c>
      <c r="F1073" s="52">
        <v>55891000000</v>
      </c>
      <c r="G1073" s="52">
        <v>10029000000</v>
      </c>
      <c r="H1073" s="52" t="s">
        <v>757</v>
      </c>
      <c r="I1073" s="52">
        <v>1646000000</v>
      </c>
      <c r="J1073" s="51" t="s">
        <v>116</v>
      </c>
      <c r="K1073" s="51" t="s">
        <v>462</v>
      </c>
      <c r="L1073" s="41">
        <f t="shared" si="80"/>
        <v>16160000000</v>
      </c>
      <c r="M1073" s="41">
        <f t="shared" si="81"/>
        <v>11675000000</v>
      </c>
      <c r="N1073" s="41">
        <f t="shared" si="82"/>
        <v>4485000000</v>
      </c>
      <c r="O1073" s="41">
        <f t="shared" si="83"/>
        <v>0.83796199913949843</v>
      </c>
      <c r="P1073" s="41">
        <f t="shared" si="84"/>
        <v>6.2247574634633804E-2</v>
      </c>
    </row>
    <row r="1074" spans="1:16" ht="19.95" customHeight="1">
      <c r="A1074" s="49">
        <v>1099</v>
      </c>
      <c r="B1074" s="50" t="s">
        <v>529</v>
      </c>
      <c r="C1074" s="51" t="s">
        <v>11</v>
      </c>
      <c r="D1074" s="51" t="s">
        <v>12</v>
      </c>
      <c r="E1074" s="52">
        <v>47267000000</v>
      </c>
      <c r="F1074" s="52">
        <v>16446000000</v>
      </c>
      <c r="G1074" s="52">
        <v>12776000000</v>
      </c>
      <c r="H1074" s="52">
        <v>8168000000</v>
      </c>
      <c r="I1074" s="52" t="s">
        <v>757</v>
      </c>
      <c r="J1074" s="51" t="s">
        <v>37</v>
      </c>
      <c r="K1074" s="51" t="s">
        <v>38</v>
      </c>
      <c r="L1074" s="41">
        <f t="shared" si="80"/>
        <v>30821000000</v>
      </c>
      <c r="M1074" s="41">
        <f t="shared" si="81"/>
        <v>20944000000</v>
      </c>
      <c r="N1074" s="41">
        <f t="shared" si="82"/>
        <v>9877000000</v>
      </c>
      <c r="O1074" s="41">
        <f t="shared" si="83"/>
        <v>0.55690016290435185</v>
      </c>
      <c r="P1074" s="41">
        <f t="shared" si="84"/>
        <v>0.20896185499397044</v>
      </c>
    </row>
    <row r="1075" spans="1:16" ht="19.95" customHeight="1">
      <c r="A1075" s="49">
        <v>1100</v>
      </c>
      <c r="B1075" s="50" t="s">
        <v>529</v>
      </c>
      <c r="C1075" s="51" t="s">
        <v>16</v>
      </c>
      <c r="D1075" s="51" t="s">
        <v>17</v>
      </c>
      <c r="E1075" s="52">
        <v>44033000000</v>
      </c>
      <c r="F1075" s="52">
        <v>16954000000</v>
      </c>
      <c r="G1075" s="52">
        <v>11911000000</v>
      </c>
      <c r="H1075" s="52">
        <v>7503000000</v>
      </c>
      <c r="I1075" s="52" t="s">
        <v>757</v>
      </c>
      <c r="J1075" s="51" t="s">
        <v>37</v>
      </c>
      <c r="K1075" s="51" t="s">
        <v>38</v>
      </c>
      <c r="L1075" s="41">
        <f t="shared" si="80"/>
        <v>27079000000</v>
      </c>
      <c r="M1075" s="41">
        <f t="shared" si="81"/>
        <v>19414000000</v>
      </c>
      <c r="N1075" s="41">
        <f t="shared" si="82"/>
        <v>7665000000</v>
      </c>
      <c r="O1075" s="41">
        <f t="shared" si="83"/>
        <v>0.5591033997229351</v>
      </c>
      <c r="P1075" s="41">
        <f t="shared" si="84"/>
        <v>0.17407398996207391</v>
      </c>
    </row>
    <row r="1076" spans="1:16" ht="19.95" customHeight="1">
      <c r="A1076" s="49">
        <v>1101</v>
      </c>
      <c r="B1076" s="50" t="s">
        <v>529</v>
      </c>
      <c r="C1076" s="51" t="s">
        <v>18</v>
      </c>
      <c r="D1076" s="51" t="s">
        <v>19</v>
      </c>
      <c r="E1076" s="52">
        <v>42237000000</v>
      </c>
      <c r="F1076" s="52">
        <v>16768000000</v>
      </c>
      <c r="G1076" s="52">
        <v>11606000000</v>
      </c>
      <c r="H1076" s="52">
        <v>7180000000</v>
      </c>
      <c r="I1076" s="52" t="s">
        <v>757</v>
      </c>
      <c r="J1076" s="51" t="s">
        <v>37</v>
      </c>
      <c r="K1076" s="51" t="s">
        <v>38</v>
      </c>
      <c r="L1076" s="41">
        <f t="shared" si="80"/>
        <v>25469000000</v>
      </c>
      <c r="M1076" s="41">
        <f t="shared" si="81"/>
        <v>18786000000</v>
      </c>
      <c r="N1076" s="41">
        <f t="shared" si="82"/>
        <v>6683000000</v>
      </c>
      <c r="O1076" s="41">
        <f t="shared" si="83"/>
        <v>0.55522409262021455</v>
      </c>
      <c r="P1076" s="41">
        <f t="shared" si="84"/>
        <v>0.15822619977744631</v>
      </c>
    </row>
    <row r="1077" spans="1:16" ht="19.95" customHeight="1">
      <c r="A1077" s="49">
        <v>1102</v>
      </c>
      <c r="B1077" s="50" t="s">
        <v>529</v>
      </c>
      <c r="C1077" s="51" t="s">
        <v>20</v>
      </c>
      <c r="D1077" s="51" t="s">
        <v>21</v>
      </c>
      <c r="E1077" s="52">
        <v>39498000000</v>
      </c>
      <c r="F1077" s="52">
        <v>14934000000</v>
      </c>
      <c r="G1077" s="52">
        <v>10313000000</v>
      </c>
      <c r="H1077" s="52">
        <v>6704000000</v>
      </c>
      <c r="I1077" s="52" t="s">
        <v>757</v>
      </c>
      <c r="J1077" s="51" t="s">
        <v>37</v>
      </c>
      <c r="K1077" s="51" t="s">
        <v>38</v>
      </c>
      <c r="L1077" s="41">
        <f t="shared" si="80"/>
        <v>24564000000</v>
      </c>
      <c r="M1077" s="41">
        <f t="shared" si="81"/>
        <v>17017000000</v>
      </c>
      <c r="N1077" s="41">
        <f t="shared" si="82"/>
        <v>7547000000</v>
      </c>
      <c r="O1077" s="41">
        <f t="shared" si="83"/>
        <v>0.56916805914223501</v>
      </c>
      <c r="P1077" s="41">
        <f t="shared" si="84"/>
        <v>0.19107296571978327</v>
      </c>
    </row>
    <row r="1078" spans="1:16" ht="19.95" customHeight="1">
      <c r="A1078" s="49">
        <v>1103</v>
      </c>
      <c r="B1078" s="50" t="s">
        <v>530</v>
      </c>
      <c r="C1078" s="51" t="s">
        <v>11</v>
      </c>
      <c r="D1078" s="51" t="s">
        <v>12</v>
      </c>
      <c r="E1078" s="52">
        <v>11966000000</v>
      </c>
      <c r="F1078" s="52">
        <v>2079000000</v>
      </c>
      <c r="G1078" s="52">
        <v>4017000000</v>
      </c>
      <c r="H1078" s="52" t="s">
        <v>757</v>
      </c>
      <c r="I1078" s="52">
        <v>2008000000</v>
      </c>
      <c r="J1078" s="51" t="s">
        <v>116</v>
      </c>
      <c r="K1078" s="51" t="s">
        <v>117</v>
      </c>
      <c r="L1078" s="41">
        <f t="shared" si="80"/>
        <v>9887000000</v>
      </c>
      <c r="M1078" s="41">
        <f t="shared" si="81"/>
        <v>6025000000</v>
      </c>
      <c r="N1078" s="41">
        <f t="shared" si="82"/>
        <v>3862000000</v>
      </c>
      <c r="O1078" s="41">
        <f t="shared" si="83"/>
        <v>0.49649005515627609</v>
      </c>
      <c r="P1078" s="41">
        <f t="shared" si="84"/>
        <v>0.32274778539194382</v>
      </c>
    </row>
    <row r="1079" spans="1:16" ht="19.95" customHeight="1">
      <c r="A1079" s="53">
        <v>1104</v>
      </c>
      <c r="B1079" s="54" t="s">
        <v>530</v>
      </c>
      <c r="C1079" s="55" t="s">
        <v>16</v>
      </c>
      <c r="D1079" s="55" t="s">
        <v>17</v>
      </c>
      <c r="E1079" s="56">
        <v>11325000000</v>
      </c>
      <c r="F1079" s="56">
        <v>2156000000</v>
      </c>
      <c r="G1079" s="56">
        <v>3469000000</v>
      </c>
      <c r="H1079" s="56" t="s">
        <v>757</v>
      </c>
      <c r="I1079" s="56">
        <v>2500000000</v>
      </c>
      <c r="J1079" s="55" t="s">
        <v>116</v>
      </c>
      <c r="K1079" s="55" t="s">
        <v>117</v>
      </c>
      <c r="L1079" s="57">
        <f t="shared" si="80"/>
        <v>9169000000</v>
      </c>
      <c r="M1079" s="57">
        <f t="shared" si="81"/>
        <v>5969000000</v>
      </c>
      <c r="N1079" s="57">
        <f t="shared" si="82"/>
        <v>3200000000</v>
      </c>
      <c r="O1079" s="57">
        <f t="shared" si="83"/>
        <v>0.47293598233995582</v>
      </c>
      <c r="P1079" s="57">
        <f t="shared" si="84"/>
        <v>0.282560706401766</v>
      </c>
    </row>
    <row r="1080" spans="1:16" ht="19.95" customHeight="1">
      <c r="A1080" s="49">
        <v>1105</v>
      </c>
      <c r="B1080" s="50" t="s">
        <v>530</v>
      </c>
      <c r="C1080" s="51" t="s">
        <v>18</v>
      </c>
      <c r="D1080" s="51" t="s">
        <v>19</v>
      </c>
      <c r="E1080" s="52">
        <v>10846000000</v>
      </c>
      <c r="F1080" s="52">
        <v>2246000000</v>
      </c>
      <c r="G1080" s="52">
        <v>3627000000</v>
      </c>
      <c r="H1080" s="52" t="s">
        <v>757</v>
      </c>
      <c r="I1080" s="52">
        <v>2861000000</v>
      </c>
      <c r="J1080" s="51" t="s">
        <v>116</v>
      </c>
      <c r="K1080" s="51" t="s">
        <v>117</v>
      </c>
      <c r="L1080" s="41">
        <f t="shared" si="80"/>
        <v>8600000000</v>
      </c>
      <c r="M1080" s="41">
        <f t="shared" si="81"/>
        <v>6488000000</v>
      </c>
      <c r="N1080" s="41">
        <f t="shared" si="82"/>
        <v>2112000000</v>
      </c>
      <c r="O1080" s="41">
        <f t="shared" si="83"/>
        <v>0.40180711783145862</v>
      </c>
      <c r="P1080" s="41">
        <f t="shared" si="84"/>
        <v>0.1947261663286004</v>
      </c>
    </row>
    <row r="1081" spans="1:16" ht="19.95" customHeight="1">
      <c r="A1081" s="49">
        <v>1106</v>
      </c>
      <c r="B1081" s="50" t="s">
        <v>530</v>
      </c>
      <c r="C1081" s="51" t="s">
        <v>20</v>
      </c>
      <c r="D1081" s="51" t="s">
        <v>21</v>
      </c>
      <c r="E1081" s="52">
        <v>5522000000</v>
      </c>
      <c r="F1081" s="52">
        <v>1694000000</v>
      </c>
      <c r="G1081" s="52">
        <v>1831000000</v>
      </c>
      <c r="H1081" s="52" t="s">
        <v>757</v>
      </c>
      <c r="I1081" s="52">
        <v>2957000000</v>
      </c>
      <c r="J1081" s="51" t="s">
        <v>116</v>
      </c>
      <c r="K1081" s="51" t="s">
        <v>117</v>
      </c>
      <c r="L1081" s="41">
        <f t="shared" si="80"/>
        <v>3828000000</v>
      </c>
      <c r="M1081" s="41">
        <f t="shared" si="81"/>
        <v>4788000000</v>
      </c>
      <c r="N1081" s="41">
        <f t="shared" si="82"/>
        <v>-960000000</v>
      </c>
      <c r="O1081" s="41">
        <f t="shared" si="83"/>
        <v>0.13292285403839188</v>
      </c>
      <c r="P1081" s="41">
        <f t="shared" si="84"/>
        <v>-0.17385005432814199</v>
      </c>
    </row>
    <row r="1082" spans="1:16" ht="19.95" customHeight="1">
      <c r="A1082" s="49">
        <v>1107</v>
      </c>
      <c r="B1082" s="50" t="s">
        <v>531</v>
      </c>
      <c r="C1082" s="51" t="s">
        <v>11</v>
      </c>
      <c r="D1082" s="51" t="s">
        <v>178</v>
      </c>
      <c r="E1082" s="52">
        <v>77849000000</v>
      </c>
      <c r="F1082" s="52">
        <v>20385000000</v>
      </c>
      <c r="G1082" s="52">
        <v>20289000000</v>
      </c>
      <c r="H1082" s="52">
        <v>10411000000</v>
      </c>
      <c r="I1082" s="52" t="s">
        <v>757</v>
      </c>
      <c r="J1082" s="51" t="s">
        <v>31</v>
      </c>
      <c r="K1082" s="51" t="s">
        <v>532</v>
      </c>
      <c r="L1082" s="41">
        <f t="shared" si="80"/>
        <v>57464000000</v>
      </c>
      <c r="M1082" s="41">
        <f t="shared" si="81"/>
        <v>30700000000</v>
      </c>
      <c r="N1082" s="41">
        <f t="shared" si="82"/>
        <v>26764000000</v>
      </c>
      <c r="O1082" s="41">
        <f t="shared" si="83"/>
        <v>0.60564682911790779</v>
      </c>
      <c r="P1082" s="41">
        <f t="shared" si="84"/>
        <v>0.34379375457616668</v>
      </c>
    </row>
    <row r="1083" spans="1:16" ht="19.95" customHeight="1">
      <c r="A1083" s="49">
        <v>1108</v>
      </c>
      <c r="B1083" s="50" t="s">
        <v>531</v>
      </c>
      <c r="C1083" s="51" t="s">
        <v>16</v>
      </c>
      <c r="D1083" s="51" t="s">
        <v>179</v>
      </c>
      <c r="E1083" s="52">
        <v>86833000000</v>
      </c>
      <c r="F1083" s="52">
        <v>27078000000</v>
      </c>
      <c r="G1083" s="52">
        <v>20488000000</v>
      </c>
      <c r="H1083" s="52">
        <v>11381000000</v>
      </c>
      <c r="I1083" s="52" t="s">
        <v>757</v>
      </c>
      <c r="J1083" s="51" t="s">
        <v>31</v>
      </c>
      <c r="K1083" s="51" t="s">
        <v>532</v>
      </c>
      <c r="L1083" s="41">
        <f t="shared" si="80"/>
        <v>59755000000</v>
      </c>
      <c r="M1083" s="41">
        <f t="shared" si="81"/>
        <v>31869000000</v>
      </c>
      <c r="N1083" s="41">
        <f t="shared" si="82"/>
        <v>27886000000</v>
      </c>
      <c r="O1083" s="41">
        <f t="shared" si="83"/>
        <v>0.63298515541326461</v>
      </c>
      <c r="P1083" s="41">
        <f t="shared" si="84"/>
        <v>0.32114518673776099</v>
      </c>
    </row>
    <row r="1084" spans="1:16" ht="19.95" customHeight="1">
      <c r="A1084" s="49">
        <v>1109</v>
      </c>
      <c r="B1084" s="50" t="s">
        <v>531</v>
      </c>
      <c r="C1084" s="51" t="s">
        <v>18</v>
      </c>
      <c r="D1084" s="51" t="s">
        <v>180</v>
      </c>
      <c r="E1084" s="52">
        <v>93580000000</v>
      </c>
      <c r="F1084" s="52">
        <v>33038000000</v>
      </c>
      <c r="G1084" s="52">
        <v>20324000000</v>
      </c>
      <c r="H1084" s="52">
        <v>12046000000</v>
      </c>
      <c r="I1084" s="52" t="s">
        <v>757</v>
      </c>
      <c r="J1084" s="51" t="s">
        <v>31</v>
      </c>
      <c r="K1084" s="51" t="s">
        <v>532</v>
      </c>
      <c r="L1084" s="41">
        <f t="shared" si="80"/>
        <v>60542000000</v>
      </c>
      <c r="M1084" s="41">
        <f t="shared" si="81"/>
        <v>32370000000</v>
      </c>
      <c r="N1084" s="41">
        <f t="shared" si="82"/>
        <v>28172000000</v>
      </c>
      <c r="O1084" s="41">
        <f t="shared" si="83"/>
        <v>0.65409275486215002</v>
      </c>
      <c r="P1084" s="41">
        <f t="shared" si="84"/>
        <v>0.30104723231459712</v>
      </c>
    </row>
    <row r="1085" spans="1:16" ht="19.95" customHeight="1">
      <c r="A1085" s="49">
        <v>1110</v>
      </c>
      <c r="B1085" s="50" t="s">
        <v>531</v>
      </c>
      <c r="C1085" s="51" t="s">
        <v>20</v>
      </c>
      <c r="D1085" s="51" t="s">
        <v>181</v>
      </c>
      <c r="E1085" s="52">
        <v>85320000000</v>
      </c>
      <c r="F1085" s="52">
        <v>32780000000</v>
      </c>
      <c r="G1085" s="52">
        <v>19260000000</v>
      </c>
      <c r="H1085" s="52">
        <v>11988000000</v>
      </c>
      <c r="I1085" s="52" t="s">
        <v>757</v>
      </c>
      <c r="J1085" s="51" t="s">
        <v>31</v>
      </c>
      <c r="K1085" s="51" t="s">
        <v>532</v>
      </c>
      <c r="L1085" s="41">
        <f t="shared" si="80"/>
        <v>52540000000</v>
      </c>
      <c r="M1085" s="41">
        <f t="shared" si="81"/>
        <v>31248000000</v>
      </c>
      <c r="N1085" s="41">
        <f t="shared" si="82"/>
        <v>21292000000</v>
      </c>
      <c r="O1085" s="41">
        <f t="shared" si="83"/>
        <v>0.63375527426160339</v>
      </c>
      <c r="P1085" s="41">
        <f t="shared" si="84"/>
        <v>0.24955461790904829</v>
      </c>
    </row>
    <row r="1086" spans="1:16" ht="19.95" customHeight="1">
      <c r="A1086" s="49">
        <v>1111</v>
      </c>
      <c r="B1086" s="50" t="s">
        <v>533</v>
      </c>
      <c r="C1086" s="51" t="s">
        <v>11</v>
      </c>
      <c r="D1086" s="51" t="s">
        <v>12</v>
      </c>
      <c r="E1086" s="52">
        <v>4608955000</v>
      </c>
      <c r="F1086" s="52">
        <v>116586000</v>
      </c>
      <c r="G1086" s="52">
        <v>2448629000</v>
      </c>
      <c r="H1086" s="52" t="s">
        <v>757</v>
      </c>
      <c r="I1086" s="52">
        <v>264631000</v>
      </c>
      <c r="J1086" s="51" t="s">
        <v>75</v>
      </c>
      <c r="K1086" s="51" t="s">
        <v>146</v>
      </c>
      <c r="L1086" s="41">
        <f t="shared" si="80"/>
        <v>4492369000</v>
      </c>
      <c r="M1086" s="41">
        <f t="shared" si="81"/>
        <v>2713260000</v>
      </c>
      <c r="N1086" s="41">
        <f t="shared" si="82"/>
        <v>1779109000</v>
      </c>
      <c r="O1086" s="41">
        <f t="shared" si="83"/>
        <v>0.41130690145596993</v>
      </c>
      <c r="P1086" s="41">
        <f t="shared" si="84"/>
        <v>0.38601136266246905</v>
      </c>
    </row>
    <row r="1087" spans="1:16" ht="19.95" customHeight="1">
      <c r="A1087" s="53">
        <v>1112</v>
      </c>
      <c r="B1087" s="54" t="s">
        <v>533</v>
      </c>
      <c r="C1087" s="55" t="s">
        <v>16</v>
      </c>
      <c r="D1087" s="55" t="s">
        <v>17</v>
      </c>
      <c r="E1087" s="56">
        <v>4822539000</v>
      </c>
      <c r="F1087" s="56">
        <v>83692000</v>
      </c>
      <c r="G1087" s="56">
        <v>2540954000</v>
      </c>
      <c r="H1087" s="56" t="s">
        <v>757</v>
      </c>
      <c r="I1087" s="56">
        <v>231912000</v>
      </c>
      <c r="J1087" s="55" t="s">
        <v>75</v>
      </c>
      <c r="K1087" s="55" t="s">
        <v>146</v>
      </c>
      <c r="L1087" s="57">
        <f t="shared" si="80"/>
        <v>4738847000</v>
      </c>
      <c r="M1087" s="57">
        <f t="shared" si="81"/>
        <v>2772866000</v>
      </c>
      <c r="N1087" s="57">
        <f t="shared" si="82"/>
        <v>1965981000</v>
      </c>
      <c r="O1087" s="57">
        <f t="shared" si="83"/>
        <v>0.4250194762551428</v>
      </c>
      <c r="P1087" s="57">
        <f t="shared" si="84"/>
        <v>0.40766513241261504</v>
      </c>
    </row>
    <row r="1088" spans="1:16" ht="19.95" customHeight="1">
      <c r="A1088" s="49">
        <v>1113</v>
      </c>
      <c r="B1088" s="50" t="s">
        <v>533</v>
      </c>
      <c r="C1088" s="51" t="s">
        <v>18</v>
      </c>
      <c r="D1088" s="51" t="s">
        <v>19</v>
      </c>
      <c r="E1088" s="52">
        <v>4736150000</v>
      </c>
      <c r="F1088" s="52">
        <v>63083000</v>
      </c>
      <c r="G1088" s="52">
        <v>2655650000</v>
      </c>
      <c r="H1088" s="52" t="s">
        <v>757</v>
      </c>
      <c r="I1088" s="52">
        <v>157824000</v>
      </c>
      <c r="J1088" s="51" t="s">
        <v>75</v>
      </c>
      <c r="K1088" s="51" t="s">
        <v>146</v>
      </c>
      <c r="L1088" s="41">
        <f t="shared" si="80"/>
        <v>4673067000</v>
      </c>
      <c r="M1088" s="41">
        <f t="shared" si="81"/>
        <v>2813474000</v>
      </c>
      <c r="N1088" s="41">
        <f t="shared" si="82"/>
        <v>1859593000</v>
      </c>
      <c r="O1088" s="41">
        <f t="shared" si="83"/>
        <v>0.4059575815799753</v>
      </c>
      <c r="P1088" s="41">
        <f t="shared" si="84"/>
        <v>0.39263811323543385</v>
      </c>
    </row>
    <row r="1089" spans="1:16" ht="19.95" customHeight="1">
      <c r="A1089" s="49">
        <v>1114</v>
      </c>
      <c r="B1089" s="50" t="s">
        <v>533</v>
      </c>
      <c r="C1089" s="51" t="s">
        <v>20</v>
      </c>
      <c r="D1089" s="51" t="s">
        <v>21</v>
      </c>
      <c r="E1089" s="52">
        <v>4995881000</v>
      </c>
      <c r="F1089" s="52">
        <v>73814000</v>
      </c>
      <c r="G1089" s="52">
        <v>2796508000</v>
      </c>
      <c r="H1089" s="52" t="s">
        <v>757</v>
      </c>
      <c r="I1089" s="52">
        <v>196424000</v>
      </c>
      <c r="J1089" s="51" t="s">
        <v>75</v>
      </c>
      <c r="K1089" s="51" t="s">
        <v>146</v>
      </c>
      <c r="L1089" s="41">
        <f t="shared" si="80"/>
        <v>4922067000</v>
      </c>
      <c r="M1089" s="41">
        <f t="shared" si="81"/>
        <v>2992932000</v>
      </c>
      <c r="N1089" s="41">
        <f t="shared" si="82"/>
        <v>1929135000</v>
      </c>
      <c r="O1089" s="41">
        <f t="shared" si="83"/>
        <v>0.40092007796022366</v>
      </c>
      <c r="P1089" s="41">
        <f t="shared" si="84"/>
        <v>0.38614510633860172</v>
      </c>
    </row>
    <row r="1090" spans="1:16" ht="19.95" customHeight="1">
      <c r="A1090" s="49">
        <v>1115</v>
      </c>
      <c r="B1090" s="50" t="s">
        <v>534</v>
      </c>
      <c r="C1090" s="51" t="s">
        <v>11</v>
      </c>
      <c r="D1090" s="51" t="s">
        <v>17</v>
      </c>
      <c r="E1090" s="52">
        <v>2378972000</v>
      </c>
      <c r="F1090" s="52">
        <v>1097041000</v>
      </c>
      <c r="G1090" s="52">
        <v>692693000</v>
      </c>
      <c r="H1090" s="52">
        <v>116346000</v>
      </c>
      <c r="I1090" s="52">
        <v>24539000</v>
      </c>
      <c r="J1090" s="51" t="s">
        <v>37</v>
      </c>
      <c r="K1090" s="51" t="s">
        <v>431</v>
      </c>
      <c r="L1090" s="41">
        <f t="shared" si="80"/>
        <v>1281931000</v>
      </c>
      <c r="M1090" s="41">
        <f t="shared" si="81"/>
        <v>833578000</v>
      </c>
      <c r="N1090" s="41">
        <f t="shared" si="82"/>
        <v>448353000</v>
      </c>
      <c r="O1090" s="41">
        <f t="shared" si="83"/>
        <v>0.64960579611697833</v>
      </c>
      <c r="P1090" s="41">
        <f t="shared" si="84"/>
        <v>0.18846501766309146</v>
      </c>
    </row>
    <row r="1091" spans="1:16" ht="19.95" customHeight="1">
      <c r="A1091" s="49">
        <v>1116</v>
      </c>
      <c r="B1091" s="50" t="s">
        <v>534</v>
      </c>
      <c r="C1091" s="51" t="s">
        <v>16</v>
      </c>
      <c r="D1091" s="51" t="s">
        <v>19</v>
      </c>
      <c r="E1091" s="52">
        <v>2485983000</v>
      </c>
      <c r="F1091" s="52">
        <v>1127233000</v>
      </c>
      <c r="G1091" s="52">
        <v>728582000</v>
      </c>
      <c r="H1091" s="52">
        <v>123297000</v>
      </c>
      <c r="I1091" s="52">
        <v>29185000</v>
      </c>
      <c r="J1091" s="51" t="s">
        <v>37</v>
      </c>
      <c r="K1091" s="51" t="s">
        <v>431</v>
      </c>
      <c r="L1091" s="41">
        <f t="shared" ref="L1091:L1154" si="85">Total_Revenue-COGS</f>
        <v>1358750000</v>
      </c>
      <c r="M1091" s="41">
        <f t="shared" ref="M1091:M1154" si="86">SGAA+RandD+OOI</f>
        <v>881064000</v>
      </c>
      <c r="N1091" s="41">
        <f t="shared" ref="N1091:N1154" si="87">Gross_Profit-Total_Operating_Expenses</f>
        <v>477686000</v>
      </c>
      <c r="O1091" s="41">
        <f t="shared" ref="O1091:O1154" si="88">1-(Total_Operating_Expenses/Total_Revenue)</f>
        <v>0.64558727875452082</v>
      </c>
      <c r="P1091" s="41">
        <f t="shared" ref="P1091:P1154" si="89">Operating_Profit/Total_Revenue</f>
        <v>0.19215175646816571</v>
      </c>
    </row>
    <row r="1092" spans="1:16" ht="19.95" customHeight="1">
      <c r="A1092" s="49">
        <v>1117</v>
      </c>
      <c r="B1092" s="50" t="s">
        <v>534</v>
      </c>
      <c r="C1092" s="51" t="s">
        <v>18</v>
      </c>
      <c r="D1092" s="51" t="s">
        <v>21</v>
      </c>
      <c r="E1092" s="52">
        <v>2395447000</v>
      </c>
      <c r="F1092" s="52">
        <v>1043454000</v>
      </c>
      <c r="G1092" s="52">
        <v>700810000</v>
      </c>
      <c r="H1092" s="52">
        <v>119076000</v>
      </c>
      <c r="I1092" s="52">
        <v>30951000</v>
      </c>
      <c r="J1092" s="51" t="s">
        <v>37</v>
      </c>
      <c r="K1092" s="51" t="s">
        <v>431</v>
      </c>
      <c r="L1092" s="41">
        <f t="shared" si="85"/>
        <v>1351993000</v>
      </c>
      <c r="M1092" s="41">
        <f t="shared" si="86"/>
        <v>850837000</v>
      </c>
      <c r="N1092" s="41">
        <f t="shared" si="87"/>
        <v>501156000</v>
      </c>
      <c r="O1092" s="41">
        <f t="shared" si="88"/>
        <v>0.64481075974546709</v>
      </c>
      <c r="P1092" s="41">
        <f t="shared" si="89"/>
        <v>0.20921189239419616</v>
      </c>
    </row>
    <row r="1093" spans="1:16" ht="19.95" customHeight="1">
      <c r="A1093" s="49">
        <v>1118</v>
      </c>
      <c r="B1093" s="50" t="s">
        <v>534</v>
      </c>
      <c r="C1093" s="51" t="s">
        <v>20</v>
      </c>
      <c r="D1093" s="51" t="s">
        <v>84</v>
      </c>
      <c r="E1093" s="52">
        <v>2508257000</v>
      </c>
      <c r="F1093" s="52">
        <v>1072670000</v>
      </c>
      <c r="G1093" s="52">
        <v>732622000</v>
      </c>
      <c r="H1093" s="52">
        <v>119968000</v>
      </c>
      <c r="I1093" s="52">
        <v>36052000</v>
      </c>
      <c r="J1093" s="51" t="s">
        <v>37</v>
      </c>
      <c r="K1093" s="51" t="s">
        <v>431</v>
      </c>
      <c r="L1093" s="41">
        <f t="shared" si="85"/>
        <v>1435587000</v>
      </c>
      <c r="M1093" s="41">
        <f t="shared" si="86"/>
        <v>888642000</v>
      </c>
      <c r="N1093" s="41">
        <f t="shared" si="87"/>
        <v>546945000</v>
      </c>
      <c r="O1093" s="41">
        <f t="shared" si="88"/>
        <v>0.64571333798729558</v>
      </c>
      <c r="P1093" s="41">
        <f t="shared" si="89"/>
        <v>0.21805779870244557</v>
      </c>
    </row>
    <row r="1094" spans="1:16" ht="19.95" customHeight="1">
      <c r="A1094" s="49">
        <v>1119</v>
      </c>
      <c r="B1094" s="50" t="s">
        <v>535</v>
      </c>
      <c r="C1094" s="51" t="s">
        <v>11</v>
      </c>
      <c r="D1094" s="51" t="s">
        <v>536</v>
      </c>
      <c r="E1094" s="52">
        <v>9073000000</v>
      </c>
      <c r="F1094" s="52">
        <v>7226000000</v>
      </c>
      <c r="G1094" s="52">
        <v>554000000</v>
      </c>
      <c r="H1094" s="52">
        <v>931000000</v>
      </c>
      <c r="I1094" s="52" t="s">
        <v>757</v>
      </c>
      <c r="J1094" s="51" t="s">
        <v>31</v>
      </c>
      <c r="K1094" s="51" t="s">
        <v>55</v>
      </c>
      <c r="L1094" s="41">
        <f t="shared" si="85"/>
        <v>1847000000</v>
      </c>
      <c r="M1094" s="41">
        <f t="shared" si="86"/>
        <v>1485000000</v>
      </c>
      <c r="N1094" s="41">
        <f t="shared" si="87"/>
        <v>362000000</v>
      </c>
      <c r="O1094" s="41">
        <f t="shared" si="88"/>
        <v>0.83632756530364816</v>
      </c>
      <c r="P1094" s="41">
        <f t="shared" si="89"/>
        <v>3.9898600242477683E-2</v>
      </c>
    </row>
    <row r="1095" spans="1:16" ht="19.95" customHeight="1">
      <c r="A1095" s="49">
        <v>1120</v>
      </c>
      <c r="B1095" s="50" t="s">
        <v>535</v>
      </c>
      <c r="C1095" s="51" t="s">
        <v>16</v>
      </c>
      <c r="D1095" s="51" t="s">
        <v>537</v>
      </c>
      <c r="E1095" s="52">
        <v>16358000000</v>
      </c>
      <c r="F1095" s="52">
        <v>10921000000</v>
      </c>
      <c r="G1095" s="52">
        <v>939000000</v>
      </c>
      <c r="H1095" s="52">
        <v>1371000000</v>
      </c>
      <c r="I1095" s="52" t="s">
        <v>757</v>
      </c>
      <c r="J1095" s="51" t="s">
        <v>31</v>
      </c>
      <c r="K1095" s="51" t="s">
        <v>55</v>
      </c>
      <c r="L1095" s="41">
        <f t="shared" si="85"/>
        <v>5437000000</v>
      </c>
      <c r="M1095" s="41">
        <f t="shared" si="86"/>
        <v>2310000000</v>
      </c>
      <c r="N1095" s="41">
        <f t="shared" si="87"/>
        <v>3127000000</v>
      </c>
      <c r="O1095" s="41">
        <f t="shared" si="88"/>
        <v>0.85878469250519629</v>
      </c>
      <c r="P1095" s="41">
        <f t="shared" si="89"/>
        <v>0.19116028854383177</v>
      </c>
    </row>
    <row r="1096" spans="1:16" ht="19.95" customHeight="1">
      <c r="A1096" s="49">
        <v>1121</v>
      </c>
      <c r="B1096" s="50" t="s">
        <v>535</v>
      </c>
      <c r="C1096" s="51" t="s">
        <v>18</v>
      </c>
      <c r="D1096" s="51" t="s">
        <v>538</v>
      </c>
      <c r="E1096" s="52">
        <v>16192000000</v>
      </c>
      <c r="F1096" s="52">
        <v>10977000000</v>
      </c>
      <c r="G1096" s="52">
        <v>674000000</v>
      </c>
      <c r="H1096" s="52">
        <v>1540000000</v>
      </c>
      <c r="I1096" s="52" t="s">
        <v>757</v>
      </c>
      <c r="J1096" s="51" t="s">
        <v>31</v>
      </c>
      <c r="K1096" s="51" t="s">
        <v>55</v>
      </c>
      <c r="L1096" s="41">
        <f t="shared" si="85"/>
        <v>5215000000</v>
      </c>
      <c r="M1096" s="41">
        <f t="shared" si="86"/>
        <v>2214000000</v>
      </c>
      <c r="N1096" s="41">
        <f t="shared" si="87"/>
        <v>3001000000</v>
      </c>
      <c r="O1096" s="41">
        <f t="shared" si="88"/>
        <v>0.86326581027667981</v>
      </c>
      <c r="P1096" s="41">
        <f t="shared" si="89"/>
        <v>0.18533843873517786</v>
      </c>
    </row>
    <row r="1097" spans="1:16" ht="19.95" customHeight="1">
      <c r="A1097" s="49">
        <v>1122</v>
      </c>
      <c r="B1097" s="50" t="s">
        <v>535</v>
      </c>
      <c r="C1097" s="51" t="s">
        <v>20</v>
      </c>
      <c r="D1097" s="51" t="s">
        <v>539</v>
      </c>
      <c r="E1097" s="52">
        <v>12399000000</v>
      </c>
      <c r="F1097" s="52">
        <v>9894000000</v>
      </c>
      <c r="G1097" s="52">
        <v>653000000</v>
      </c>
      <c r="H1097" s="52">
        <v>1617000000</v>
      </c>
      <c r="I1097" s="52" t="s">
        <v>757</v>
      </c>
      <c r="J1097" s="51" t="s">
        <v>31</v>
      </c>
      <c r="K1097" s="51" t="s">
        <v>55</v>
      </c>
      <c r="L1097" s="41">
        <f t="shared" si="85"/>
        <v>2505000000</v>
      </c>
      <c r="M1097" s="41">
        <f t="shared" si="86"/>
        <v>2270000000</v>
      </c>
      <c r="N1097" s="41">
        <f t="shared" si="87"/>
        <v>235000000</v>
      </c>
      <c r="O1097" s="41">
        <f t="shared" si="88"/>
        <v>0.81692071941285582</v>
      </c>
      <c r="P1097" s="41">
        <f t="shared" si="89"/>
        <v>1.8953141382369545E-2</v>
      </c>
    </row>
    <row r="1098" spans="1:16" ht="19.95" customHeight="1">
      <c r="A1098" s="49">
        <v>1123</v>
      </c>
      <c r="B1098" s="50" t="s">
        <v>540</v>
      </c>
      <c r="C1098" s="51" t="s">
        <v>11</v>
      </c>
      <c r="D1098" s="51" t="s">
        <v>12</v>
      </c>
      <c r="E1098" s="52">
        <v>4608563000</v>
      </c>
      <c r="F1098" s="52">
        <v>1079136000</v>
      </c>
      <c r="G1098" s="52">
        <v>285144000</v>
      </c>
      <c r="H1098" s="52" t="s">
        <v>757</v>
      </c>
      <c r="I1098" s="52">
        <v>1291456000</v>
      </c>
      <c r="J1098" s="51" t="s">
        <v>116</v>
      </c>
      <c r="K1098" s="51" t="s">
        <v>204</v>
      </c>
      <c r="L1098" s="41">
        <f t="shared" si="85"/>
        <v>3529427000</v>
      </c>
      <c r="M1098" s="41">
        <f t="shared" si="86"/>
        <v>1576600000</v>
      </c>
      <c r="N1098" s="41">
        <f t="shared" si="87"/>
        <v>1952827000</v>
      </c>
      <c r="O1098" s="41">
        <f t="shared" si="88"/>
        <v>0.6578977004328681</v>
      </c>
      <c r="P1098" s="41">
        <f t="shared" si="89"/>
        <v>0.42373880968970157</v>
      </c>
    </row>
    <row r="1099" spans="1:16" ht="19.95" customHeight="1">
      <c r="A1099" s="53">
        <v>1124</v>
      </c>
      <c r="B1099" s="54" t="s">
        <v>540</v>
      </c>
      <c r="C1099" s="55" t="s">
        <v>16</v>
      </c>
      <c r="D1099" s="55" t="s">
        <v>17</v>
      </c>
      <c r="E1099" s="56">
        <v>5312686000</v>
      </c>
      <c r="F1099" s="56">
        <v>1252812000</v>
      </c>
      <c r="G1099" s="56">
        <v>466498000</v>
      </c>
      <c r="H1099" s="56" t="s">
        <v>757</v>
      </c>
      <c r="I1099" s="56">
        <v>1602390000</v>
      </c>
      <c r="J1099" s="55" t="s">
        <v>116</v>
      </c>
      <c r="K1099" s="55" t="s">
        <v>204</v>
      </c>
      <c r="L1099" s="57">
        <f t="shared" si="85"/>
        <v>4059874000</v>
      </c>
      <c r="M1099" s="57">
        <f t="shared" si="86"/>
        <v>2068888000</v>
      </c>
      <c r="N1099" s="57">
        <f t="shared" si="87"/>
        <v>1990986000</v>
      </c>
      <c r="O1099" s="57">
        <f t="shared" si="88"/>
        <v>0.61057589324872574</v>
      </c>
      <c r="P1099" s="57">
        <f t="shared" si="89"/>
        <v>0.37476071426016894</v>
      </c>
    </row>
    <row r="1100" spans="1:16" ht="19.95" customHeight="1">
      <c r="A1100" s="49">
        <v>1125</v>
      </c>
      <c r="B1100" s="50" t="s">
        <v>540</v>
      </c>
      <c r="C1100" s="51" t="s">
        <v>18</v>
      </c>
      <c r="D1100" s="51" t="s">
        <v>19</v>
      </c>
      <c r="E1100" s="52">
        <v>5288933000</v>
      </c>
      <c r="F1100" s="52">
        <v>1089888000</v>
      </c>
      <c r="G1100" s="52">
        <v>471219000</v>
      </c>
      <c r="H1100" s="52" t="s">
        <v>757</v>
      </c>
      <c r="I1100" s="52">
        <v>1957025000</v>
      </c>
      <c r="J1100" s="51" t="s">
        <v>116</v>
      </c>
      <c r="K1100" s="51" t="s">
        <v>204</v>
      </c>
      <c r="L1100" s="41">
        <f t="shared" si="85"/>
        <v>4199045000</v>
      </c>
      <c r="M1100" s="41">
        <f t="shared" si="86"/>
        <v>2428244000</v>
      </c>
      <c r="N1100" s="41">
        <f t="shared" si="87"/>
        <v>1770801000</v>
      </c>
      <c r="O1100" s="41">
        <f t="shared" si="88"/>
        <v>0.54088206449202514</v>
      </c>
      <c r="P1100" s="41">
        <f t="shared" si="89"/>
        <v>0.33481252267706929</v>
      </c>
    </row>
    <row r="1101" spans="1:16" ht="19.95" customHeight="1">
      <c r="A1101" s="49">
        <v>1126</v>
      </c>
      <c r="B1101" s="50" t="s">
        <v>540</v>
      </c>
      <c r="C1101" s="51" t="s">
        <v>20</v>
      </c>
      <c r="D1101" s="51" t="s">
        <v>21</v>
      </c>
      <c r="E1101" s="52">
        <v>2787116000</v>
      </c>
      <c r="F1101" s="52">
        <v>832306000</v>
      </c>
      <c r="G1101" s="52">
        <v>372457000</v>
      </c>
      <c r="H1101" s="52" t="s">
        <v>757</v>
      </c>
      <c r="I1101" s="52">
        <v>1668489000</v>
      </c>
      <c r="J1101" s="51" t="s">
        <v>116</v>
      </c>
      <c r="K1101" s="51" t="s">
        <v>204</v>
      </c>
      <c r="L1101" s="41">
        <f t="shared" si="85"/>
        <v>1954810000</v>
      </c>
      <c r="M1101" s="41">
        <f t="shared" si="86"/>
        <v>2040946000</v>
      </c>
      <c r="N1101" s="41">
        <f t="shared" si="87"/>
        <v>-86136000</v>
      </c>
      <c r="O1101" s="41">
        <f t="shared" si="88"/>
        <v>0.26772118562700653</v>
      </c>
      <c r="P1101" s="41">
        <f t="shared" si="89"/>
        <v>-3.0905064590063709E-2</v>
      </c>
    </row>
    <row r="1102" spans="1:16" ht="19.95" customHeight="1">
      <c r="A1102" s="49">
        <v>1127</v>
      </c>
      <c r="B1102" s="50" t="s">
        <v>541</v>
      </c>
      <c r="C1102" s="51" t="s">
        <v>11</v>
      </c>
      <c r="D1102" s="51" t="s">
        <v>19</v>
      </c>
      <c r="E1102" s="52">
        <v>7719600000</v>
      </c>
      <c r="F1102" s="52">
        <v>4191600000</v>
      </c>
      <c r="G1102" s="52">
        <v>1545700000</v>
      </c>
      <c r="H1102" s="52">
        <v>581800000</v>
      </c>
      <c r="I1102" s="52" t="s">
        <v>757</v>
      </c>
      <c r="J1102" s="51" t="s">
        <v>37</v>
      </c>
      <c r="K1102" s="51" t="s">
        <v>38</v>
      </c>
      <c r="L1102" s="41">
        <f t="shared" si="85"/>
        <v>3528000000</v>
      </c>
      <c r="M1102" s="41">
        <f t="shared" si="86"/>
        <v>2127500000</v>
      </c>
      <c r="N1102" s="41">
        <f t="shared" si="87"/>
        <v>1400500000</v>
      </c>
      <c r="O1102" s="41">
        <f t="shared" si="88"/>
        <v>0.72440281879890156</v>
      </c>
      <c r="P1102" s="41">
        <f t="shared" si="89"/>
        <v>0.18142131716669258</v>
      </c>
    </row>
    <row r="1103" spans="1:16" ht="19.95" customHeight="1">
      <c r="A1103" s="49">
        <v>1128</v>
      </c>
      <c r="B1103" s="50" t="s">
        <v>541</v>
      </c>
      <c r="C1103" s="51" t="s">
        <v>16</v>
      </c>
      <c r="D1103" s="51" t="s">
        <v>21</v>
      </c>
      <c r="E1103" s="52">
        <v>9429300000</v>
      </c>
      <c r="F1103" s="52">
        <v>5213200000</v>
      </c>
      <c r="G1103" s="52">
        <v>2180700000</v>
      </c>
      <c r="H1103" s="52">
        <v>671900000</v>
      </c>
      <c r="I1103" s="52" t="s">
        <v>757</v>
      </c>
      <c r="J1103" s="51" t="s">
        <v>37</v>
      </c>
      <c r="K1103" s="51" t="s">
        <v>38</v>
      </c>
      <c r="L1103" s="41">
        <f t="shared" si="85"/>
        <v>4216100000</v>
      </c>
      <c r="M1103" s="41">
        <f t="shared" si="86"/>
        <v>2852600000</v>
      </c>
      <c r="N1103" s="41">
        <f t="shared" si="87"/>
        <v>1363500000</v>
      </c>
      <c r="O1103" s="41">
        <f t="shared" si="88"/>
        <v>0.69747489209167168</v>
      </c>
      <c r="P1103" s="41">
        <f t="shared" si="89"/>
        <v>0.14460246253698578</v>
      </c>
    </row>
    <row r="1104" spans="1:16" ht="19.95" customHeight="1">
      <c r="A1104" s="49">
        <v>1132</v>
      </c>
      <c r="B1104" s="50" t="s">
        <v>542</v>
      </c>
      <c r="C1104" s="51" t="s">
        <v>11</v>
      </c>
      <c r="D1104" s="51" t="s">
        <v>17</v>
      </c>
      <c r="E1104" s="52">
        <v>5015000000</v>
      </c>
      <c r="F1104" s="52">
        <v>844000000</v>
      </c>
      <c r="G1104" s="52">
        <v>446000000</v>
      </c>
      <c r="H1104" s="52" t="s">
        <v>757</v>
      </c>
      <c r="I1104" s="52">
        <v>1568000000</v>
      </c>
      <c r="J1104" s="51" t="s">
        <v>116</v>
      </c>
      <c r="K1104" s="51" t="s">
        <v>117</v>
      </c>
      <c r="L1104" s="41">
        <f t="shared" si="85"/>
        <v>4171000000</v>
      </c>
      <c r="M1104" s="41">
        <f t="shared" si="86"/>
        <v>2014000000</v>
      </c>
      <c r="N1104" s="41">
        <f t="shared" si="87"/>
        <v>2157000000</v>
      </c>
      <c r="O1104" s="41">
        <f t="shared" si="88"/>
        <v>0.59840478564307076</v>
      </c>
      <c r="P1104" s="41">
        <f t="shared" si="89"/>
        <v>0.43010967098703889</v>
      </c>
    </row>
    <row r="1105" spans="1:16" ht="19.95" customHeight="1">
      <c r="A1105" s="53">
        <v>1133</v>
      </c>
      <c r="B1105" s="54" t="s">
        <v>542</v>
      </c>
      <c r="C1105" s="55" t="s">
        <v>16</v>
      </c>
      <c r="D1105" s="55" t="s">
        <v>19</v>
      </c>
      <c r="E1105" s="56">
        <v>5115000000</v>
      </c>
      <c r="F1105" s="56">
        <v>945000000</v>
      </c>
      <c r="G1105" s="56">
        <v>495000000</v>
      </c>
      <c r="H1105" s="56" t="s">
        <v>757</v>
      </c>
      <c r="I1105" s="56">
        <v>1759000000</v>
      </c>
      <c r="J1105" s="55" t="s">
        <v>116</v>
      </c>
      <c r="K1105" s="55" t="s">
        <v>117</v>
      </c>
      <c r="L1105" s="57">
        <f t="shared" si="85"/>
        <v>4170000000</v>
      </c>
      <c r="M1105" s="57">
        <f t="shared" si="86"/>
        <v>2254000000</v>
      </c>
      <c r="N1105" s="57">
        <f t="shared" si="87"/>
        <v>1916000000</v>
      </c>
      <c r="O1105" s="57">
        <f t="shared" si="88"/>
        <v>0.55933528836754642</v>
      </c>
      <c r="P1105" s="57">
        <f t="shared" si="89"/>
        <v>0.37458455522971651</v>
      </c>
    </row>
    <row r="1106" spans="1:16" ht="19.95" customHeight="1">
      <c r="A1106" s="49">
        <v>1134</v>
      </c>
      <c r="B1106" s="50" t="s">
        <v>542</v>
      </c>
      <c r="C1106" s="51" t="s">
        <v>18</v>
      </c>
      <c r="D1106" s="51" t="s">
        <v>21</v>
      </c>
      <c r="E1106" s="52">
        <v>3183000000</v>
      </c>
      <c r="F1106" s="52">
        <v>979000000</v>
      </c>
      <c r="G1106" s="52">
        <v>745000000</v>
      </c>
      <c r="H1106" s="52" t="s">
        <v>757</v>
      </c>
      <c r="I1106" s="52">
        <v>2131000000</v>
      </c>
      <c r="J1106" s="51" t="s">
        <v>116</v>
      </c>
      <c r="K1106" s="51" t="s">
        <v>117</v>
      </c>
      <c r="L1106" s="41">
        <f t="shared" si="85"/>
        <v>2204000000</v>
      </c>
      <c r="M1106" s="41">
        <f t="shared" si="86"/>
        <v>2876000000</v>
      </c>
      <c r="N1106" s="41">
        <f t="shared" si="87"/>
        <v>-672000000</v>
      </c>
      <c r="O1106" s="41">
        <f t="shared" si="88"/>
        <v>9.6449890040841924E-2</v>
      </c>
      <c r="P1106" s="41">
        <f t="shared" si="89"/>
        <v>-0.21112158341187559</v>
      </c>
    </row>
    <row r="1107" spans="1:16" ht="19.95" customHeight="1">
      <c r="A1107" s="49">
        <v>1135</v>
      </c>
      <c r="B1107" s="50" t="s">
        <v>542</v>
      </c>
      <c r="C1107" s="51" t="s">
        <v>20</v>
      </c>
      <c r="D1107" s="51" t="s">
        <v>84</v>
      </c>
      <c r="E1107" s="52">
        <v>3491000000</v>
      </c>
      <c r="F1107" s="52">
        <v>1083000000</v>
      </c>
      <c r="G1107" s="52">
        <v>233000000</v>
      </c>
      <c r="H1107" s="52" t="s">
        <v>757</v>
      </c>
      <c r="I1107" s="52">
        <v>2454000000</v>
      </c>
      <c r="J1107" s="51" t="s">
        <v>116</v>
      </c>
      <c r="K1107" s="51" t="s">
        <v>117</v>
      </c>
      <c r="L1107" s="41">
        <f t="shared" si="85"/>
        <v>2408000000</v>
      </c>
      <c r="M1107" s="41">
        <f t="shared" si="86"/>
        <v>2687000000</v>
      </c>
      <c r="N1107" s="41">
        <f t="shared" si="87"/>
        <v>-279000000</v>
      </c>
      <c r="O1107" s="41">
        <f t="shared" si="88"/>
        <v>0.23030650243483242</v>
      </c>
      <c r="P1107" s="41">
        <f t="shared" si="89"/>
        <v>-7.9919793755370949E-2</v>
      </c>
    </row>
    <row r="1108" spans="1:16" ht="19.95" customHeight="1">
      <c r="A1108" s="49">
        <v>1136</v>
      </c>
      <c r="B1108" s="50" t="s">
        <v>543</v>
      </c>
      <c r="C1108" s="51" t="s">
        <v>11</v>
      </c>
      <c r="D1108" s="51" t="s">
        <v>12</v>
      </c>
      <c r="E1108" s="52">
        <v>3023000000</v>
      </c>
      <c r="F1108" s="52">
        <v>1446000000</v>
      </c>
      <c r="G1108" s="52">
        <v>832000000</v>
      </c>
      <c r="H1108" s="52" t="s">
        <v>757</v>
      </c>
      <c r="I1108" s="52">
        <v>104000000</v>
      </c>
      <c r="J1108" s="51" t="s">
        <v>75</v>
      </c>
      <c r="K1108" s="51" t="s">
        <v>511</v>
      </c>
      <c r="L1108" s="41">
        <f t="shared" si="85"/>
        <v>1577000000</v>
      </c>
      <c r="M1108" s="41">
        <f t="shared" si="86"/>
        <v>936000000</v>
      </c>
      <c r="N1108" s="41">
        <f t="shared" si="87"/>
        <v>641000000</v>
      </c>
      <c r="O1108" s="41">
        <f t="shared" si="88"/>
        <v>0.69037380086007283</v>
      </c>
      <c r="P1108" s="41">
        <f t="shared" si="89"/>
        <v>0.2120410188554416</v>
      </c>
    </row>
    <row r="1109" spans="1:16" ht="19.95" customHeight="1">
      <c r="A1109" s="53">
        <v>1137</v>
      </c>
      <c r="B1109" s="54" t="s">
        <v>543</v>
      </c>
      <c r="C1109" s="55" t="s">
        <v>16</v>
      </c>
      <c r="D1109" s="55" t="s">
        <v>17</v>
      </c>
      <c r="E1109" s="56">
        <v>3100000000</v>
      </c>
      <c r="F1109" s="56">
        <v>1316000000</v>
      </c>
      <c r="G1109" s="56">
        <v>1054000000</v>
      </c>
      <c r="H1109" s="56" t="s">
        <v>757</v>
      </c>
      <c r="I1109" s="56">
        <v>122000000</v>
      </c>
      <c r="J1109" s="55" t="s">
        <v>75</v>
      </c>
      <c r="K1109" s="55" t="s">
        <v>511</v>
      </c>
      <c r="L1109" s="57">
        <f t="shared" si="85"/>
        <v>1784000000</v>
      </c>
      <c r="M1109" s="57">
        <f t="shared" si="86"/>
        <v>1176000000</v>
      </c>
      <c r="N1109" s="57">
        <f t="shared" si="87"/>
        <v>608000000</v>
      </c>
      <c r="O1109" s="57">
        <f t="shared" si="88"/>
        <v>0.62064516129032254</v>
      </c>
      <c r="P1109" s="57">
        <f t="shared" si="89"/>
        <v>0.19612903225806452</v>
      </c>
    </row>
    <row r="1110" spans="1:16" ht="19.95" customHeight="1">
      <c r="A1110" s="49">
        <v>1138</v>
      </c>
      <c r="B1110" s="50" t="s">
        <v>543</v>
      </c>
      <c r="C1110" s="51" t="s">
        <v>18</v>
      </c>
      <c r="D1110" s="51" t="s">
        <v>19</v>
      </c>
      <c r="E1110" s="52">
        <v>3383000000</v>
      </c>
      <c r="F1110" s="52">
        <v>1433000000</v>
      </c>
      <c r="G1110" s="52">
        <v>1095000000</v>
      </c>
      <c r="H1110" s="52" t="s">
        <v>757</v>
      </c>
      <c r="I1110" s="52">
        <v>137000000</v>
      </c>
      <c r="J1110" s="51" t="s">
        <v>75</v>
      </c>
      <c r="K1110" s="51" t="s">
        <v>511</v>
      </c>
      <c r="L1110" s="41">
        <f t="shared" si="85"/>
        <v>1950000000</v>
      </c>
      <c r="M1110" s="41">
        <f t="shared" si="86"/>
        <v>1232000000</v>
      </c>
      <c r="N1110" s="41">
        <f t="shared" si="87"/>
        <v>718000000</v>
      </c>
      <c r="O1110" s="41">
        <f t="shared" si="88"/>
        <v>0.63582618977239136</v>
      </c>
      <c r="P1110" s="41">
        <f t="shared" si="89"/>
        <v>0.21223765888264853</v>
      </c>
    </row>
    <row r="1111" spans="1:16" ht="19.95" customHeight="1">
      <c r="A1111" s="49">
        <v>1139</v>
      </c>
      <c r="B1111" s="50" t="s">
        <v>543</v>
      </c>
      <c r="C1111" s="51" t="s">
        <v>20</v>
      </c>
      <c r="D1111" s="51" t="s">
        <v>21</v>
      </c>
      <c r="E1111" s="52">
        <v>3292000000</v>
      </c>
      <c r="F1111" s="52">
        <v>1313000000</v>
      </c>
      <c r="G1111" s="52">
        <v>1050000000</v>
      </c>
      <c r="H1111" s="52" t="s">
        <v>757</v>
      </c>
      <c r="I1111" s="52">
        <v>138000000</v>
      </c>
      <c r="J1111" s="51" t="s">
        <v>75</v>
      </c>
      <c r="K1111" s="51" t="s">
        <v>511</v>
      </c>
      <c r="L1111" s="41">
        <f t="shared" si="85"/>
        <v>1979000000</v>
      </c>
      <c r="M1111" s="41">
        <f t="shared" si="86"/>
        <v>1188000000</v>
      </c>
      <c r="N1111" s="41">
        <f t="shared" si="87"/>
        <v>791000000</v>
      </c>
      <c r="O1111" s="41">
        <f t="shared" si="88"/>
        <v>0.63912515188335361</v>
      </c>
      <c r="P1111" s="41">
        <f t="shared" si="89"/>
        <v>0.24027946537059539</v>
      </c>
    </row>
    <row r="1112" spans="1:16" ht="19.95" customHeight="1">
      <c r="A1112" s="49">
        <v>1140</v>
      </c>
      <c r="B1112" s="50" t="s">
        <v>544</v>
      </c>
      <c r="C1112" s="51" t="s">
        <v>11</v>
      </c>
      <c r="D1112" s="51" t="s">
        <v>12</v>
      </c>
      <c r="E1112" s="52">
        <v>14256000000</v>
      </c>
      <c r="F1112" s="52">
        <v>8276000000</v>
      </c>
      <c r="G1112" s="52">
        <v>1186000000</v>
      </c>
      <c r="H1112" s="52" t="s">
        <v>757</v>
      </c>
      <c r="I1112" s="52">
        <v>1518000000</v>
      </c>
      <c r="J1112" s="51" t="s">
        <v>70</v>
      </c>
      <c r="K1112" s="51" t="s">
        <v>71</v>
      </c>
      <c r="L1112" s="41">
        <f t="shared" si="85"/>
        <v>5980000000</v>
      </c>
      <c r="M1112" s="41">
        <f t="shared" si="86"/>
        <v>2704000000</v>
      </c>
      <c r="N1112" s="41">
        <f t="shared" si="87"/>
        <v>3276000000</v>
      </c>
      <c r="O1112" s="41">
        <f t="shared" si="88"/>
        <v>0.81032547699214363</v>
      </c>
      <c r="P1112" s="41">
        <f t="shared" si="89"/>
        <v>0.22979797979797981</v>
      </c>
    </row>
    <row r="1113" spans="1:16" ht="19.95" customHeight="1">
      <c r="A1113" s="49">
        <v>1141</v>
      </c>
      <c r="B1113" s="50" t="s">
        <v>544</v>
      </c>
      <c r="C1113" s="51" t="s">
        <v>16</v>
      </c>
      <c r="D1113" s="51" t="s">
        <v>17</v>
      </c>
      <c r="E1113" s="52">
        <v>15136000000</v>
      </c>
      <c r="F1113" s="52">
        <v>8152000000</v>
      </c>
      <c r="G1113" s="52">
        <v>1280000000</v>
      </c>
      <c r="H1113" s="52" t="s">
        <v>757</v>
      </c>
      <c r="I1113" s="52">
        <v>2163000000</v>
      </c>
      <c r="J1113" s="51" t="s">
        <v>70</v>
      </c>
      <c r="K1113" s="51" t="s">
        <v>71</v>
      </c>
      <c r="L1113" s="41">
        <f t="shared" si="85"/>
        <v>6984000000</v>
      </c>
      <c r="M1113" s="41">
        <f t="shared" si="86"/>
        <v>3443000000</v>
      </c>
      <c r="N1113" s="41">
        <f t="shared" si="87"/>
        <v>3541000000</v>
      </c>
      <c r="O1113" s="41">
        <f t="shared" si="88"/>
        <v>0.77252906976744184</v>
      </c>
      <c r="P1113" s="41">
        <f t="shared" si="89"/>
        <v>0.23394556025369978</v>
      </c>
    </row>
    <row r="1114" spans="1:16" ht="19.95" customHeight="1">
      <c r="A1114" s="49">
        <v>1142</v>
      </c>
      <c r="B1114" s="50" t="s">
        <v>544</v>
      </c>
      <c r="C1114" s="51" t="s">
        <v>18</v>
      </c>
      <c r="D1114" s="51" t="s">
        <v>19</v>
      </c>
      <c r="E1114" s="52">
        <v>17021000000</v>
      </c>
      <c r="F1114" s="52">
        <v>8751000000</v>
      </c>
      <c r="G1114" s="52">
        <v>1324000000</v>
      </c>
      <c r="H1114" s="52" t="s">
        <v>757</v>
      </c>
      <c r="I1114" s="52">
        <v>2551000000</v>
      </c>
      <c r="J1114" s="51" t="s">
        <v>70</v>
      </c>
      <c r="K1114" s="51" t="s">
        <v>71</v>
      </c>
      <c r="L1114" s="41">
        <f t="shared" si="85"/>
        <v>8270000000</v>
      </c>
      <c r="M1114" s="41">
        <f t="shared" si="86"/>
        <v>3875000000</v>
      </c>
      <c r="N1114" s="41">
        <f t="shared" si="87"/>
        <v>4395000000</v>
      </c>
      <c r="O1114" s="41">
        <f t="shared" si="88"/>
        <v>0.77234005052582111</v>
      </c>
      <c r="P1114" s="41">
        <f t="shared" si="89"/>
        <v>0.25821044591974618</v>
      </c>
    </row>
    <row r="1115" spans="1:16" ht="19.95" customHeight="1">
      <c r="A1115" s="49">
        <v>1143</v>
      </c>
      <c r="B1115" s="50" t="s">
        <v>544</v>
      </c>
      <c r="C1115" s="51" t="s">
        <v>20</v>
      </c>
      <c r="D1115" s="51" t="s">
        <v>21</v>
      </c>
      <c r="E1115" s="52">
        <v>17486000000</v>
      </c>
      <c r="F1115" s="52">
        <v>8596000000</v>
      </c>
      <c r="G1115" s="52">
        <v>1399000000</v>
      </c>
      <c r="H1115" s="52" t="s">
        <v>757</v>
      </c>
      <c r="I1115" s="52">
        <v>2831000000</v>
      </c>
      <c r="J1115" s="51" t="s">
        <v>70</v>
      </c>
      <c r="K1115" s="51" t="s">
        <v>71</v>
      </c>
      <c r="L1115" s="41">
        <f t="shared" si="85"/>
        <v>8890000000</v>
      </c>
      <c r="M1115" s="41">
        <f t="shared" si="86"/>
        <v>4230000000</v>
      </c>
      <c r="N1115" s="41">
        <f t="shared" si="87"/>
        <v>4660000000</v>
      </c>
      <c r="O1115" s="41">
        <f t="shared" si="88"/>
        <v>0.7580921880361432</v>
      </c>
      <c r="P1115" s="41">
        <f t="shared" si="89"/>
        <v>0.26649891341644744</v>
      </c>
    </row>
    <row r="1116" spans="1:16" ht="19.95" customHeight="1">
      <c r="A1116" s="49">
        <v>1144</v>
      </c>
      <c r="B1116" s="50" t="s">
        <v>545</v>
      </c>
      <c r="C1116" s="51" t="s">
        <v>11</v>
      </c>
      <c r="D1116" s="51" t="s">
        <v>12</v>
      </c>
      <c r="E1116" s="52">
        <v>9964000000</v>
      </c>
      <c r="F1116" s="52">
        <v>4334000000</v>
      </c>
      <c r="G1116" s="52">
        <v>757000000</v>
      </c>
      <c r="H1116" s="52">
        <v>704000000</v>
      </c>
      <c r="I1116" s="52">
        <v>1032000000</v>
      </c>
      <c r="J1116" s="51" t="s">
        <v>88</v>
      </c>
      <c r="K1116" s="51" t="s">
        <v>546</v>
      </c>
      <c r="L1116" s="41">
        <f t="shared" si="85"/>
        <v>5630000000</v>
      </c>
      <c r="M1116" s="41">
        <f t="shared" si="86"/>
        <v>2493000000</v>
      </c>
      <c r="N1116" s="41">
        <f t="shared" si="87"/>
        <v>3137000000</v>
      </c>
      <c r="O1116" s="41">
        <f t="shared" si="88"/>
        <v>0.74979927739863506</v>
      </c>
      <c r="P1116" s="41">
        <f t="shared" si="89"/>
        <v>0.31483340024086715</v>
      </c>
    </row>
    <row r="1117" spans="1:16" ht="19.95" customHeight="1">
      <c r="A1117" s="49">
        <v>1145</v>
      </c>
      <c r="B1117" s="50" t="s">
        <v>545</v>
      </c>
      <c r="C1117" s="51" t="s">
        <v>16</v>
      </c>
      <c r="D1117" s="51" t="s">
        <v>17</v>
      </c>
      <c r="E1117" s="52">
        <v>8414000000</v>
      </c>
      <c r="F1117" s="52">
        <v>5299000000</v>
      </c>
      <c r="G1117" s="52">
        <v>584000000</v>
      </c>
      <c r="H1117" s="52">
        <v>469000000</v>
      </c>
      <c r="I1117" s="52">
        <v>1362000000</v>
      </c>
      <c r="J1117" s="51" t="s">
        <v>88</v>
      </c>
      <c r="K1117" s="51" t="s">
        <v>546</v>
      </c>
      <c r="L1117" s="41">
        <f t="shared" si="85"/>
        <v>3115000000</v>
      </c>
      <c r="M1117" s="41">
        <f t="shared" si="86"/>
        <v>2415000000</v>
      </c>
      <c r="N1117" s="41">
        <f t="shared" si="87"/>
        <v>700000000</v>
      </c>
      <c r="O1117" s="41">
        <f t="shared" si="88"/>
        <v>0.71297836938435943</v>
      </c>
      <c r="P1117" s="41">
        <f t="shared" si="89"/>
        <v>8.3194675540765387E-2</v>
      </c>
    </row>
    <row r="1118" spans="1:16" ht="19.95" customHeight="1">
      <c r="A1118" s="49">
        <v>1146</v>
      </c>
      <c r="B1118" s="50" t="s">
        <v>545</v>
      </c>
      <c r="C1118" s="51" t="s">
        <v>18</v>
      </c>
      <c r="D1118" s="51" t="s">
        <v>19</v>
      </c>
      <c r="E1118" s="52">
        <v>7292000000</v>
      </c>
      <c r="F1118" s="52">
        <v>4457000000</v>
      </c>
      <c r="G1118" s="52">
        <v>545000000</v>
      </c>
      <c r="H1118" s="52">
        <v>325000000</v>
      </c>
      <c r="I1118" s="52">
        <v>1229000000</v>
      </c>
      <c r="J1118" s="51" t="s">
        <v>88</v>
      </c>
      <c r="K1118" s="51" t="s">
        <v>546</v>
      </c>
      <c r="L1118" s="41">
        <f t="shared" si="85"/>
        <v>2835000000</v>
      </c>
      <c r="M1118" s="41">
        <f t="shared" si="86"/>
        <v>2099000000</v>
      </c>
      <c r="N1118" s="41">
        <f t="shared" si="87"/>
        <v>736000000</v>
      </c>
      <c r="O1118" s="41">
        <f t="shared" si="88"/>
        <v>0.71215030170049376</v>
      </c>
      <c r="P1118" s="41">
        <f t="shared" si="89"/>
        <v>0.10093252879868349</v>
      </c>
    </row>
    <row r="1119" spans="1:16" ht="19.95" customHeight="1">
      <c r="A1119" s="49">
        <v>1147</v>
      </c>
      <c r="B1119" s="50" t="s">
        <v>545</v>
      </c>
      <c r="C1119" s="51" t="s">
        <v>20</v>
      </c>
      <c r="D1119" s="51" t="s">
        <v>21</v>
      </c>
      <c r="E1119" s="52">
        <v>7729000000</v>
      </c>
      <c r="F1119" s="52">
        <v>4312000000</v>
      </c>
      <c r="G1119" s="52">
        <v>670000000</v>
      </c>
      <c r="H1119" s="52">
        <v>289000000</v>
      </c>
      <c r="I1119" s="52">
        <v>1239000000</v>
      </c>
      <c r="J1119" s="51" t="s">
        <v>88</v>
      </c>
      <c r="K1119" s="51" t="s">
        <v>546</v>
      </c>
      <c r="L1119" s="41">
        <f t="shared" si="85"/>
        <v>3417000000</v>
      </c>
      <c r="M1119" s="41">
        <f t="shared" si="86"/>
        <v>2198000000</v>
      </c>
      <c r="N1119" s="41">
        <f t="shared" si="87"/>
        <v>1219000000</v>
      </c>
      <c r="O1119" s="41">
        <f t="shared" si="88"/>
        <v>0.71561650925087328</v>
      </c>
      <c r="P1119" s="41">
        <f t="shared" si="89"/>
        <v>0.15771768663475222</v>
      </c>
    </row>
    <row r="1120" spans="1:16" ht="19.95" customHeight="1">
      <c r="A1120" s="49">
        <v>1148</v>
      </c>
      <c r="B1120" s="50" t="s">
        <v>547</v>
      </c>
      <c r="C1120" s="51" t="s">
        <v>11</v>
      </c>
      <c r="D1120" s="51" t="s">
        <v>17</v>
      </c>
      <c r="E1120" s="52">
        <v>4374562000</v>
      </c>
      <c r="F1120" s="52">
        <v>3117203000</v>
      </c>
      <c r="G1120" s="52">
        <v>650243000</v>
      </c>
      <c r="H1120" s="52">
        <v>378769000</v>
      </c>
      <c r="I1120" s="52" t="s">
        <v>757</v>
      </c>
      <c r="J1120" s="51" t="s">
        <v>31</v>
      </c>
      <c r="K1120" s="51" t="s">
        <v>86</v>
      </c>
      <c r="L1120" s="41">
        <f t="shared" si="85"/>
        <v>1257359000</v>
      </c>
      <c r="M1120" s="41">
        <f t="shared" si="86"/>
        <v>1029012000</v>
      </c>
      <c r="N1120" s="41">
        <f t="shared" si="87"/>
        <v>228347000</v>
      </c>
      <c r="O1120" s="41">
        <f t="shared" si="88"/>
        <v>0.76477370763061536</v>
      </c>
      <c r="P1120" s="41">
        <f t="shared" si="89"/>
        <v>5.2198825848164911E-2</v>
      </c>
    </row>
    <row r="1121" spans="1:16" ht="19.95" customHeight="1">
      <c r="A1121" s="49">
        <v>1149</v>
      </c>
      <c r="B1121" s="50" t="s">
        <v>547</v>
      </c>
      <c r="C1121" s="51" t="s">
        <v>16</v>
      </c>
      <c r="D1121" s="51" t="s">
        <v>19</v>
      </c>
      <c r="E1121" s="52">
        <v>5504656000</v>
      </c>
      <c r="F1121" s="52">
        <v>3752760000</v>
      </c>
      <c r="G1121" s="52">
        <v>876927000</v>
      </c>
      <c r="H1121" s="52">
        <v>472321000</v>
      </c>
      <c r="I1121" s="52" t="s">
        <v>757</v>
      </c>
      <c r="J1121" s="51" t="s">
        <v>31</v>
      </c>
      <c r="K1121" s="51" t="s">
        <v>86</v>
      </c>
      <c r="L1121" s="41">
        <f t="shared" si="85"/>
        <v>1751896000</v>
      </c>
      <c r="M1121" s="41">
        <f t="shared" si="86"/>
        <v>1349248000</v>
      </c>
      <c r="N1121" s="41">
        <f t="shared" si="87"/>
        <v>402648000</v>
      </c>
      <c r="O1121" s="41">
        <f t="shared" si="88"/>
        <v>0.75488967884641656</v>
      </c>
      <c r="P1121" s="41">
        <f t="shared" si="89"/>
        <v>7.3146805177289914E-2</v>
      </c>
    </row>
    <row r="1122" spans="1:16" ht="19.95" customHeight="1">
      <c r="A1122" s="49">
        <v>1150</v>
      </c>
      <c r="B1122" s="50" t="s">
        <v>547</v>
      </c>
      <c r="C1122" s="51" t="s">
        <v>18</v>
      </c>
      <c r="D1122" s="51" t="s">
        <v>21</v>
      </c>
      <c r="E1122" s="52">
        <v>6779511000</v>
      </c>
      <c r="F1122" s="52">
        <v>4591476000</v>
      </c>
      <c r="G1122" s="52">
        <v>1231421000</v>
      </c>
      <c r="H1122" s="52">
        <v>650788000</v>
      </c>
      <c r="I1122" s="52" t="s">
        <v>757</v>
      </c>
      <c r="J1122" s="51" t="s">
        <v>31</v>
      </c>
      <c r="K1122" s="51" t="s">
        <v>86</v>
      </c>
      <c r="L1122" s="41">
        <f t="shared" si="85"/>
        <v>2188035000</v>
      </c>
      <c r="M1122" s="41">
        <f t="shared" si="86"/>
        <v>1882209000</v>
      </c>
      <c r="N1122" s="41">
        <f t="shared" si="87"/>
        <v>305826000</v>
      </c>
      <c r="O1122" s="41">
        <f t="shared" si="88"/>
        <v>0.72236802919856613</v>
      </c>
      <c r="P1122" s="41">
        <f t="shared" si="89"/>
        <v>4.5110333178897413E-2</v>
      </c>
    </row>
    <row r="1123" spans="1:16" ht="19.95" customHeight="1">
      <c r="A1123" s="49">
        <v>1151</v>
      </c>
      <c r="B1123" s="50" t="s">
        <v>547</v>
      </c>
      <c r="C1123" s="51" t="s">
        <v>20</v>
      </c>
      <c r="D1123" s="51" t="s">
        <v>84</v>
      </c>
      <c r="E1123" s="52">
        <v>8830669000</v>
      </c>
      <c r="F1123" s="52">
        <v>6029901000</v>
      </c>
      <c r="G1123" s="52">
        <v>1568877000</v>
      </c>
      <c r="H1123" s="52">
        <v>852098000</v>
      </c>
      <c r="I1123" s="52" t="s">
        <v>757</v>
      </c>
      <c r="J1123" s="51" t="s">
        <v>31</v>
      </c>
      <c r="K1123" s="51" t="s">
        <v>86</v>
      </c>
      <c r="L1123" s="41">
        <f t="shared" si="85"/>
        <v>2800768000</v>
      </c>
      <c r="M1123" s="41">
        <f t="shared" si="86"/>
        <v>2420975000</v>
      </c>
      <c r="N1123" s="41">
        <f t="shared" si="87"/>
        <v>379793000</v>
      </c>
      <c r="O1123" s="41">
        <f t="shared" si="88"/>
        <v>0.72584466703485317</v>
      </c>
      <c r="P1123" s="41">
        <f t="shared" si="89"/>
        <v>4.3008406271370835E-2</v>
      </c>
    </row>
    <row r="1124" spans="1:16" ht="19.95" customHeight="1">
      <c r="A1124" s="49">
        <v>1152</v>
      </c>
      <c r="B1124" s="50" t="s">
        <v>548</v>
      </c>
      <c r="C1124" s="51" t="s">
        <v>11</v>
      </c>
      <c r="D1124" s="51" t="s">
        <v>12</v>
      </c>
      <c r="E1124" s="52">
        <v>1562000000</v>
      </c>
      <c r="F1124" s="52">
        <v>413000000</v>
      </c>
      <c r="G1124" s="52">
        <v>311000000</v>
      </c>
      <c r="H1124" s="52" t="s">
        <v>757</v>
      </c>
      <c r="I1124" s="52">
        <v>704000000</v>
      </c>
      <c r="J1124" s="51" t="s">
        <v>116</v>
      </c>
      <c r="K1124" s="51" t="s">
        <v>117</v>
      </c>
      <c r="L1124" s="41">
        <f t="shared" si="85"/>
        <v>1149000000</v>
      </c>
      <c r="M1124" s="41">
        <f t="shared" si="86"/>
        <v>1015000000</v>
      </c>
      <c r="N1124" s="41">
        <f t="shared" si="87"/>
        <v>134000000</v>
      </c>
      <c r="O1124" s="41">
        <f t="shared" si="88"/>
        <v>0.35019206145966708</v>
      </c>
      <c r="P1124" s="41">
        <f t="shared" si="89"/>
        <v>8.5787451984635082E-2</v>
      </c>
    </row>
    <row r="1125" spans="1:16" ht="19.95" customHeight="1">
      <c r="A1125" s="53">
        <v>1153</v>
      </c>
      <c r="B1125" s="54" t="s">
        <v>548</v>
      </c>
      <c r="C1125" s="55" t="s">
        <v>16</v>
      </c>
      <c r="D1125" s="55" t="s">
        <v>17</v>
      </c>
      <c r="E1125" s="56">
        <v>1857000000</v>
      </c>
      <c r="F1125" s="56">
        <v>411000000</v>
      </c>
      <c r="G1125" s="56">
        <v>311000000</v>
      </c>
      <c r="H1125" s="56" t="s">
        <v>757</v>
      </c>
      <c r="I1125" s="56">
        <v>685000000</v>
      </c>
      <c r="J1125" s="55" t="s">
        <v>116</v>
      </c>
      <c r="K1125" s="55" t="s">
        <v>117</v>
      </c>
      <c r="L1125" s="57">
        <f t="shared" si="85"/>
        <v>1446000000</v>
      </c>
      <c r="M1125" s="57">
        <f t="shared" si="86"/>
        <v>996000000</v>
      </c>
      <c r="N1125" s="57">
        <f t="shared" si="87"/>
        <v>450000000</v>
      </c>
      <c r="O1125" s="57">
        <f t="shared" si="88"/>
        <v>0.46365105008077545</v>
      </c>
      <c r="P1125" s="57">
        <f t="shared" si="89"/>
        <v>0.24232633279483037</v>
      </c>
    </row>
    <row r="1126" spans="1:16" ht="19.95" customHeight="1">
      <c r="A1126" s="49">
        <v>1154</v>
      </c>
      <c r="B1126" s="50" t="s">
        <v>548</v>
      </c>
      <c r="C1126" s="51" t="s">
        <v>18</v>
      </c>
      <c r="D1126" s="51" t="s">
        <v>19</v>
      </c>
      <c r="E1126" s="52">
        <v>2288000000</v>
      </c>
      <c r="F1126" s="52">
        <v>485000000</v>
      </c>
      <c r="G1126" s="52">
        <v>358000000</v>
      </c>
      <c r="H1126" s="52" t="s">
        <v>757</v>
      </c>
      <c r="I1126" s="52">
        <v>870000000</v>
      </c>
      <c r="J1126" s="51" t="s">
        <v>116</v>
      </c>
      <c r="K1126" s="51" t="s">
        <v>117</v>
      </c>
      <c r="L1126" s="41">
        <f t="shared" si="85"/>
        <v>1803000000</v>
      </c>
      <c r="M1126" s="41">
        <f t="shared" si="86"/>
        <v>1228000000</v>
      </c>
      <c r="N1126" s="41">
        <f t="shared" si="87"/>
        <v>575000000</v>
      </c>
      <c r="O1126" s="41">
        <f t="shared" si="88"/>
        <v>0.46328671328671334</v>
      </c>
      <c r="P1126" s="41">
        <f t="shared" si="89"/>
        <v>0.2513111888111888</v>
      </c>
    </row>
    <row r="1127" spans="1:16" ht="19.95" customHeight="1">
      <c r="A1127" s="49">
        <v>1155</v>
      </c>
      <c r="B1127" s="50" t="s">
        <v>548</v>
      </c>
      <c r="C1127" s="51" t="s">
        <v>20</v>
      </c>
      <c r="D1127" s="51" t="s">
        <v>21</v>
      </c>
      <c r="E1127" s="52">
        <v>1557000000</v>
      </c>
      <c r="F1127" s="52">
        <v>497000000</v>
      </c>
      <c r="G1127" s="52">
        <v>5204000000</v>
      </c>
      <c r="H1127" s="52" t="s">
        <v>757</v>
      </c>
      <c r="I1127" s="52">
        <v>917000000</v>
      </c>
      <c r="J1127" s="51" t="s">
        <v>116</v>
      </c>
      <c r="K1127" s="51" t="s">
        <v>117</v>
      </c>
      <c r="L1127" s="41">
        <f t="shared" si="85"/>
        <v>1060000000</v>
      </c>
      <c r="M1127" s="41">
        <f t="shared" si="86"/>
        <v>6121000000</v>
      </c>
      <c r="N1127" s="41">
        <f t="shared" si="87"/>
        <v>-5061000000</v>
      </c>
      <c r="O1127" s="41">
        <f t="shared" si="88"/>
        <v>-2.9312780989081566</v>
      </c>
      <c r="P1127" s="41">
        <f t="shared" si="89"/>
        <v>-3.2504816955684008</v>
      </c>
    </row>
    <row r="1128" spans="1:16" ht="19.95" customHeight="1">
      <c r="A1128" s="49">
        <v>1156</v>
      </c>
      <c r="B1128" s="50" t="s">
        <v>549</v>
      </c>
      <c r="C1128" s="51" t="s">
        <v>11</v>
      </c>
      <c r="D1128" s="51" t="s">
        <v>263</v>
      </c>
      <c r="E1128" s="52">
        <v>25313000000</v>
      </c>
      <c r="F1128" s="52">
        <v>14279000000</v>
      </c>
      <c r="G1128" s="52">
        <v>7796000000</v>
      </c>
      <c r="H1128" s="52" t="s">
        <v>757</v>
      </c>
      <c r="I1128" s="52" t="s">
        <v>757</v>
      </c>
      <c r="J1128" s="51" t="s">
        <v>24</v>
      </c>
      <c r="K1128" s="51" t="s">
        <v>391</v>
      </c>
      <c r="L1128" s="41">
        <f t="shared" si="85"/>
        <v>11034000000</v>
      </c>
      <c r="M1128" s="41">
        <f t="shared" si="86"/>
        <v>7796000000</v>
      </c>
      <c r="N1128" s="41">
        <f t="shared" si="87"/>
        <v>3238000000</v>
      </c>
      <c r="O1128" s="41">
        <f t="shared" si="88"/>
        <v>0.69201596017856437</v>
      </c>
      <c r="P1128" s="41">
        <f t="shared" si="89"/>
        <v>0.12791846086990874</v>
      </c>
    </row>
    <row r="1129" spans="1:16" ht="19.95" customHeight="1">
      <c r="A1129" s="49">
        <v>1157</v>
      </c>
      <c r="B1129" s="50" t="s">
        <v>549</v>
      </c>
      <c r="C1129" s="51" t="s">
        <v>16</v>
      </c>
      <c r="D1129" s="51" t="s">
        <v>265</v>
      </c>
      <c r="E1129" s="52">
        <v>27799000000</v>
      </c>
      <c r="F1129" s="52">
        <v>15353000000</v>
      </c>
      <c r="G1129" s="52">
        <v>8766000000</v>
      </c>
      <c r="H1129" s="52" t="s">
        <v>757</v>
      </c>
      <c r="I1129" s="52" t="s">
        <v>757</v>
      </c>
      <c r="J1129" s="51" t="s">
        <v>24</v>
      </c>
      <c r="K1129" s="51" t="s">
        <v>391</v>
      </c>
      <c r="L1129" s="41">
        <f t="shared" si="85"/>
        <v>12446000000</v>
      </c>
      <c r="M1129" s="41">
        <f t="shared" si="86"/>
        <v>8766000000</v>
      </c>
      <c r="N1129" s="41">
        <f t="shared" si="87"/>
        <v>3680000000</v>
      </c>
      <c r="O1129" s="41">
        <f t="shared" si="88"/>
        <v>0.68466491600417279</v>
      </c>
      <c r="P1129" s="41">
        <f t="shared" si="89"/>
        <v>0.13237886254901254</v>
      </c>
    </row>
    <row r="1130" spans="1:16" ht="19.95" customHeight="1">
      <c r="A1130" s="49">
        <v>1158</v>
      </c>
      <c r="B1130" s="50" t="s">
        <v>549</v>
      </c>
      <c r="C1130" s="51" t="s">
        <v>18</v>
      </c>
      <c r="D1130" s="51" t="s">
        <v>175</v>
      </c>
      <c r="E1130" s="52">
        <v>30601000000</v>
      </c>
      <c r="F1130" s="52">
        <v>16534000000</v>
      </c>
      <c r="G1130" s="52">
        <v>9892000000</v>
      </c>
      <c r="H1130" s="52" t="s">
        <v>757</v>
      </c>
      <c r="I1130" s="52" t="s">
        <v>757</v>
      </c>
      <c r="J1130" s="51" t="s">
        <v>24</v>
      </c>
      <c r="K1130" s="51" t="s">
        <v>391</v>
      </c>
      <c r="L1130" s="41">
        <f t="shared" si="85"/>
        <v>14067000000</v>
      </c>
      <c r="M1130" s="41">
        <f t="shared" si="86"/>
        <v>9892000000</v>
      </c>
      <c r="N1130" s="41">
        <f t="shared" si="87"/>
        <v>4175000000</v>
      </c>
      <c r="O1130" s="41">
        <f t="shared" si="88"/>
        <v>0.67674259011143434</v>
      </c>
      <c r="P1130" s="41">
        <f t="shared" si="89"/>
        <v>0.13643344988725858</v>
      </c>
    </row>
    <row r="1131" spans="1:16" ht="19.95" customHeight="1">
      <c r="A1131" s="49">
        <v>1159</v>
      </c>
      <c r="B1131" s="50" t="s">
        <v>549</v>
      </c>
      <c r="C1131" s="51" t="s">
        <v>20</v>
      </c>
      <c r="D1131" s="51" t="s">
        <v>266</v>
      </c>
      <c r="E1131" s="52">
        <v>32376000000</v>
      </c>
      <c r="F1131" s="52">
        <v>17405000000</v>
      </c>
      <c r="G1131" s="52">
        <v>10469000000</v>
      </c>
      <c r="H1131" s="52" t="s">
        <v>757</v>
      </c>
      <c r="I1131" s="52" t="s">
        <v>757</v>
      </c>
      <c r="J1131" s="51" t="s">
        <v>24</v>
      </c>
      <c r="K1131" s="51" t="s">
        <v>391</v>
      </c>
      <c r="L1131" s="41">
        <f t="shared" si="85"/>
        <v>14971000000</v>
      </c>
      <c r="M1131" s="41">
        <f t="shared" si="86"/>
        <v>10469000000</v>
      </c>
      <c r="N1131" s="41">
        <f t="shared" si="87"/>
        <v>4502000000</v>
      </c>
      <c r="O1131" s="41">
        <f t="shared" si="88"/>
        <v>0.67664319248826299</v>
      </c>
      <c r="P1131" s="41">
        <f t="shared" si="89"/>
        <v>0.13905361996540647</v>
      </c>
    </row>
    <row r="1132" spans="1:16" ht="19.95" customHeight="1">
      <c r="A1132" s="49">
        <v>1160</v>
      </c>
      <c r="B1132" s="50" t="s">
        <v>550</v>
      </c>
      <c r="C1132" s="51" t="s">
        <v>11</v>
      </c>
      <c r="D1132" s="51" t="s">
        <v>17</v>
      </c>
      <c r="E1132" s="52">
        <v>5703000000</v>
      </c>
      <c r="F1132" s="52">
        <v>2398000000</v>
      </c>
      <c r="G1132" s="52">
        <v>1815000000</v>
      </c>
      <c r="H1132" s="52" t="s">
        <v>757</v>
      </c>
      <c r="I1132" s="52">
        <v>510000000</v>
      </c>
      <c r="J1132" s="51" t="s">
        <v>14</v>
      </c>
      <c r="K1132" s="51" t="s">
        <v>304</v>
      </c>
      <c r="L1132" s="41">
        <f t="shared" si="85"/>
        <v>3305000000</v>
      </c>
      <c r="M1132" s="41">
        <f t="shared" si="86"/>
        <v>2325000000</v>
      </c>
      <c r="N1132" s="41">
        <f t="shared" si="87"/>
        <v>980000000</v>
      </c>
      <c r="O1132" s="41">
        <f t="shared" si="88"/>
        <v>0.59231983166754332</v>
      </c>
      <c r="P1132" s="41">
        <f t="shared" si="89"/>
        <v>0.17183938278099245</v>
      </c>
    </row>
    <row r="1133" spans="1:16" ht="19.95" customHeight="1">
      <c r="A1133" s="49">
        <v>1161</v>
      </c>
      <c r="B1133" s="50" t="s">
        <v>550</v>
      </c>
      <c r="C1133" s="51" t="s">
        <v>16</v>
      </c>
      <c r="D1133" s="51" t="s">
        <v>19</v>
      </c>
      <c r="E1133" s="52">
        <v>6288000000</v>
      </c>
      <c r="F1133" s="52">
        <v>2620000000</v>
      </c>
      <c r="G1133" s="52">
        <v>1917000000</v>
      </c>
      <c r="H1133" s="52" t="s">
        <v>757</v>
      </c>
      <c r="I1133" s="52">
        <v>573000000</v>
      </c>
      <c r="J1133" s="51" t="s">
        <v>14</v>
      </c>
      <c r="K1133" s="51" t="s">
        <v>304</v>
      </c>
      <c r="L1133" s="41">
        <f t="shared" si="85"/>
        <v>3668000000</v>
      </c>
      <c r="M1133" s="41">
        <f t="shared" si="86"/>
        <v>2490000000</v>
      </c>
      <c r="N1133" s="41">
        <f t="shared" si="87"/>
        <v>1178000000</v>
      </c>
      <c r="O1133" s="41">
        <f t="shared" si="88"/>
        <v>0.6040076335877862</v>
      </c>
      <c r="P1133" s="41">
        <f t="shared" si="89"/>
        <v>0.18734096692111959</v>
      </c>
    </row>
    <row r="1134" spans="1:16" ht="19.95" customHeight="1">
      <c r="A1134" s="49">
        <v>1162</v>
      </c>
      <c r="B1134" s="50" t="s">
        <v>550</v>
      </c>
      <c r="C1134" s="51" t="s">
        <v>18</v>
      </c>
      <c r="D1134" s="51" t="s">
        <v>21</v>
      </c>
      <c r="E1134" s="52">
        <v>6172000000</v>
      </c>
      <c r="F1134" s="52">
        <v>2539000000</v>
      </c>
      <c r="G1134" s="52">
        <v>1915000000</v>
      </c>
      <c r="H1134" s="52" t="s">
        <v>757</v>
      </c>
      <c r="I1134" s="52">
        <v>574000000</v>
      </c>
      <c r="J1134" s="51" t="s">
        <v>14</v>
      </c>
      <c r="K1134" s="51" t="s">
        <v>304</v>
      </c>
      <c r="L1134" s="41">
        <f t="shared" si="85"/>
        <v>3633000000</v>
      </c>
      <c r="M1134" s="41">
        <f t="shared" si="86"/>
        <v>2489000000</v>
      </c>
      <c r="N1134" s="41">
        <f t="shared" si="87"/>
        <v>1144000000</v>
      </c>
      <c r="O1134" s="41">
        <f t="shared" si="88"/>
        <v>0.59672715489306549</v>
      </c>
      <c r="P1134" s="41">
        <f t="shared" si="89"/>
        <v>0.18535320803629293</v>
      </c>
    </row>
    <row r="1135" spans="1:16" ht="19.95" customHeight="1">
      <c r="A1135" s="49">
        <v>1163</v>
      </c>
      <c r="B1135" s="50" t="s">
        <v>550</v>
      </c>
      <c r="C1135" s="51" t="s">
        <v>20</v>
      </c>
      <c r="D1135" s="51" t="s">
        <v>84</v>
      </c>
      <c r="E1135" s="52">
        <v>6309000000</v>
      </c>
      <c r="F1135" s="52">
        <v>2607000000</v>
      </c>
      <c r="G1135" s="52">
        <v>1851000000</v>
      </c>
      <c r="H1135" s="52" t="s">
        <v>757</v>
      </c>
      <c r="I1135" s="52">
        <v>603000000</v>
      </c>
      <c r="J1135" s="51" t="s">
        <v>14</v>
      </c>
      <c r="K1135" s="51" t="s">
        <v>304</v>
      </c>
      <c r="L1135" s="41">
        <f t="shared" si="85"/>
        <v>3702000000</v>
      </c>
      <c r="M1135" s="41">
        <f t="shared" si="86"/>
        <v>2454000000</v>
      </c>
      <c r="N1135" s="41">
        <f t="shared" si="87"/>
        <v>1248000000</v>
      </c>
      <c r="O1135" s="41">
        <f t="shared" si="88"/>
        <v>0.6110318592486923</v>
      </c>
      <c r="P1135" s="41">
        <f t="shared" si="89"/>
        <v>0.19781264859724204</v>
      </c>
    </row>
    <row r="1136" spans="1:16" ht="19.95" customHeight="1">
      <c r="A1136" s="49">
        <v>1164</v>
      </c>
      <c r="B1136" s="50" t="s">
        <v>551</v>
      </c>
      <c r="C1136" s="51" t="s">
        <v>11</v>
      </c>
      <c r="D1136" s="51" t="s">
        <v>12</v>
      </c>
      <c r="E1136" s="52">
        <v>17194000000</v>
      </c>
      <c r="F1136" s="52">
        <v>12151000000</v>
      </c>
      <c r="G1136" s="52">
        <v>1654000000</v>
      </c>
      <c r="H1136" s="52" t="s">
        <v>757</v>
      </c>
      <c r="I1136" s="52" t="s">
        <v>757</v>
      </c>
      <c r="J1136" s="51" t="s">
        <v>116</v>
      </c>
      <c r="K1136" s="51" t="s">
        <v>162</v>
      </c>
      <c r="L1136" s="41">
        <f t="shared" si="85"/>
        <v>5043000000</v>
      </c>
      <c r="M1136" s="41">
        <f t="shared" si="86"/>
        <v>1654000000</v>
      </c>
      <c r="N1136" s="41">
        <f t="shared" si="87"/>
        <v>3389000000</v>
      </c>
      <c r="O1136" s="41">
        <f t="shared" si="88"/>
        <v>0.90380365243689664</v>
      </c>
      <c r="P1136" s="41">
        <f t="shared" si="89"/>
        <v>0.19710364080493195</v>
      </c>
    </row>
    <row r="1137" spans="1:16" ht="19.95" customHeight="1">
      <c r="A1137" s="53">
        <v>1165</v>
      </c>
      <c r="B1137" s="54" t="s">
        <v>551</v>
      </c>
      <c r="C1137" s="55" t="s">
        <v>16</v>
      </c>
      <c r="D1137" s="55" t="s">
        <v>17</v>
      </c>
      <c r="E1137" s="56">
        <v>19221000000</v>
      </c>
      <c r="F1137" s="56">
        <v>14117000000</v>
      </c>
      <c r="G1137" s="56">
        <v>1905000000</v>
      </c>
      <c r="H1137" s="56" t="s">
        <v>757</v>
      </c>
      <c r="I1137" s="56" t="s">
        <v>757</v>
      </c>
      <c r="J1137" s="55" t="s">
        <v>116</v>
      </c>
      <c r="K1137" s="55" t="s">
        <v>162</v>
      </c>
      <c r="L1137" s="57">
        <f t="shared" si="85"/>
        <v>5104000000</v>
      </c>
      <c r="M1137" s="57">
        <f t="shared" si="86"/>
        <v>1905000000</v>
      </c>
      <c r="N1137" s="57">
        <f t="shared" si="87"/>
        <v>3199000000</v>
      </c>
      <c r="O1137" s="57">
        <f t="shared" si="88"/>
        <v>0.90088965194318715</v>
      </c>
      <c r="P1137" s="57">
        <f t="shared" si="89"/>
        <v>0.16643254773424901</v>
      </c>
    </row>
    <row r="1138" spans="1:16" ht="19.95" customHeight="1">
      <c r="A1138" s="49">
        <v>1166</v>
      </c>
      <c r="B1138" s="50" t="s">
        <v>551</v>
      </c>
      <c r="C1138" s="51" t="s">
        <v>18</v>
      </c>
      <c r="D1138" s="51" t="s">
        <v>19</v>
      </c>
      <c r="E1138" s="52">
        <v>21440000000</v>
      </c>
      <c r="F1138" s="52">
        <v>15631000000</v>
      </c>
      <c r="G1138" s="52">
        <v>2092000000</v>
      </c>
      <c r="H1138" s="52" t="s">
        <v>757</v>
      </c>
      <c r="I1138" s="52" t="s">
        <v>757</v>
      </c>
      <c r="J1138" s="51" t="s">
        <v>116</v>
      </c>
      <c r="K1138" s="51" t="s">
        <v>162</v>
      </c>
      <c r="L1138" s="41">
        <f t="shared" si="85"/>
        <v>5809000000</v>
      </c>
      <c r="M1138" s="41">
        <f t="shared" si="86"/>
        <v>2092000000</v>
      </c>
      <c r="N1138" s="41">
        <f t="shared" si="87"/>
        <v>3717000000</v>
      </c>
      <c r="O1138" s="41">
        <f t="shared" si="88"/>
        <v>0.90242537313432836</v>
      </c>
      <c r="P1138" s="41">
        <f t="shared" si="89"/>
        <v>0.17336753731343282</v>
      </c>
    </row>
    <row r="1139" spans="1:16" ht="19.95" customHeight="1">
      <c r="A1139" s="49">
        <v>1167</v>
      </c>
      <c r="B1139" s="50" t="s">
        <v>551</v>
      </c>
      <c r="C1139" s="51" t="s">
        <v>20</v>
      </c>
      <c r="D1139" s="51" t="s">
        <v>21</v>
      </c>
      <c r="E1139" s="52">
        <v>14757000000</v>
      </c>
      <c r="F1139" s="52">
        <v>11694000000</v>
      </c>
      <c r="G1139" s="52">
        <v>1764000000</v>
      </c>
      <c r="H1139" s="52" t="s">
        <v>757</v>
      </c>
      <c r="I1139" s="52" t="s">
        <v>757</v>
      </c>
      <c r="J1139" s="51" t="s">
        <v>116</v>
      </c>
      <c r="K1139" s="51" t="s">
        <v>162</v>
      </c>
      <c r="L1139" s="41">
        <f t="shared" si="85"/>
        <v>3063000000</v>
      </c>
      <c r="M1139" s="41">
        <f t="shared" si="86"/>
        <v>1764000000</v>
      </c>
      <c r="N1139" s="41">
        <f t="shared" si="87"/>
        <v>1299000000</v>
      </c>
      <c r="O1139" s="41">
        <f t="shared" si="88"/>
        <v>0.88046350884326086</v>
      </c>
      <c r="P1139" s="41">
        <f t="shared" si="89"/>
        <v>8.8026021549095348E-2</v>
      </c>
    </row>
    <row r="1140" spans="1:16" ht="19.95" customHeight="1">
      <c r="A1140" s="49">
        <v>1168</v>
      </c>
      <c r="B1140" s="50" t="s">
        <v>552</v>
      </c>
      <c r="C1140" s="51" t="s">
        <v>11</v>
      </c>
      <c r="D1140" s="51" t="s">
        <v>17</v>
      </c>
      <c r="E1140" s="52">
        <v>11245000000</v>
      </c>
      <c r="F1140" s="52">
        <v>4070000000</v>
      </c>
      <c r="G1140" s="52">
        <v>3002000000</v>
      </c>
      <c r="H1140" s="52" t="s">
        <v>757</v>
      </c>
      <c r="I1140" s="52">
        <v>916000000</v>
      </c>
      <c r="J1140" s="51" t="s">
        <v>14</v>
      </c>
      <c r="K1140" s="51" t="s">
        <v>258</v>
      </c>
      <c r="L1140" s="41">
        <f t="shared" si="85"/>
        <v>7175000000</v>
      </c>
      <c r="M1140" s="41">
        <f t="shared" si="86"/>
        <v>3918000000</v>
      </c>
      <c r="N1140" s="41">
        <f t="shared" si="87"/>
        <v>3257000000</v>
      </c>
      <c r="O1140" s="41">
        <f t="shared" si="88"/>
        <v>0.65157847932414414</v>
      </c>
      <c r="P1140" s="41">
        <f t="shared" si="89"/>
        <v>0.28963983992885728</v>
      </c>
    </row>
    <row r="1141" spans="1:16" ht="19.95" customHeight="1">
      <c r="A1141" s="49">
        <v>1169</v>
      </c>
      <c r="B1141" s="50" t="s">
        <v>552</v>
      </c>
      <c r="C1141" s="51" t="s">
        <v>16</v>
      </c>
      <c r="D1141" s="51" t="s">
        <v>19</v>
      </c>
      <c r="E1141" s="52">
        <v>11624000000</v>
      </c>
      <c r="F1141" s="52">
        <v>4201000000</v>
      </c>
      <c r="G1141" s="52">
        <v>2897000000</v>
      </c>
      <c r="H1141" s="52" t="s">
        <v>757</v>
      </c>
      <c r="I1141" s="52">
        <v>951000000</v>
      </c>
      <c r="J1141" s="51" t="s">
        <v>14</v>
      </c>
      <c r="K1141" s="51" t="s">
        <v>258</v>
      </c>
      <c r="L1141" s="41">
        <f t="shared" si="85"/>
        <v>7423000000</v>
      </c>
      <c r="M1141" s="41">
        <f t="shared" si="86"/>
        <v>3848000000</v>
      </c>
      <c r="N1141" s="41">
        <f t="shared" si="87"/>
        <v>3575000000</v>
      </c>
      <c r="O1141" s="41">
        <f t="shared" si="88"/>
        <v>0.66896077081899519</v>
      </c>
      <c r="P1141" s="41">
        <f t="shared" si="89"/>
        <v>0.30755333792154166</v>
      </c>
    </row>
    <row r="1142" spans="1:16" ht="19.95" customHeight="1">
      <c r="A1142" s="49">
        <v>1170</v>
      </c>
      <c r="B1142" s="50" t="s">
        <v>552</v>
      </c>
      <c r="C1142" s="51" t="s">
        <v>18</v>
      </c>
      <c r="D1142" s="51" t="s">
        <v>21</v>
      </c>
      <c r="E1142" s="52">
        <v>10511000000</v>
      </c>
      <c r="F1142" s="52">
        <v>3662000000</v>
      </c>
      <c r="G1142" s="52">
        <v>2911000000</v>
      </c>
      <c r="H1142" s="52" t="s">
        <v>757</v>
      </c>
      <c r="I1142" s="52">
        <v>1054000000</v>
      </c>
      <c r="J1142" s="51" t="s">
        <v>14</v>
      </c>
      <c r="K1142" s="51" t="s">
        <v>258</v>
      </c>
      <c r="L1142" s="41">
        <f t="shared" si="85"/>
        <v>6849000000</v>
      </c>
      <c r="M1142" s="41">
        <f t="shared" si="86"/>
        <v>3965000000</v>
      </c>
      <c r="N1142" s="41">
        <f t="shared" si="87"/>
        <v>2884000000</v>
      </c>
      <c r="O1142" s="41">
        <f t="shared" si="88"/>
        <v>0.62277613928265629</v>
      </c>
      <c r="P1142" s="41">
        <f t="shared" si="89"/>
        <v>0.27437922176767199</v>
      </c>
    </row>
    <row r="1143" spans="1:16" ht="19.95" customHeight="1">
      <c r="A1143" s="49">
        <v>1171</v>
      </c>
      <c r="B1143" s="50" t="s">
        <v>552</v>
      </c>
      <c r="C1143" s="51" t="s">
        <v>20</v>
      </c>
      <c r="D1143" s="51" t="s">
        <v>84</v>
      </c>
      <c r="E1143" s="52">
        <v>9888000000</v>
      </c>
      <c r="F1143" s="52">
        <v>3045000000</v>
      </c>
      <c r="G1143" s="52">
        <v>2743000000</v>
      </c>
      <c r="H1143" s="52" t="s">
        <v>757</v>
      </c>
      <c r="I1143" s="52">
        <v>1026000000</v>
      </c>
      <c r="J1143" s="51" t="s">
        <v>14</v>
      </c>
      <c r="K1143" s="51" t="s">
        <v>258</v>
      </c>
      <c r="L1143" s="41">
        <f t="shared" si="85"/>
        <v>6843000000</v>
      </c>
      <c r="M1143" s="41">
        <f t="shared" si="86"/>
        <v>3769000000</v>
      </c>
      <c r="N1143" s="41">
        <f t="shared" si="87"/>
        <v>3074000000</v>
      </c>
      <c r="O1143" s="41">
        <f t="shared" si="88"/>
        <v>0.61883090614886727</v>
      </c>
      <c r="P1143" s="41">
        <f t="shared" si="89"/>
        <v>0.31088187702265374</v>
      </c>
    </row>
    <row r="1144" spans="1:16" ht="19.95" customHeight="1">
      <c r="A1144" s="49">
        <v>1172</v>
      </c>
      <c r="B1144" s="50" t="s">
        <v>553</v>
      </c>
      <c r="C1144" s="51" t="s">
        <v>11</v>
      </c>
      <c r="D1144" s="51" t="s">
        <v>554</v>
      </c>
      <c r="E1144" s="52">
        <v>6332400000</v>
      </c>
      <c r="F1144" s="52">
        <v>2571300000</v>
      </c>
      <c r="G1144" s="52">
        <v>2247400000</v>
      </c>
      <c r="H1144" s="52">
        <v>904200000</v>
      </c>
      <c r="I1144" s="52" t="s">
        <v>757</v>
      </c>
      <c r="J1144" s="51" t="s">
        <v>31</v>
      </c>
      <c r="K1144" s="51" t="s">
        <v>86</v>
      </c>
      <c r="L1144" s="41">
        <f t="shared" si="85"/>
        <v>3761100000</v>
      </c>
      <c r="M1144" s="41">
        <f t="shared" si="86"/>
        <v>3151600000</v>
      </c>
      <c r="N1144" s="41">
        <f t="shared" si="87"/>
        <v>609500000</v>
      </c>
      <c r="O1144" s="41">
        <f t="shared" si="88"/>
        <v>0.50230560293095827</v>
      </c>
      <c r="P1144" s="41">
        <f t="shared" si="89"/>
        <v>9.6251026467058298E-2</v>
      </c>
    </row>
    <row r="1145" spans="1:16" ht="19.95" customHeight="1">
      <c r="A1145" s="49">
        <v>1173</v>
      </c>
      <c r="B1145" s="50" t="s">
        <v>553</v>
      </c>
      <c r="C1145" s="51" t="s">
        <v>16</v>
      </c>
      <c r="D1145" s="51" t="s">
        <v>555</v>
      </c>
      <c r="E1145" s="52">
        <v>6325000000</v>
      </c>
      <c r="F1145" s="52">
        <v>2406000000</v>
      </c>
      <c r="G1145" s="52">
        <v>2179000000</v>
      </c>
      <c r="H1145" s="52">
        <v>918000000</v>
      </c>
      <c r="I1145" s="52" t="s">
        <v>757</v>
      </c>
      <c r="J1145" s="51" t="s">
        <v>31</v>
      </c>
      <c r="K1145" s="51" t="s">
        <v>86</v>
      </c>
      <c r="L1145" s="41">
        <f t="shared" si="85"/>
        <v>3919000000</v>
      </c>
      <c r="M1145" s="41">
        <f t="shared" si="86"/>
        <v>3097000000</v>
      </c>
      <c r="N1145" s="41">
        <f t="shared" si="87"/>
        <v>822000000</v>
      </c>
      <c r="O1145" s="41">
        <f t="shared" si="88"/>
        <v>0.51035573122529643</v>
      </c>
      <c r="P1145" s="41">
        <f t="shared" si="89"/>
        <v>0.12996047430830041</v>
      </c>
    </row>
    <row r="1146" spans="1:16" ht="19.95" customHeight="1">
      <c r="A1146" s="49">
        <v>1174</v>
      </c>
      <c r="B1146" s="50" t="s">
        <v>553</v>
      </c>
      <c r="C1146" s="51" t="s">
        <v>18</v>
      </c>
      <c r="D1146" s="51" t="s">
        <v>556</v>
      </c>
      <c r="E1146" s="52">
        <v>6123000000</v>
      </c>
      <c r="F1146" s="52">
        <v>2290000000</v>
      </c>
      <c r="G1146" s="52">
        <v>2197000000</v>
      </c>
      <c r="H1146" s="52">
        <v>920000000</v>
      </c>
      <c r="I1146" s="52" t="s">
        <v>757</v>
      </c>
      <c r="J1146" s="51" t="s">
        <v>31</v>
      </c>
      <c r="K1146" s="51" t="s">
        <v>86</v>
      </c>
      <c r="L1146" s="41">
        <f t="shared" si="85"/>
        <v>3833000000</v>
      </c>
      <c r="M1146" s="41">
        <f t="shared" si="86"/>
        <v>3117000000</v>
      </c>
      <c r="N1146" s="41">
        <f t="shared" si="87"/>
        <v>716000000</v>
      </c>
      <c r="O1146" s="41">
        <f t="shared" si="88"/>
        <v>0.49093581577658008</v>
      </c>
      <c r="P1146" s="41">
        <f t="shared" si="89"/>
        <v>0.11693614241384942</v>
      </c>
    </row>
    <row r="1147" spans="1:16" ht="19.95" customHeight="1">
      <c r="A1147" s="49">
        <v>1175</v>
      </c>
      <c r="B1147" s="50" t="s">
        <v>553</v>
      </c>
      <c r="C1147" s="51" t="s">
        <v>20</v>
      </c>
      <c r="D1147" s="51" t="s">
        <v>557</v>
      </c>
      <c r="E1147" s="52">
        <v>5546000000</v>
      </c>
      <c r="F1147" s="52">
        <v>2173000000</v>
      </c>
      <c r="G1147" s="52">
        <v>2099000000</v>
      </c>
      <c r="H1147" s="52">
        <v>861000000</v>
      </c>
      <c r="I1147" s="52" t="s">
        <v>757</v>
      </c>
      <c r="J1147" s="51" t="s">
        <v>31</v>
      </c>
      <c r="K1147" s="51" t="s">
        <v>86</v>
      </c>
      <c r="L1147" s="41">
        <f t="shared" si="85"/>
        <v>3373000000</v>
      </c>
      <c r="M1147" s="41">
        <f t="shared" si="86"/>
        <v>2960000000</v>
      </c>
      <c r="N1147" s="41">
        <f t="shared" si="87"/>
        <v>413000000</v>
      </c>
      <c r="O1147" s="41">
        <f t="shared" si="88"/>
        <v>0.46628200504868378</v>
      </c>
      <c r="P1147" s="41">
        <f t="shared" si="89"/>
        <v>7.4468085106382975E-2</v>
      </c>
    </row>
    <row r="1148" spans="1:16" ht="19.95" customHeight="1">
      <c r="A1148" s="49">
        <v>1180</v>
      </c>
      <c r="B1148" s="50" t="s">
        <v>558</v>
      </c>
      <c r="C1148" s="51" t="s">
        <v>11</v>
      </c>
      <c r="D1148" s="51" t="s">
        <v>12</v>
      </c>
      <c r="E1148" s="52">
        <v>19429273000</v>
      </c>
      <c r="F1148" s="52">
        <v>17915735000</v>
      </c>
      <c r="G1148" s="52">
        <v>454900000</v>
      </c>
      <c r="H1148" s="52" t="s">
        <v>757</v>
      </c>
      <c r="I1148" s="52" t="s">
        <v>757</v>
      </c>
      <c r="J1148" s="51" t="s">
        <v>88</v>
      </c>
      <c r="K1148" s="51" t="s">
        <v>559</v>
      </c>
      <c r="L1148" s="41">
        <f t="shared" si="85"/>
        <v>1513538000</v>
      </c>
      <c r="M1148" s="41">
        <f t="shared" si="86"/>
        <v>454900000</v>
      </c>
      <c r="N1148" s="41">
        <f t="shared" si="87"/>
        <v>1058638000</v>
      </c>
      <c r="O1148" s="41">
        <f t="shared" si="88"/>
        <v>0.97658687486659945</v>
      </c>
      <c r="P1148" s="41">
        <f t="shared" si="89"/>
        <v>5.448675305555694E-2</v>
      </c>
    </row>
    <row r="1149" spans="1:16" ht="19.95" customHeight="1">
      <c r="A1149" s="49">
        <v>1181</v>
      </c>
      <c r="B1149" s="50" t="s">
        <v>558</v>
      </c>
      <c r="C1149" s="51" t="s">
        <v>16</v>
      </c>
      <c r="D1149" s="51" t="s">
        <v>17</v>
      </c>
      <c r="E1149" s="52">
        <v>19052046000</v>
      </c>
      <c r="F1149" s="52">
        <v>17641421000</v>
      </c>
      <c r="G1149" s="52">
        <v>467904000</v>
      </c>
      <c r="H1149" s="52" t="s">
        <v>757</v>
      </c>
      <c r="I1149" s="52" t="s">
        <v>757</v>
      </c>
      <c r="J1149" s="51" t="s">
        <v>88</v>
      </c>
      <c r="K1149" s="51" t="s">
        <v>559</v>
      </c>
      <c r="L1149" s="41">
        <f t="shared" si="85"/>
        <v>1410625000</v>
      </c>
      <c r="M1149" s="41">
        <f t="shared" si="86"/>
        <v>467904000</v>
      </c>
      <c r="N1149" s="41">
        <f t="shared" si="87"/>
        <v>942721000</v>
      </c>
      <c r="O1149" s="41">
        <f t="shared" si="88"/>
        <v>0.97544074793856783</v>
      </c>
      <c r="P1149" s="41">
        <f t="shared" si="89"/>
        <v>4.9481352291507172E-2</v>
      </c>
    </row>
    <row r="1150" spans="1:16" ht="19.95" customHeight="1">
      <c r="A1150" s="49">
        <v>1182</v>
      </c>
      <c r="B1150" s="50" t="s">
        <v>558</v>
      </c>
      <c r="C1150" s="51" t="s">
        <v>18</v>
      </c>
      <c r="D1150" s="51" t="s">
        <v>19</v>
      </c>
      <c r="E1150" s="52">
        <v>21105141000</v>
      </c>
      <c r="F1150" s="52">
        <v>19198615000</v>
      </c>
      <c r="G1150" s="52">
        <v>520805000</v>
      </c>
      <c r="H1150" s="52" t="s">
        <v>757</v>
      </c>
      <c r="I1150" s="52" t="s">
        <v>757</v>
      </c>
      <c r="J1150" s="51" t="s">
        <v>88</v>
      </c>
      <c r="K1150" s="51" t="s">
        <v>559</v>
      </c>
      <c r="L1150" s="41">
        <f t="shared" si="85"/>
        <v>1906526000</v>
      </c>
      <c r="M1150" s="41">
        <f t="shared" si="86"/>
        <v>520805000</v>
      </c>
      <c r="N1150" s="41">
        <f t="shared" si="87"/>
        <v>1385721000</v>
      </c>
      <c r="O1150" s="41">
        <f t="shared" si="88"/>
        <v>0.97532331103592251</v>
      </c>
      <c r="P1150" s="41">
        <f t="shared" si="89"/>
        <v>6.5657983521645272E-2</v>
      </c>
    </row>
    <row r="1151" spans="1:16" ht="19.95" customHeight="1">
      <c r="A1151" s="49">
        <v>1183</v>
      </c>
      <c r="B1151" s="50" t="s">
        <v>558</v>
      </c>
      <c r="C1151" s="51" t="s">
        <v>20</v>
      </c>
      <c r="D1151" s="51" t="s">
        <v>21</v>
      </c>
      <c r="E1151" s="52">
        <v>16439276000</v>
      </c>
      <c r="F1151" s="52">
        <v>14858014000</v>
      </c>
      <c r="G1151" s="52">
        <v>458989000</v>
      </c>
      <c r="H1151" s="52" t="s">
        <v>757</v>
      </c>
      <c r="I1151" s="52" t="s">
        <v>757</v>
      </c>
      <c r="J1151" s="51" t="s">
        <v>88</v>
      </c>
      <c r="K1151" s="51" t="s">
        <v>559</v>
      </c>
      <c r="L1151" s="41">
        <f t="shared" si="85"/>
        <v>1581262000</v>
      </c>
      <c r="M1151" s="41">
        <f t="shared" si="86"/>
        <v>458989000</v>
      </c>
      <c r="N1151" s="41">
        <f t="shared" si="87"/>
        <v>1122273000</v>
      </c>
      <c r="O1151" s="41">
        <f t="shared" si="88"/>
        <v>0.97207973149182481</v>
      </c>
      <c r="P1151" s="41">
        <f t="shared" si="89"/>
        <v>6.8267787462172907E-2</v>
      </c>
    </row>
    <row r="1152" spans="1:16" ht="19.95" customHeight="1">
      <c r="A1152" s="49">
        <v>1184</v>
      </c>
      <c r="B1152" s="50" t="s">
        <v>560</v>
      </c>
      <c r="C1152" s="51" t="s">
        <v>11</v>
      </c>
      <c r="D1152" s="51" t="s">
        <v>561</v>
      </c>
      <c r="E1152" s="52">
        <v>4280159000</v>
      </c>
      <c r="F1152" s="52">
        <v>2053816000</v>
      </c>
      <c r="G1152" s="52">
        <v>430822000</v>
      </c>
      <c r="H1152" s="52">
        <v>1147282000</v>
      </c>
      <c r="I1152" s="52" t="s">
        <v>757</v>
      </c>
      <c r="J1152" s="51" t="s">
        <v>31</v>
      </c>
      <c r="K1152" s="51" t="s">
        <v>55</v>
      </c>
      <c r="L1152" s="41">
        <f t="shared" si="85"/>
        <v>2226343000</v>
      </c>
      <c r="M1152" s="41">
        <f t="shared" si="86"/>
        <v>1578104000</v>
      </c>
      <c r="N1152" s="41">
        <f t="shared" si="87"/>
        <v>648239000</v>
      </c>
      <c r="O1152" s="41">
        <f t="shared" si="88"/>
        <v>0.63129780926362788</v>
      </c>
      <c r="P1152" s="41">
        <f t="shared" si="89"/>
        <v>0.15145208390622872</v>
      </c>
    </row>
    <row r="1153" spans="1:16" ht="19.95" customHeight="1">
      <c r="A1153" s="49">
        <v>1185</v>
      </c>
      <c r="B1153" s="50" t="s">
        <v>560</v>
      </c>
      <c r="C1153" s="51" t="s">
        <v>16</v>
      </c>
      <c r="D1153" s="51" t="s">
        <v>562</v>
      </c>
      <c r="E1153" s="52">
        <v>4130000000</v>
      </c>
      <c r="F1153" s="52">
        <v>1862000000</v>
      </c>
      <c r="G1153" s="52">
        <v>436000000</v>
      </c>
      <c r="H1153" s="52">
        <v>1336000000</v>
      </c>
      <c r="I1153" s="52" t="s">
        <v>757</v>
      </c>
      <c r="J1153" s="51" t="s">
        <v>31</v>
      </c>
      <c r="K1153" s="51" t="s">
        <v>55</v>
      </c>
      <c r="L1153" s="41">
        <f t="shared" si="85"/>
        <v>2268000000</v>
      </c>
      <c r="M1153" s="41">
        <f t="shared" si="86"/>
        <v>1772000000</v>
      </c>
      <c r="N1153" s="41">
        <f t="shared" si="87"/>
        <v>496000000</v>
      </c>
      <c r="O1153" s="41">
        <f t="shared" si="88"/>
        <v>0.57094430992736078</v>
      </c>
      <c r="P1153" s="41">
        <f t="shared" si="89"/>
        <v>0.12009685230024213</v>
      </c>
    </row>
    <row r="1154" spans="1:16" ht="19.95" customHeight="1">
      <c r="A1154" s="49">
        <v>1186</v>
      </c>
      <c r="B1154" s="50" t="s">
        <v>560</v>
      </c>
      <c r="C1154" s="51" t="s">
        <v>18</v>
      </c>
      <c r="D1154" s="51" t="s">
        <v>563</v>
      </c>
      <c r="E1154" s="52">
        <v>4682000000</v>
      </c>
      <c r="F1154" s="52">
        <v>2083000000</v>
      </c>
      <c r="G1154" s="52">
        <v>480000000</v>
      </c>
      <c r="H1154" s="52">
        <v>1360000000</v>
      </c>
      <c r="I1154" s="52" t="s">
        <v>757</v>
      </c>
      <c r="J1154" s="51" t="s">
        <v>31</v>
      </c>
      <c r="K1154" s="51" t="s">
        <v>55</v>
      </c>
      <c r="L1154" s="41">
        <f t="shared" si="85"/>
        <v>2599000000</v>
      </c>
      <c r="M1154" s="41">
        <f t="shared" si="86"/>
        <v>1840000000</v>
      </c>
      <c r="N1154" s="41">
        <f t="shared" si="87"/>
        <v>759000000</v>
      </c>
      <c r="O1154" s="41">
        <f t="shared" si="88"/>
        <v>0.60700555318240068</v>
      </c>
      <c r="P1154" s="41">
        <f t="shared" si="89"/>
        <v>0.16211020931225972</v>
      </c>
    </row>
    <row r="1155" spans="1:16" ht="19.95" customHeight="1">
      <c r="A1155" s="49">
        <v>1187</v>
      </c>
      <c r="B1155" s="50" t="s">
        <v>560</v>
      </c>
      <c r="C1155" s="51" t="s">
        <v>20</v>
      </c>
      <c r="D1155" s="51" t="s">
        <v>68</v>
      </c>
      <c r="E1155" s="52">
        <v>5010000000</v>
      </c>
      <c r="F1155" s="52">
        <v>2199000000</v>
      </c>
      <c r="G1155" s="52">
        <v>602000000</v>
      </c>
      <c r="H1155" s="52">
        <v>1331000000</v>
      </c>
      <c r="I1155" s="52" t="s">
        <v>757</v>
      </c>
      <c r="J1155" s="51" t="s">
        <v>31</v>
      </c>
      <c r="K1155" s="51" t="s">
        <v>55</v>
      </c>
      <c r="L1155" s="41">
        <f t="shared" ref="L1155:L1218" si="90">Total_Revenue-COGS</f>
        <v>2811000000</v>
      </c>
      <c r="M1155" s="41">
        <f t="shared" ref="M1155:M1218" si="91">SGAA+RandD+OOI</f>
        <v>1933000000</v>
      </c>
      <c r="N1155" s="41">
        <f t="shared" ref="N1155:N1218" si="92">Gross_Profit-Total_Operating_Expenses</f>
        <v>878000000</v>
      </c>
      <c r="O1155" s="41">
        <f t="shared" ref="O1155:O1218" si="93">1-(Total_Operating_Expenses/Total_Revenue)</f>
        <v>0.61417165668662677</v>
      </c>
      <c r="P1155" s="41">
        <f t="shared" ref="P1155:P1218" si="94">Operating_Profit/Total_Revenue</f>
        <v>0.17524950099800399</v>
      </c>
    </row>
    <row r="1156" spans="1:16" ht="19.95" customHeight="1">
      <c r="A1156" s="49">
        <v>1188</v>
      </c>
      <c r="B1156" s="50" t="s">
        <v>564</v>
      </c>
      <c r="C1156" s="51" t="s">
        <v>11</v>
      </c>
      <c r="D1156" s="51" t="s">
        <v>12</v>
      </c>
      <c r="E1156" s="52">
        <v>5508500000</v>
      </c>
      <c r="F1156" s="52">
        <v>3414400000</v>
      </c>
      <c r="G1156" s="52">
        <v>1403500000</v>
      </c>
      <c r="H1156" s="52" t="s">
        <v>757</v>
      </c>
      <c r="I1156" s="52" t="s">
        <v>757</v>
      </c>
      <c r="J1156" s="51" t="s">
        <v>24</v>
      </c>
      <c r="K1156" s="51" t="s">
        <v>565</v>
      </c>
      <c r="L1156" s="41">
        <f t="shared" si="90"/>
        <v>2094100000</v>
      </c>
      <c r="M1156" s="41">
        <f t="shared" si="91"/>
        <v>1403500000</v>
      </c>
      <c r="N1156" s="41">
        <f t="shared" si="92"/>
        <v>690600000</v>
      </c>
      <c r="O1156" s="41">
        <f t="shared" si="93"/>
        <v>0.7452119451756376</v>
      </c>
      <c r="P1156" s="41">
        <f t="shared" si="94"/>
        <v>0.12536988290823273</v>
      </c>
    </row>
    <row r="1157" spans="1:16" ht="19.95" customHeight="1">
      <c r="A1157" s="49">
        <v>1189</v>
      </c>
      <c r="B1157" s="50" t="s">
        <v>564</v>
      </c>
      <c r="C1157" s="51" t="s">
        <v>16</v>
      </c>
      <c r="D1157" s="51" t="s">
        <v>17</v>
      </c>
      <c r="E1157" s="52">
        <v>5607000000</v>
      </c>
      <c r="F1157" s="52">
        <v>3482100000</v>
      </c>
      <c r="G1157" s="52">
        <v>1399500000</v>
      </c>
      <c r="H1157" s="52" t="s">
        <v>757</v>
      </c>
      <c r="I1157" s="52" t="s">
        <v>757</v>
      </c>
      <c r="J1157" s="51" t="s">
        <v>24</v>
      </c>
      <c r="K1157" s="51" t="s">
        <v>565</v>
      </c>
      <c r="L1157" s="41">
        <f t="shared" si="90"/>
        <v>2124900000</v>
      </c>
      <c r="M1157" s="41">
        <f t="shared" si="91"/>
        <v>1399500000</v>
      </c>
      <c r="N1157" s="41">
        <f t="shared" si="92"/>
        <v>725400000</v>
      </c>
      <c r="O1157" s="41">
        <f t="shared" si="93"/>
        <v>0.7504012841091493</v>
      </c>
      <c r="P1157" s="41">
        <f t="shared" si="94"/>
        <v>0.12937399678972714</v>
      </c>
    </row>
    <row r="1158" spans="1:16" ht="19.95" customHeight="1">
      <c r="A1158" s="49">
        <v>1190</v>
      </c>
      <c r="B1158" s="50" t="s">
        <v>564</v>
      </c>
      <c r="C1158" s="51" t="s">
        <v>18</v>
      </c>
      <c r="D1158" s="51" t="s">
        <v>19</v>
      </c>
      <c r="E1158" s="52">
        <v>5727000000</v>
      </c>
      <c r="F1158" s="52">
        <v>3523600000</v>
      </c>
      <c r="G1158" s="52">
        <v>1545900000</v>
      </c>
      <c r="H1158" s="52" t="s">
        <v>757</v>
      </c>
      <c r="I1158" s="52" t="s">
        <v>757</v>
      </c>
      <c r="J1158" s="51" t="s">
        <v>24</v>
      </c>
      <c r="K1158" s="51" t="s">
        <v>565</v>
      </c>
      <c r="L1158" s="41">
        <f t="shared" si="90"/>
        <v>2203400000</v>
      </c>
      <c r="M1158" s="41">
        <f t="shared" si="91"/>
        <v>1545900000</v>
      </c>
      <c r="N1158" s="41">
        <f t="shared" si="92"/>
        <v>657500000</v>
      </c>
      <c r="O1158" s="41">
        <f t="shared" si="93"/>
        <v>0.73006809848088006</v>
      </c>
      <c r="P1158" s="41">
        <f t="shared" si="94"/>
        <v>0.11480705430417322</v>
      </c>
    </row>
    <row r="1159" spans="1:16" ht="19.95" customHeight="1">
      <c r="A1159" s="49">
        <v>1191</v>
      </c>
      <c r="B1159" s="50" t="s">
        <v>564</v>
      </c>
      <c r="C1159" s="51" t="s">
        <v>20</v>
      </c>
      <c r="D1159" s="51" t="s">
        <v>21</v>
      </c>
      <c r="E1159" s="52">
        <v>5915700000</v>
      </c>
      <c r="F1159" s="52">
        <v>3611100000</v>
      </c>
      <c r="G1159" s="52">
        <v>1626000000</v>
      </c>
      <c r="H1159" s="52" t="s">
        <v>757</v>
      </c>
      <c r="I1159" s="52" t="s">
        <v>757</v>
      </c>
      <c r="J1159" s="51" t="s">
        <v>24</v>
      </c>
      <c r="K1159" s="51" t="s">
        <v>565</v>
      </c>
      <c r="L1159" s="41">
        <f t="shared" si="90"/>
        <v>2304600000</v>
      </c>
      <c r="M1159" s="41">
        <f t="shared" si="91"/>
        <v>1626000000</v>
      </c>
      <c r="N1159" s="41">
        <f t="shared" si="92"/>
        <v>678600000</v>
      </c>
      <c r="O1159" s="41">
        <f t="shared" si="93"/>
        <v>0.72513819159186577</v>
      </c>
      <c r="P1159" s="41">
        <f t="shared" si="94"/>
        <v>0.11471169937623611</v>
      </c>
    </row>
    <row r="1160" spans="1:16" ht="19.95" customHeight="1">
      <c r="A1160" s="49">
        <v>1200</v>
      </c>
      <c r="B1160" s="50" t="s">
        <v>566</v>
      </c>
      <c r="C1160" s="51" t="s">
        <v>11</v>
      </c>
      <c r="D1160" s="51" t="s">
        <v>12</v>
      </c>
      <c r="E1160" s="52">
        <v>484581000</v>
      </c>
      <c r="F1160" s="52">
        <v>21306000</v>
      </c>
      <c r="G1160" s="52">
        <v>38123000</v>
      </c>
      <c r="H1160" s="52" t="s">
        <v>757</v>
      </c>
      <c r="I1160" s="52">
        <v>147515000</v>
      </c>
      <c r="J1160" s="51" t="s">
        <v>80</v>
      </c>
      <c r="K1160" s="51" t="s">
        <v>362</v>
      </c>
      <c r="L1160" s="41">
        <f t="shared" si="90"/>
        <v>463275000</v>
      </c>
      <c r="M1160" s="41">
        <f t="shared" si="91"/>
        <v>185638000</v>
      </c>
      <c r="N1160" s="41">
        <f t="shared" si="92"/>
        <v>277637000</v>
      </c>
      <c r="O1160" s="41">
        <f t="shared" si="93"/>
        <v>0.61691027918965047</v>
      </c>
      <c r="P1160" s="41">
        <f t="shared" si="94"/>
        <v>0.57294239765900845</v>
      </c>
    </row>
    <row r="1161" spans="1:16" ht="19.95" customHeight="1">
      <c r="A1161" s="49">
        <v>1201</v>
      </c>
      <c r="B1161" s="50" t="s">
        <v>566</v>
      </c>
      <c r="C1161" s="51" t="s">
        <v>16</v>
      </c>
      <c r="D1161" s="51" t="s">
        <v>17</v>
      </c>
      <c r="E1161" s="52">
        <v>780209000</v>
      </c>
      <c r="F1161" s="52">
        <v>38851000</v>
      </c>
      <c r="G1161" s="52">
        <v>56881000</v>
      </c>
      <c r="H1161" s="52" t="s">
        <v>757</v>
      </c>
      <c r="I1161" s="52">
        <v>306769000</v>
      </c>
      <c r="J1161" s="51" t="s">
        <v>80</v>
      </c>
      <c r="K1161" s="51" t="s">
        <v>362</v>
      </c>
      <c r="L1161" s="41">
        <f t="shared" si="90"/>
        <v>741358000</v>
      </c>
      <c r="M1161" s="41">
        <f t="shared" si="91"/>
        <v>363650000</v>
      </c>
      <c r="N1161" s="41">
        <f t="shared" si="92"/>
        <v>377708000</v>
      </c>
      <c r="O1161" s="41">
        <f t="shared" si="93"/>
        <v>0.53390694031983732</v>
      </c>
      <c r="P1161" s="41">
        <f t="shared" si="94"/>
        <v>0.48411130863653201</v>
      </c>
    </row>
    <row r="1162" spans="1:16" ht="19.95" customHeight="1">
      <c r="A1162" s="49">
        <v>1202</v>
      </c>
      <c r="B1162" s="50" t="s">
        <v>566</v>
      </c>
      <c r="C1162" s="51" t="s">
        <v>18</v>
      </c>
      <c r="D1162" s="51" t="s">
        <v>19</v>
      </c>
      <c r="E1162" s="52">
        <v>933505000</v>
      </c>
      <c r="F1162" s="52">
        <v>53871000</v>
      </c>
      <c r="G1162" s="52">
        <v>51085000</v>
      </c>
      <c r="H1162" s="52" t="s">
        <v>757</v>
      </c>
      <c r="I1162" s="52">
        <v>374661000</v>
      </c>
      <c r="J1162" s="51" t="s">
        <v>80</v>
      </c>
      <c r="K1162" s="51" t="s">
        <v>362</v>
      </c>
      <c r="L1162" s="41">
        <f t="shared" si="90"/>
        <v>879634000</v>
      </c>
      <c r="M1162" s="41">
        <f t="shared" si="91"/>
        <v>425746000</v>
      </c>
      <c r="N1162" s="41">
        <f t="shared" si="92"/>
        <v>453888000</v>
      </c>
      <c r="O1162" s="41">
        <f t="shared" si="93"/>
        <v>0.54392745620002036</v>
      </c>
      <c r="P1162" s="41">
        <f t="shared" si="94"/>
        <v>0.48621914183641224</v>
      </c>
    </row>
    <row r="1163" spans="1:16" ht="19.95" customHeight="1">
      <c r="A1163" s="49">
        <v>1203</v>
      </c>
      <c r="B1163" s="50" t="s">
        <v>566</v>
      </c>
      <c r="C1163" s="51" t="s">
        <v>20</v>
      </c>
      <c r="D1163" s="51" t="s">
        <v>21</v>
      </c>
      <c r="E1163" s="52">
        <v>1023285000</v>
      </c>
      <c r="F1163" s="52">
        <v>55352000</v>
      </c>
      <c r="G1163" s="52">
        <v>49298000</v>
      </c>
      <c r="H1163" s="52" t="s">
        <v>757</v>
      </c>
      <c r="I1163" s="52">
        <v>409215000</v>
      </c>
      <c r="J1163" s="51" t="s">
        <v>80</v>
      </c>
      <c r="K1163" s="51" t="s">
        <v>362</v>
      </c>
      <c r="L1163" s="41">
        <f t="shared" si="90"/>
        <v>967933000</v>
      </c>
      <c r="M1163" s="41">
        <f t="shared" si="91"/>
        <v>458513000</v>
      </c>
      <c r="N1163" s="41">
        <f t="shared" si="92"/>
        <v>509420000</v>
      </c>
      <c r="O1163" s="41">
        <f t="shared" si="93"/>
        <v>0.55192053044850653</v>
      </c>
      <c r="P1163" s="41">
        <f t="shared" si="94"/>
        <v>0.4978280733129089</v>
      </c>
    </row>
    <row r="1164" spans="1:16" ht="19.95" customHeight="1">
      <c r="A1164" s="49">
        <v>1204</v>
      </c>
      <c r="B1164" s="50" t="s">
        <v>567</v>
      </c>
      <c r="C1164" s="51" t="s">
        <v>11</v>
      </c>
      <c r="D1164" s="51" t="s">
        <v>12</v>
      </c>
      <c r="E1164" s="52">
        <v>10184121000</v>
      </c>
      <c r="F1164" s="52">
        <v>8540319000</v>
      </c>
      <c r="G1164" s="52">
        <v>491725000</v>
      </c>
      <c r="H1164" s="52" t="s">
        <v>757</v>
      </c>
      <c r="I1164" s="52">
        <v>205334000</v>
      </c>
      <c r="J1164" s="51" t="s">
        <v>116</v>
      </c>
      <c r="K1164" s="51" t="s">
        <v>117</v>
      </c>
      <c r="L1164" s="41">
        <f t="shared" si="90"/>
        <v>1643802000</v>
      </c>
      <c r="M1164" s="41">
        <f t="shared" si="91"/>
        <v>697059000</v>
      </c>
      <c r="N1164" s="41">
        <f t="shared" si="92"/>
        <v>946743000</v>
      </c>
      <c r="O1164" s="41">
        <f t="shared" si="93"/>
        <v>0.93155432854735332</v>
      </c>
      <c r="P1164" s="41">
        <f t="shared" si="94"/>
        <v>9.2962662167898433E-2</v>
      </c>
    </row>
    <row r="1165" spans="1:16" ht="19.95" customHeight="1">
      <c r="A1165" s="53">
        <v>1205</v>
      </c>
      <c r="B1165" s="54" t="s">
        <v>567</v>
      </c>
      <c r="C1165" s="55" t="s">
        <v>16</v>
      </c>
      <c r="D1165" s="55" t="s">
        <v>17</v>
      </c>
      <c r="E1165" s="56">
        <v>11871879000</v>
      </c>
      <c r="F1165" s="56">
        <v>10222213000</v>
      </c>
      <c r="G1165" s="56">
        <v>541586000</v>
      </c>
      <c r="H1165" s="56" t="s">
        <v>757</v>
      </c>
      <c r="I1165" s="56">
        <v>239343000</v>
      </c>
      <c r="J1165" s="55" t="s">
        <v>116</v>
      </c>
      <c r="K1165" s="55" t="s">
        <v>117</v>
      </c>
      <c r="L1165" s="57">
        <f t="shared" si="90"/>
        <v>1649666000</v>
      </c>
      <c r="M1165" s="57">
        <f t="shared" si="91"/>
        <v>780929000</v>
      </c>
      <c r="N1165" s="57">
        <f t="shared" si="92"/>
        <v>868737000</v>
      </c>
      <c r="O1165" s="57">
        <f t="shared" si="93"/>
        <v>0.93422026959675042</v>
      </c>
      <c r="P1165" s="57">
        <f t="shared" si="94"/>
        <v>7.3176032201810681E-2</v>
      </c>
    </row>
    <row r="1166" spans="1:16" ht="19.95" customHeight="1">
      <c r="A1166" s="49">
        <v>1206</v>
      </c>
      <c r="B1166" s="50" t="s">
        <v>567</v>
      </c>
      <c r="C1166" s="51" t="s">
        <v>18</v>
      </c>
      <c r="D1166" s="51" t="s">
        <v>19</v>
      </c>
      <c r="E1166" s="52">
        <v>12195091000</v>
      </c>
      <c r="F1166" s="52">
        <v>10088548000</v>
      </c>
      <c r="G1166" s="52">
        <v>674887000</v>
      </c>
      <c r="H1166" s="52" t="s">
        <v>757</v>
      </c>
      <c r="I1166" s="52">
        <v>294684000</v>
      </c>
      <c r="J1166" s="51" t="s">
        <v>116</v>
      </c>
      <c r="K1166" s="51" t="s">
        <v>117</v>
      </c>
      <c r="L1166" s="41">
        <f t="shared" si="90"/>
        <v>2106543000</v>
      </c>
      <c r="M1166" s="41">
        <f t="shared" si="91"/>
        <v>969571000</v>
      </c>
      <c r="N1166" s="41">
        <f t="shared" si="92"/>
        <v>1136972000</v>
      </c>
      <c r="O1166" s="41">
        <f t="shared" si="93"/>
        <v>0.92049497621624965</v>
      </c>
      <c r="P1166" s="41">
        <f t="shared" si="94"/>
        <v>9.3231940622665294E-2</v>
      </c>
    </row>
    <row r="1167" spans="1:16" ht="19.95" customHeight="1">
      <c r="A1167" s="49">
        <v>1207</v>
      </c>
      <c r="B1167" s="50" t="s">
        <v>567</v>
      </c>
      <c r="C1167" s="51" t="s">
        <v>20</v>
      </c>
      <c r="D1167" s="51" t="s">
        <v>21</v>
      </c>
      <c r="E1167" s="52">
        <v>7763206000</v>
      </c>
      <c r="F1167" s="52">
        <v>5641052000</v>
      </c>
      <c r="G1167" s="52">
        <v>693331000</v>
      </c>
      <c r="H1167" s="52" t="s">
        <v>757</v>
      </c>
      <c r="I1167" s="52">
        <v>354620000</v>
      </c>
      <c r="J1167" s="51" t="s">
        <v>116</v>
      </c>
      <c r="K1167" s="51" t="s">
        <v>117</v>
      </c>
      <c r="L1167" s="41">
        <f t="shared" si="90"/>
        <v>2122154000</v>
      </c>
      <c r="M1167" s="41">
        <f t="shared" si="91"/>
        <v>1047951000</v>
      </c>
      <c r="N1167" s="41">
        <f t="shared" si="92"/>
        <v>1074203000</v>
      </c>
      <c r="O1167" s="41">
        <f t="shared" si="93"/>
        <v>0.86501053817198725</v>
      </c>
      <c r="P1167" s="41">
        <f t="shared" si="94"/>
        <v>0.13837105443292372</v>
      </c>
    </row>
    <row r="1168" spans="1:16" ht="19.95" customHeight="1">
      <c r="A1168" s="49">
        <v>1209</v>
      </c>
      <c r="B1168" s="50" t="s">
        <v>568</v>
      </c>
      <c r="C1168" s="51" t="s">
        <v>11</v>
      </c>
      <c r="D1168" s="51" t="s">
        <v>19</v>
      </c>
      <c r="E1168" s="52">
        <v>15317800000</v>
      </c>
      <c r="F1168" s="52">
        <v>12602100000</v>
      </c>
      <c r="G1168" s="52">
        <v>477200000</v>
      </c>
      <c r="H1168" s="52" t="s">
        <v>757</v>
      </c>
      <c r="I1168" s="52">
        <v>294400000</v>
      </c>
      <c r="J1168" s="51" t="s">
        <v>24</v>
      </c>
      <c r="K1168" s="51" t="s">
        <v>441</v>
      </c>
      <c r="L1168" s="41">
        <f t="shared" si="90"/>
        <v>2715700000</v>
      </c>
      <c r="M1168" s="41">
        <f t="shared" si="91"/>
        <v>771600000</v>
      </c>
      <c r="N1168" s="41">
        <f t="shared" si="92"/>
        <v>1944100000</v>
      </c>
      <c r="O1168" s="41">
        <f t="shared" si="93"/>
        <v>0.94962723106451319</v>
      </c>
      <c r="P1168" s="41">
        <f t="shared" si="94"/>
        <v>0.12691770358667695</v>
      </c>
    </row>
    <row r="1169" spans="1:16" ht="19.95" customHeight="1">
      <c r="A1169" s="49">
        <v>1210</v>
      </c>
      <c r="B1169" s="50" t="s">
        <v>568</v>
      </c>
      <c r="C1169" s="51" t="s">
        <v>16</v>
      </c>
      <c r="D1169" s="51" t="s">
        <v>21</v>
      </c>
      <c r="E1169" s="52">
        <v>15134400000</v>
      </c>
      <c r="F1169" s="52">
        <v>12491400000</v>
      </c>
      <c r="G1169" s="52">
        <v>431800000</v>
      </c>
      <c r="H1169" s="52" t="s">
        <v>757</v>
      </c>
      <c r="I1169" s="52">
        <v>291100000</v>
      </c>
      <c r="J1169" s="51" t="s">
        <v>24</v>
      </c>
      <c r="K1169" s="51" t="s">
        <v>441</v>
      </c>
      <c r="L1169" s="41">
        <f t="shared" si="90"/>
        <v>2643000000</v>
      </c>
      <c r="M1169" s="41">
        <f t="shared" si="91"/>
        <v>722900000</v>
      </c>
      <c r="N1169" s="41">
        <f t="shared" si="92"/>
        <v>1920100000</v>
      </c>
      <c r="O1169" s="41">
        <f t="shared" si="93"/>
        <v>0.9522346442541495</v>
      </c>
      <c r="P1169" s="41">
        <f t="shared" si="94"/>
        <v>0.12686991225288086</v>
      </c>
    </row>
    <row r="1170" spans="1:16" ht="19.95" customHeight="1">
      <c r="A1170" s="49">
        <v>1211</v>
      </c>
      <c r="B1170" s="50" t="s">
        <v>568</v>
      </c>
      <c r="C1170" s="51" t="s">
        <v>18</v>
      </c>
      <c r="D1170" s="51" t="s">
        <v>84</v>
      </c>
      <c r="E1170" s="52">
        <v>15416900000</v>
      </c>
      <c r="F1170" s="52">
        <v>12671200000</v>
      </c>
      <c r="G1170" s="52">
        <v>443900000</v>
      </c>
      <c r="H1170" s="52" t="s">
        <v>757</v>
      </c>
      <c r="I1170" s="52">
        <v>292900000</v>
      </c>
      <c r="J1170" s="51" t="s">
        <v>24</v>
      </c>
      <c r="K1170" s="51" t="s">
        <v>441</v>
      </c>
      <c r="L1170" s="41">
        <f t="shared" si="90"/>
        <v>2745700000</v>
      </c>
      <c r="M1170" s="41">
        <f t="shared" si="91"/>
        <v>736800000</v>
      </c>
      <c r="N1170" s="41">
        <f t="shared" si="92"/>
        <v>2008900000</v>
      </c>
      <c r="O1170" s="41">
        <f t="shared" si="93"/>
        <v>0.95220829090154313</v>
      </c>
      <c r="P1170" s="41">
        <f t="shared" si="94"/>
        <v>0.1303050548424132</v>
      </c>
    </row>
    <row r="1171" spans="1:16" ht="19.95" customHeight="1">
      <c r="A1171" s="49">
        <v>1212</v>
      </c>
      <c r="B1171" s="50" t="s">
        <v>569</v>
      </c>
      <c r="C1171" s="51" t="s">
        <v>11</v>
      </c>
      <c r="D1171" s="51" t="s">
        <v>12</v>
      </c>
      <c r="E1171" s="52">
        <v>6182184000</v>
      </c>
      <c r="F1171" s="52">
        <v>3084766000</v>
      </c>
      <c r="G1171" s="52">
        <v>2120025000</v>
      </c>
      <c r="H1171" s="52" t="s">
        <v>757</v>
      </c>
      <c r="I1171" s="52" t="s">
        <v>757</v>
      </c>
      <c r="J1171" s="51" t="s">
        <v>24</v>
      </c>
      <c r="K1171" s="51" t="s">
        <v>112</v>
      </c>
      <c r="L1171" s="41">
        <f t="shared" si="90"/>
        <v>3097418000</v>
      </c>
      <c r="M1171" s="41">
        <f t="shared" si="91"/>
        <v>2120025000</v>
      </c>
      <c r="N1171" s="41">
        <f t="shared" si="92"/>
        <v>977393000</v>
      </c>
      <c r="O1171" s="41">
        <f t="shared" si="93"/>
        <v>0.65707507249865094</v>
      </c>
      <c r="P1171" s="41">
        <f t="shared" si="94"/>
        <v>0.15809833547497129</v>
      </c>
    </row>
    <row r="1172" spans="1:16" ht="19.95" customHeight="1">
      <c r="A1172" s="49">
        <v>1213</v>
      </c>
      <c r="B1172" s="50" t="s">
        <v>569</v>
      </c>
      <c r="C1172" s="51" t="s">
        <v>16</v>
      </c>
      <c r="D1172" s="51" t="s">
        <v>17</v>
      </c>
      <c r="E1172" s="52">
        <v>6649237000</v>
      </c>
      <c r="F1172" s="52">
        <v>3280236000</v>
      </c>
      <c r="G1172" s="52">
        <v>2265516000</v>
      </c>
      <c r="H1172" s="52" t="s">
        <v>757</v>
      </c>
      <c r="I1172" s="52" t="s">
        <v>757</v>
      </c>
      <c r="J1172" s="51" t="s">
        <v>24</v>
      </c>
      <c r="K1172" s="51" t="s">
        <v>112</v>
      </c>
      <c r="L1172" s="41">
        <f t="shared" si="90"/>
        <v>3369001000</v>
      </c>
      <c r="M1172" s="41">
        <f t="shared" si="91"/>
        <v>2265516000</v>
      </c>
      <c r="N1172" s="41">
        <f t="shared" si="92"/>
        <v>1103485000</v>
      </c>
      <c r="O1172" s="41">
        <f t="shared" si="93"/>
        <v>0.65928180932639346</v>
      </c>
      <c r="P1172" s="41">
        <f t="shared" si="94"/>
        <v>0.16595663532522603</v>
      </c>
    </row>
    <row r="1173" spans="1:16" ht="19.95" customHeight="1">
      <c r="A1173" s="49">
        <v>1214</v>
      </c>
      <c r="B1173" s="50" t="s">
        <v>569</v>
      </c>
      <c r="C1173" s="51" t="s">
        <v>18</v>
      </c>
      <c r="D1173" s="51" t="s">
        <v>19</v>
      </c>
      <c r="E1173" s="52">
        <v>7216081000</v>
      </c>
      <c r="F1173" s="52">
        <v>3507180000</v>
      </c>
      <c r="G1173" s="52">
        <v>2438527000</v>
      </c>
      <c r="H1173" s="52" t="s">
        <v>757</v>
      </c>
      <c r="I1173" s="52" t="s">
        <v>757</v>
      </c>
      <c r="J1173" s="51" t="s">
        <v>24</v>
      </c>
      <c r="K1173" s="51" t="s">
        <v>112</v>
      </c>
      <c r="L1173" s="41">
        <f t="shared" si="90"/>
        <v>3708901000</v>
      </c>
      <c r="M1173" s="41">
        <f t="shared" si="91"/>
        <v>2438527000</v>
      </c>
      <c r="N1173" s="41">
        <f t="shared" si="92"/>
        <v>1270374000</v>
      </c>
      <c r="O1173" s="41">
        <f t="shared" si="93"/>
        <v>0.66207045070586101</v>
      </c>
      <c r="P1173" s="41">
        <f t="shared" si="94"/>
        <v>0.17604763582892155</v>
      </c>
    </row>
    <row r="1174" spans="1:16" ht="19.95" customHeight="1">
      <c r="A1174" s="49">
        <v>1215</v>
      </c>
      <c r="B1174" s="50" t="s">
        <v>569</v>
      </c>
      <c r="C1174" s="51" t="s">
        <v>20</v>
      </c>
      <c r="D1174" s="51" t="s">
        <v>21</v>
      </c>
      <c r="E1174" s="52">
        <v>7966674000</v>
      </c>
      <c r="F1174" s="52">
        <v>3804031000</v>
      </c>
      <c r="G1174" s="52">
        <v>2648622000</v>
      </c>
      <c r="H1174" s="52" t="s">
        <v>757</v>
      </c>
      <c r="I1174" s="52" t="s">
        <v>757</v>
      </c>
      <c r="J1174" s="51" t="s">
        <v>24</v>
      </c>
      <c r="K1174" s="51" t="s">
        <v>112</v>
      </c>
      <c r="L1174" s="41">
        <f t="shared" si="90"/>
        <v>4162643000</v>
      </c>
      <c r="M1174" s="41">
        <f t="shared" si="91"/>
        <v>2648622000</v>
      </c>
      <c r="N1174" s="41">
        <f t="shared" si="92"/>
        <v>1514021000</v>
      </c>
      <c r="O1174" s="41">
        <f t="shared" si="93"/>
        <v>0.66753729348031565</v>
      </c>
      <c r="P1174" s="41">
        <f t="shared" si="94"/>
        <v>0.19004430205127007</v>
      </c>
    </row>
    <row r="1175" spans="1:16" ht="19.95" customHeight="1">
      <c r="A1175" s="49">
        <v>1216</v>
      </c>
      <c r="B1175" s="50" t="s">
        <v>570</v>
      </c>
      <c r="C1175" s="51" t="s">
        <v>11</v>
      </c>
      <c r="D1175" s="51" t="s">
        <v>12</v>
      </c>
      <c r="E1175" s="52">
        <v>20100000000</v>
      </c>
      <c r="F1175" s="52">
        <v>6530000000</v>
      </c>
      <c r="G1175" s="52">
        <v>1879000000</v>
      </c>
      <c r="H1175" s="52" t="s">
        <v>757</v>
      </c>
      <c r="I1175" s="52">
        <v>3585000000</v>
      </c>
      <c r="J1175" s="51" t="s">
        <v>116</v>
      </c>
      <c r="K1175" s="51" t="s">
        <v>117</v>
      </c>
      <c r="L1175" s="41">
        <f t="shared" si="90"/>
        <v>13570000000</v>
      </c>
      <c r="M1175" s="41">
        <f t="shared" si="91"/>
        <v>5464000000</v>
      </c>
      <c r="N1175" s="41">
        <f t="shared" si="92"/>
        <v>8106000000</v>
      </c>
      <c r="O1175" s="41">
        <f t="shared" si="93"/>
        <v>0.72815920398009948</v>
      </c>
      <c r="P1175" s="41">
        <f t="shared" si="94"/>
        <v>0.40328358208955223</v>
      </c>
    </row>
    <row r="1176" spans="1:16" ht="19.95" customHeight="1">
      <c r="A1176" s="53">
        <v>1217</v>
      </c>
      <c r="B1176" s="54" t="s">
        <v>570</v>
      </c>
      <c r="C1176" s="55" t="s">
        <v>16</v>
      </c>
      <c r="D1176" s="55" t="s">
        <v>17</v>
      </c>
      <c r="E1176" s="56">
        <v>20170000000</v>
      </c>
      <c r="F1176" s="56">
        <v>6497000000</v>
      </c>
      <c r="G1176" s="56">
        <v>2108000000</v>
      </c>
      <c r="H1176" s="56" t="s">
        <v>757</v>
      </c>
      <c r="I1176" s="56">
        <v>4203000000</v>
      </c>
      <c r="J1176" s="55" t="s">
        <v>116</v>
      </c>
      <c r="K1176" s="55" t="s">
        <v>117</v>
      </c>
      <c r="L1176" s="57">
        <f t="shared" si="90"/>
        <v>13673000000</v>
      </c>
      <c r="M1176" s="57">
        <f t="shared" si="91"/>
        <v>6311000000</v>
      </c>
      <c r="N1176" s="57">
        <f t="shared" si="92"/>
        <v>7362000000</v>
      </c>
      <c r="O1176" s="57">
        <f t="shared" si="93"/>
        <v>0.68710956866633621</v>
      </c>
      <c r="P1176" s="57">
        <f t="shared" si="94"/>
        <v>0.36499752107089739</v>
      </c>
    </row>
    <row r="1177" spans="1:16" ht="19.95" customHeight="1">
      <c r="A1177" s="49">
        <v>1218</v>
      </c>
      <c r="B1177" s="50" t="s">
        <v>570</v>
      </c>
      <c r="C1177" s="51" t="s">
        <v>18</v>
      </c>
      <c r="D1177" s="51" t="s">
        <v>19</v>
      </c>
      <c r="E1177" s="52">
        <v>19312000000</v>
      </c>
      <c r="F1177" s="52">
        <v>6803000000</v>
      </c>
      <c r="G1177" s="52">
        <v>2053000000</v>
      </c>
      <c r="H1177" s="52" t="s">
        <v>757</v>
      </c>
      <c r="I1177" s="52">
        <v>4261000000</v>
      </c>
      <c r="J1177" s="51" t="s">
        <v>116</v>
      </c>
      <c r="K1177" s="51" t="s">
        <v>117</v>
      </c>
      <c r="L1177" s="41">
        <f t="shared" si="90"/>
        <v>12509000000</v>
      </c>
      <c r="M1177" s="41">
        <f t="shared" si="91"/>
        <v>6314000000</v>
      </c>
      <c r="N1177" s="41">
        <f t="shared" si="92"/>
        <v>6195000000</v>
      </c>
      <c r="O1177" s="41">
        <f t="shared" si="93"/>
        <v>0.67305302402651201</v>
      </c>
      <c r="P1177" s="41">
        <f t="shared" si="94"/>
        <v>0.32078500414250205</v>
      </c>
    </row>
    <row r="1178" spans="1:16" ht="19.95" customHeight="1">
      <c r="A1178" s="49">
        <v>1219</v>
      </c>
      <c r="B1178" s="50" t="s">
        <v>570</v>
      </c>
      <c r="C1178" s="51" t="s">
        <v>20</v>
      </c>
      <c r="D1178" s="51" t="s">
        <v>21</v>
      </c>
      <c r="E1178" s="52">
        <v>12480000000</v>
      </c>
      <c r="F1178" s="52">
        <v>5804000000</v>
      </c>
      <c r="G1178" s="52">
        <v>1613000000</v>
      </c>
      <c r="H1178" s="52" t="s">
        <v>757</v>
      </c>
      <c r="I1178" s="52">
        <v>4544000000</v>
      </c>
      <c r="J1178" s="51" t="s">
        <v>116</v>
      </c>
      <c r="K1178" s="51" t="s">
        <v>117</v>
      </c>
      <c r="L1178" s="41">
        <f t="shared" si="90"/>
        <v>6676000000</v>
      </c>
      <c r="M1178" s="41">
        <f t="shared" si="91"/>
        <v>6157000000</v>
      </c>
      <c r="N1178" s="41">
        <f t="shared" si="92"/>
        <v>519000000</v>
      </c>
      <c r="O1178" s="41">
        <f t="shared" si="93"/>
        <v>0.50665064102564106</v>
      </c>
      <c r="P1178" s="41">
        <f t="shared" si="94"/>
        <v>4.158653846153846E-2</v>
      </c>
    </row>
    <row r="1179" spans="1:16" ht="19.95" customHeight="1">
      <c r="A1179" s="49">
        <v>1224</v>
      </c>
      <c r="B1179" s="50" t="s">
        <v>571</v>
      </c>
      <c r="C1179" s="51" t="s">
        <v>11</v>
      </c>
      <c r="D1179" s="51" t="s">
        <v>12</v>
      </c>
      <c r="E1179" s="52">
        <v>1355300000</v>
      </c>
      <c r="F1179" s="52">
        <v>90800000</v>
      </c>
      <c r="G1179" s="52">
        <v>803800000</v>
      </c>
      <c r="H1179" s="52" t="s">
        <v>757</v>
      </c>
      <c r="I1179" s="52">
        <v>76000000</v>
      </c>
      <c r="J1179" s="51" t="s">
        <v>75</v>
      </c>
      <c r="K1179" s="51" t="s">
        <v>572</v>
      </c>
      <c r="L1179" s="41">
        <f t="shared" si="90"/>
        <v>1264500000</v>
      </c>
      <c r="M1179" s="41">
        <f t="shared" si="91"/>
        <v>879800000</v>
      </c>
      <c r="N1179" s="41">
        <f t="shared" si="92"/>
        <v>384700000</v>
      </c>
      <c r="O1179" s="41">
        <f t="shared" si="93"/>
        <v>0.35084483140264144</v>
      </c>
      <c r="P1179" s="41">
        <f t="shared" si="94"/>
        <v>0.28384859440714233</v>
      </c>
    </row>
    <row r="1180" spans="1:16" ht="19.95" customHeight="1">
      <c r="A1180" s="53">
        <v>1225</v>
      </c>
      <c r="B1180" s="54" t="s">
        <v>571</v>
      </c>
      <c r="C1180" s="55" t="s">
        <v>16</v>
      </c>
      <c r="D1180" s="55" t="s">
        <v>17</v>
      </c>
      <c r="E1180" s="56">
        <v>1346100000</v>
      </c>
      <c r="F1180" s="56">
        <v>81100000</v>
      </c>
      <c r="G1180" s="56">
        <v>812800000</v>
      </c>
      <c r="H1180" s="56" t="s">
        <v>757</v>
      </c>
      <c r="I1180" s="56">
        <v>69900000</v>
      </c>
      <c r="J1180" s="55" t="s">
        <v>75</v>
      </c>
      <c r="K1180" s="55" t="s">
        <v>572</v>
      </c>
      <c r="L1180" s="57">
        <f t="shared" si="90"/>
        <v>1265000000</v>
      </c>
      <c r="M1180" s="57">
        <f t="shared" si="91"/>
        <v>882700000</v>
      </c>
      <c r="N1180" s="57">
        <f t="shared" si="92"/>
        <v>382300000</v>
      </c>
      <c r="O1180" s="57">
        <f t="shared" si="93"/>
        <v>0.34425377015080605</v>
      </c>
      <c r="P1180" s="57">
        <f t="shared" si="94"/>
        <v>0.28400564594012334</v>
      </c>
    </row>
    <row r="1181" spans="1:16" ht="19.95" customHeight="1">
      <c r="A1181" s="49">
        <v>1226</v>
      </c>
      <c r="B1181" s="50" t="s">
        <v>571</v>
      </c>
      <c r="C1181" s="51" t="s">
        <v>18</v>
      </c>
      <c r="D1181" s="51" t="s">
        <v>19</v>
      </c>
      <c r="E1181" s="52">
        <v>1381400000</v>
      </c>
      <c r="F1181" s="52">
        <v>80900000</v>
      </c>
      <c r="G1181" s="52">
        <v>816700000</v>
      </c>
      <c r="H1181" s="52" t="s">
        <v>757</v>
      </c>
      <c r="I1181" s="52">
        <v>65400000</v>
      </c>
      <c r="J1181" s="51" t="s">
        <v>75</v>
      </c>
      <c r="K1181" s="51" t="s">
        <v>572</v>
      </c>
      <c r="L1181" s="41">
        <f t="shared" si="90"/>
        <v>1300500000</v>
      </c>
      <c r="M1181" s="41">
        <f t="shared" si="91"/>
        <v>882100000</v>
      </c>
      <c r="N1181" s="41">
        <f t="shared" si="92"/>
        <v>418400000</v>
      </c>
      <c r="O1181" s="41">
        <f t="shared" si="93"/>
        <v>0.36144491095989573</v>
      </c>
      <c r="P1181" s="41">
        <f t="shared" si="94"/>
        <v>0.30288113508035325</v>
      </c>
    </row>
    <row r="1182" spans="1:16" ht="19.95" customHeight="1">
      <c r="A1182" s="49">
        <v>1227</v>
      </c>
      <c r="B1182" s="50" t="s">
        <v>571</v>
      </c>
      <c r="C1182" s="51" t="s">
        <v>20</v>
      </c>
      <c r="D1182" s="51" t="s">
        <v>21</v>
      </c>
      <c r="E1182" s="52">
        <v>1421300000</v>
      </c>
      <c r="F1182" s="52">
        <v>95500000</v>
      </c>
      <c r="G1182" s="52">
        <v>836700000</v>
      </c>
      <c r="H1182" s="52" t="s">
        <v>757</v>
      </c>
      <c r="I1182" s="52">
        <v>57300000</v>
      </c>
      <c r="J1182" s="51" t="s">
        <v>75</v>
      </c>
      <c r="K1182" s="51" t="s">
        <v>572</v>
      </c>
      <c r="L1182" s="41">
        <f t="shared" si="90"/>
        <v>1325800000</v>
      </c>
      <c r="M1182" s="41">
        <f t="shared" si="91"/>
        <v>894000000</v>
      </c>
      <c r="N1182" s="41">
        <f t="shared" si="92"/>
        <v>431800000</v>
      </c>
      <c r="O1182" s="41">
        <f t="shared" si="93"/>
        <v>0.37099838176317457</v>
      </c>
      <c r="P1182" s="41">
        <f t="shared" si="94"/>
        <v>0.30380637444592978</v>
      </c>
    </row>
    <row r="1183" spans="1:16" ht="19.95" customHeight="1">
      <c r="A1183" s="49">
        <v>1228</v>
      </c>
      <c r="B1183" s="50" t="s">
        <v>573</v>
      </c>
      <c r="C1183" s="51" t="s">
        <v>11</v>
      </c>
      <c r="D1183" s="51" t="s">
        <v>12</v>
      </c>
      <c r="E1183" s="52">
        <v>3823713000</v>
      </c>
      <c r="F1183" s="52">
        <v>1582398000</v>
      </c>
      <c r="G1183" s="52">
        <v>1489735000</v>
      </c>
      <c r="H1183" s="52">
        <v>114250000</v>
      </c>
      <c r="I1183" s="52" t="s">
        <v>757</v>
      </c>
      <c r="J1183" s="51" t="s">
        <v>14</v>
      </c>
      <c r="K1183" s="51" t="s">
        <v>574</v>
      </c>
      <c r="L1183" s="41">
        <f t="shared" si="90"/>
        <v>2241315000</v>
      </c>
      <c r="M1183" s="41">
        <f t="shared" si="91"/>
        <v>1603985000</v>
      </c>
      <c r="N1183" s="41">
        <f t="shared" si="92"/>
        <v>637330000</v>
      </c>
      <c r="O1183" s="41">
        <f t="shared" si="93"/>
        <v>0.58051637243694809</v>
      </c>
      <c r="P1183" s="41">
        <f t="shared" si="94"/>
        <v>0.16667830456940674</v>
      </c>
    </row>
    <row r="1184" spans="1:16" ht="19.95" customHeight="1">
      <c r="A1184" s="49">
        <v>1229</v>
      </c>
      <c r="B1184" s="50" t="s">
        <v>573</v>
      </c>
      <c r="C1184" s="51" t="s">
        <v>16</v>
      </c>
      <c r="D1184" s="51" t="s">
        <v>17</v>
      </c>
      <c r="E1184" s="52">
        <v>3791335000</v>
      </c>
      <c r="F1184" s="52">
        <v>1650622000</v>
      </c>
      <c r="G1184" s="52">
        <v>1420096000</v>
      </c>
      <c r="H1184" s="52">
        <v>110412000</v>
      </c>
      <c r="I1184" s="52" t="s">
        <v>757</v>
      </c>
      <c r="J1184" s="51" t="s">
        <v>14</v>
      </c>
      <c r="K1184" s="51" t="s">
        <v>574</v>
      </c>
      <c r="L1184" s="41">
        <f t="shared" si="90"/>
        <v>2140713000</v>
      </c>
      <c r="M1184" s="41">
        <f t="shared" si="91"/>
        <v>1530508000</v>
      </c>
      <c r="N1184" s="41">
        <f t="shared" si="92"/>
        <v>610205000</v>
      </c>
      <c r="O1184" s="41">
        <f t="shared" si="93"/>
        <v>0.59631422704667347</v>
      </c>
      <c r="P1184" s="41">
        <f t="shared" si="94"/>
        <v>0.16094726527727041</v>
      </c>
    </row>
    <row r="1185" spans="1:16" ht="19.95" customHeight="1">
      <c r="A1185" s="49">
        <v>1230</v>
      </c>
      <c r="B1185" s="50" t="s">
        <v>573</v>
      </c>
      <c r="C1185" s="51" t="s">
        <v>18</v>
      </c>
      <c r="D1185" s="51" t="s">
        <v>19</v>
      </c>
      <c r="E1185" s="52">
        <v>3821504000</v>
      </c>
      <c r="F1185" s="52">
        <v>1680791000</v>
      </c>
      <c r="G1185" s="52">
        <v>1378400000</v>
      </c>
      <c r="H1185" s="52">
        <v>109931000</v>
      </c>
      <c r="I1185" s="52" t="s">
        <v>757</v>
      </c>
      <c r="J1185" s="51" t="s">
        <v>14</v>
      </c>
      <c r="K1185" s="51" t="s">
        <v>574</v>
      </c>
      <c r="L1185" s="41">
        <f t="shared" si="90"/>
        <v>2140713000</v>
      </c>
      <c r="M1185" s="41">
        <f t="shared" si="91"/>
        <v>1488331000</v>
      </c>
      <c r="N1185" s="41">
        <f t="shared" si="92"/>
        <v>652382000</v>
      </c>
      <c r="O1185" s="41">
        <f t="shared" si="93"/>
        <v>0.61053789293430016</v>
      </c>
      <c r="P1185" s="41">
        <f t="shared" si="94"/>
        <v>0.17071341545108942</v>
      </c>
    </row>
    <row r="1186" spans="1:16" ht="19.95" customHeight="1">
      <c r="A1186" s="49">
        <v>1231</v>
      </c>
      <c r="B1186" s="50" t="s">
        <v>573</v>
      </c>
      <c r="C1186" s="51" t="s">
        <v>20</v>
      </c>
      <c r="D1186" s="51" t="s">
        <v>21</v>
      </c>
      <c r="E1186" s="52">
        <v>3578060000</v>
      </c>
      <c r="F1186" s="52">
        <v>1558591000</v>
      </c>
      <c r="G1186" s="52">
        <v>1279961000</v>
      </c>
      <c r="H1186" s="52">
        <v>110156000</v>
      </c>
      <c r="I1186" s="52" t="s">
        <v>757</v>
      </c>
      <c r="J1186" s="51" t="s">
        <v>14</v>
      </c>
      <c r="K1186" s="51" t="s">
        <v>574</v>
      </c>
      <c r="L1186" s="41">
        <f t="shared" si="90"/>
        <v>2019469000</v>
      </c>
      <c r="M1186" s="41">
        <f t="shared" si="91"/>
        <v>1390117000</v>
      </c>
      <c r="N1186" s="41">
        <f t="shared" si="92"/>
        <v>629352000</v>
      </c>
      <c r="O1186" s="41">
        <f t="shared" si="93"/>
        <v>0.61148862791568614</v>
      </c>
      <c r="P1186" s="41">
        <f t="shared" si="94"/>
        <v>0.17589196380161318</v>
      </c>
    </row>
    <row r="1187" spans="1:16" ht="19.95" customHeight="1">
      <c r="A1187" s="49">
        <v>1232</v>
      </c>
      <c r="B1187" s="50" t="s">
        <v>575</v>
      </c>
      <c r="C1187" s="51" t="s">
        <v>11</v>
      </c>
      <c r="D1187" s="51" t="s">
        <v>12</v>
      </c>
      <c r="E1187" s="52">
        <v>16596800000</v>
      </c>
      <c r="F1187" s="52">
        <v>13908300000</v>
      </c>
      <c r="G1187" s="52">
        <v>571600000</v>
      </c>
      <c r="H1187" s="52">
        <v>279300000</v>
      </c>
      <c r="I1187" s="52">
        <v>517400000</v>
      </c>
      <c r="J1187" s="51" t="s">
        <v>14</v>
      </c>
      <c r="K1187" s="51" t="s">
        <v>183</v>
      </c>
      <c r="L1187" s="41">
        <f t="shared" si="90"/>
        <v>2688500000</v>
      </c>
      <c r="M1187" s="41">
        <f t="shared" si="91"/>
        <v>1368300000</v>
      </c>
      <c r="N1187" s="41">
        <f t="shared" si="92"/>
        <v>1320200000</v>
      </c>
      <c r="O1187" s="41">
        <f t="shared" si="93"/>
        <v>0.91755639641376652</v>
      </c>
      <c r="P1187" s="41">
        <f t="shared" si="94"/>
        <v>7.9545454545454544E-2</v>
      </c>
    </row>
    <row r="1188" spans="1:16" ht="19.95" customHeight="1">
      <c r="A1188" s="49">
        <v>1233</v>
      </c>
      <c r="B1188" s="50" t="s">
        <v>575</v>
      </c>
      <c r="C1188" s="51" t="s">
        <v>16</v>
      </c>
      <c r="D1188" s="51" t="s">
        <v>17</v>
      </c>
      <c r="E1188" s="52">
        <v>16661000000</v>
      </c>
      <c r="F1188" s="52">
        <v>13900700000</v>
      </c>
      <c r="G1188" s="52">
        <v>559500000</v>
      </c>
      <c r="H1188" s="52">
        <v>251400000</v>
      </c>
      <c r="I1188" s="52">
        <v>571700000</v>
      </c>
      <c r="J1188" s="51" t="s">
        <v>14</v>
      </c>
      <c r="K1188" s="51" t="s">
        <v>183</v>
      </c>
      <c r="L1188" s="41">
        <f t="shared" si="90"/>
        <v>2760300000</v>
      </c>
      <c r="M1188" s="41">
        <f t="shared" si="91"/>
        <v>1382600000</v>
      </c>
      <c r="N1188" s="41">
        <f t="shared" si="92"/>
        <v>1377700000</v>
      </c>
      <c r="O1188" s="41">
        <f t="shared" si="93"/>
        <v>0.91701578536702477</v>
      </c>
      <c r="P1188" s="41">
        <f t="shared" si="94"/>
        <v>8.2690114638977255E-2</v>
      </c>
    </row>
    <row r="1189" spans="1:16" ht="19.95" customHeight="1">
      <c r="A1189" s="49">
        <v>1234</v>
      </c>
      <c r="B1189" s="50" t="s">
        <v>575</v>
      </c>
      <c r="C1189" s="51" t="s">
        <v>18</v>
      </c>
      <c r="D1189" s="51" t="s">
        <v>19</v>
      </c>
      <c r="E1189" s="52">
        <v>18534400000</v>
      </c>
      <c r="F1189" s="52">
        <v>15481600000</v>
      </c>
      <c r="G1189" s="52">
        <v>561400000</v>
      </c>
      <c r="H1189" s="52">
        <v>215600000</v>
      </c>
      <c r="I1189" s="52">
        <v>588500000</v>
      </c>
      <c r="J1189" s="51" t="s">
        <v>14</v>
      </c>
      <c r="K1189" s="51" t="s">
        <v>183</v>
      </c>
      <c r="L1189" s="41">
        <f t="shared" si="90"/>
        <v>3052800000</v>
      </c>
      <c r="M1189" s="41">
        <f t="shared" si="91"/>
        <v>1365500000</v>
      </c>
      <c r="N1189" s="41">
        <f t="shared" si="92"/>
        <v>1687300000</v>
      </c>
      <c r="O1189" s="41">
        <f t="shared" si="93"/>
        <v>0.92632618266574585</v>
      </c>
      <c r="P1189" s="41">
        <f t="shared" si="94"/>
        <v>9.1036127417127077E-2</v>
      </c>
    </row>
    <row r="1190" spans="1:16" ht="19.95" customHeight="1">
      <c r="A1190" s="49">
        <v>1235</v>
      </c>
      <c r="B1190" s="50" t="s">
        <v>575</v>
      </c>
      <c r="C1190" s="51" t="s">
        <v>20</v>
      </c>
      <c r="D1190" s="51" t="s">
        <v>21</v>
      </c>
      <c r="E1190" s="52">
        <v>18671300000</v>
      </c>
      <c r="F1190" s="52">
        <v>15292100000</v>
      </c>
      <c r="G1190" s="52">
        <v>541500000</v>
      </c>
      <c r="H1190" s="52">
        <v>239800000</v>
      </c>
      <c r="I1190" s="52">
        <v>583700000</v>
      </c>
      <c r="J1190" s="51" t="s">
        <v>14</v>
      </c>
      <c r="K1190" s="51" t="s">
        <v>183</v>
      </c>
      <c r="L1190" s="41">
        <f t="shared" si="90"/>
        <v>3379200000</v>
      </c>
      <c r="M1190" s="41">
        <f t="shared" si="91"/>
        <v>1365000000</v>
      </c>
      <c r="N1190" s="41">
        <f t="shared" si="92"/>
        <v>2014200000</v>
      </c>
      <c r="O1190" s="41">
        <f t="shared" si="93"/>
        <v>0.92689314616550533</v>
      </c>
      <c r="P1190" s="41">
        <f t="shared" si="94"/>
        <v>0.10787679486698837</v>
      </c>
    </row>
    <row r="1191" spans="1:16" ht="19.95" customHeight="1">
      <c r="A1191" s="49">
        <v>1236</v>
      </c>
      <c r="B1191" s="50" t="s">
        <v>576</v>
      </c>
      <c r="C1191" s="51" t="s">
        <v>11</v>
      </c>
      <c r="D1191" s="51" t="s">
        <v>17</v>
      </c>
      <c r="E1191" s="52">
        <v>15598000000</v>
      </c>
      <c r="F1191" s="52">
        <v>11759000000</v>
      </c>
      <c r="G1191" s="52" t="s">
        <v>757</v>
      </c>
      <c r="H1191" s="52" t="s">
        <v>757</v>
      </c>
      <c r="I1191" s="52">
        <v>2077000000</v>
      </c>
      <c r="J1191" s="51" t="s">
        <v>70</v>
      </c>
      <c r="K1191" s="51" t="s">
        <v>71</v>
      </c>
      <c r="L1191" s="41">
        <f t="shared" si="90"/>
        <v>3839000000</v>
      </c>
      <c r="M1191" s="41">
        <f t="shared" si="91"/>
        <v>2077000000</v>
      </c>
      <c r="N1191" s="41">
        <f t="shared" si="92"/>
        <v>1762000000</v>
      </c>
      <c r="O1191" s="41">
        <f t="shared" si="93"/>
        <v>0.86684190280805229</v>
      </c>
      <c r="P1191" s="41">
        <f t="shared" si="94"/>
        <v>0.11296320041030901</v>
      </c>
    </row>
    <row r="1192" spans="1:16" ht="19.95" customHeight="1">
      <c r="A1192" s="49">
        <v>1237</v>
      </c>
      <c r="B1192" s="50" t="s">
        <v>576</v>
      </c>
      <c r="C1192" s="51" t="s">
        <v>16</v>
      </c>
      <c r="D1192" s="51" t="s">
        <v>19</v>
      </c>
      <c r="E1192" s="52">
        <v>17090000000</v>
      </c>
      <c r="F1192" s="52">
        <v>12207000000</v>
      </c>
      <c r="G1192" s="52" t="s">
        <v>757</v>
      </c>
      <c r="H1192" s="52" t="s">
        <v>757</v>
      </c>
      <c r="I1192" s="52">
        <v>2433000000</v>
      </c>
      <c r="J1192" s="51" t="s">
        <v>70</v>
      </c>
      <c r="K1192" s="51" t="s">
        <v>71</v>
      </c>
      <c r="L1192" s="41">
        <f t="shared" si="90"/>
        <v>4883000000</v>
      </c>
      <c r="M1192" s="41">
        <f t="shared" si="91"/>
        <v>2433000000</v>
      </c>
      <c r="N1192" s="41">
        <f t="shared" si="92"/>
        <v>2450000000</v>
      </c>
      <c r="O1192" s="41">
        <f t="shared" si="93"/>
        <v>0.8576360444704505</v>
      </c>
      <c r="P1192" s="41">
        <f t="shared" si="94"/>
        <v>0.14335868929198362</v>
      </c>
    </row>
    <row r="1193" spans="1:16" ht="19.95" customHeight="1">
      <c r="A1193" s="49">
        <v>1238</v>
      </c>
      <c r="B1193" s="50" t="s">
        <v>576</v>
      </c>
      <c r="C1193" s="51" t="s">
        <v>18</v>
      </c>
      <c r="D1193" s="51" t="s">
        <v>21</v>
      </c>
      <c r="E1193" s="52">
        <v>16833000000</v>
      </c>
      <c r="F1193" s="52">
        <v>12713000000</v>
      </c>
      <c r="G1193" s="52" t="s">
        <v>757</v>
      </c>
      <c r="H1193" s="52" t="s">
        <v>757</v>
      </c>
      <c r="I1193" s="52">
        <v>2612000000</v>
      </c>
      <c r="J1193" s="51" t="s">
        <v>70</v>
      </c>
      <c r="K1193" s="51" t="s">
        <v>71</v>
      </c>
      <c r="L1193" s="41">
        <f t="shared" si="90"/>
        <v>4120000000</v>
      </c>
      <c r="M1193" s="41">
        <f t="shared" si="91"/>
        <v>2612000000</v>
      </c>
      <c r="N1193" s="41">
        <f t="shared" si="92"/>
        <v>1508000000</v>
      </c>
      <c r="O1193" s="41">
        <f t="shared" si="93"/>
        <v>0.84482861046753399</v>
      </c>
      <c r="P1193" s="41">
        <f t="shared" si="94"/>
        <v>8.958593239470089E-2</v>
      </c>
    </row>
    <row r="1194" spans="1:16" ht="19.95" customHeight="1">
      <c r="A1194" s="49">
        <v>1239</v>
      </c>
      <c r="B1194" s="50" t="s">
        <v>576</v>
      </c>
      <c r="C1194" s="51" t="s">
        <v>20</v>
      </c>
      <c r="D1194" s="51" t="s">
        <v>84</v>
      </c>
      <c r="E1194" s="52">
        <v>17666000000</v>
      </c>
      <c r="F1194" s="52">
        <v>12734000000</v>
      </c>
      <c r="G1194" s="52" t="s">
        <v>757</v>
      </c>
      <c r="H1194" s="52" t="s">
        <v>757</v>
      </c>
      <c r="I1194" s="52">
        <v>2755000000</v>
      </c>
      <c r="J1194" s="51" t="s">
        <v>70</v>
      </c>
      <c r="K1194" s="51" t="s">
        <v>71</v>
      </c>
      <c r="L1194" s="41">
        <f t="shared" si="90"/>
        <v>4932000000</v>
      </c>
      <c r="M1194" s="41">
        <f t="shared" si="91"/>
        <v>2755000000</v>
      </c>
      <c r="N1194" s="41">
        <f t="shared" si="92"/>
        <v>2177000000</v>
      </c>
      <c r="O1194" s="41">
        <f t="shared" si="93"/>
        <v>0.84405071889505268</v>
      </c>
      <c r="P1194" s="41">
        <f t="shared" si="94"/>
        <v>0.12323106532321974</v>
      </c>
    </row>
    <row r="1195" spans="1:16" ht="19.95" customHeight="1">
      <c r="A1195" s="49">
        <v>1240</v>
      </c>
      <c r="B1195" s="50" t="s">
        <v>577</v>
      </c>
      <c r="C1195" s="51" t="s">
        <v>11</v>
      </c>
      <c r="D1195" s="51" t="s">
        <v>12</v>
      </c>
      <c r="E1195" s="52">
        <v>5260956000</v>
      </c>
      <c r="F1195" s="52">
        <v>1177275000</v>
      </c>
      <c r="G1195" s="52">
        <v>2188747000</v>
      </c>
      <c r="H1195" s="52" t="s">
        <v>757</v>
      </c>
      <c r="I1195" s="52">
        <v>65141000</v>
      </c>
      <c r="J1195" s="51" t="s">
        <v>24</v>
      </c>
      <c r="K1195" s="51" t="s">
        <v>110</v>
      </c>
      <c r="L1195" s="41">
        <f t="shared" si="90"/>
        <v>4083681000</v>
      </c>
      <c r="M1195" s="41">
        <f t="shared" si="91"/>
        <v>2253888000</v>
      </c>
      <c r="N1195" s="41">
        <f t="shared" si="92"/>
        <v>1829793000</v>
      </c>
      <c r="O1195" s="41">
        <f t="shared" si="93"/>
        <v>0.57158204706521021</v>
      </c>
      <c r="P1195" s="41">
        <f t="shared" si="94"/>
        <v>0.3478061781927087</v>
      </c>
    </row>
    <row r="1196" spans="1:16" ht="19.95" customHeight="1">
      <c r="A1196" s="49">
        <v>1241</v>
      </c>
      <c r="B1196" s="50" t="s">
        <v>577</v>
      </c>
      <c r="C1196" s="51" t="s">
        <v>16</v>
      </c>
      <c r="D1196" s="51" t="s">
        <v>17</v>
      </c>
      <c r="E1196" s="52">
        <v>6793306000</v>
      </c>
      <c r="F1196" s="52">
        <v>1077420000</v>
      </c>
      <c r="G1196" s="52">
        <v>3185497000</v>
      </c>
      <c r="H1196" s="52" t="s">
        <v>757</v>
      </c>
      <c r="I1196" s="52">
        <v>117975000</v>
      </c>
      <c r="J1196" s="51" t="s">
        <v>24</v>
      </c>
      <c r="K1196" s="51" t="s">
        <v>110</v>
      </c>
      <c r="L1196" s="41">
        <f t="shared" si="90"/>
        <v>5715886000</v>
      </c>
      <c r="M1196" s="41">
        <f t="shared" si="91"/>
        <v>3303472000</v>
      </c>
      <c r="N1196" s="41">
        <f t="shared" si="92"/>
        <v>2412414000</v>
      </c>
      <c r="O1196" s="41">
        <f t="shared" si="93"/>
        <v>0.51371659100885492</v>
      </c>
      <c r="P1196" s="41">
        <f t="shared" si="94"/>
        <v>0.35511634541414738</v>
      </c>
    </row>
    <row r="1197" spans="1:16" ht="19.95" customHeight="1">
      <c r="A1197" s="49">
        <v>1242</v>
      </c>
      <c r="B1197" s="50" t="s">
        <v>577</v>
      </c>
      <c r="C1197" s="51" t="s">
        <v>18</v>
      </c>
      <c r="D1197" s="51" t="s">
        <v>19</v>
      </c>
      <c r="E1197" s="52">
        <v>8441971000</v>
      </c>
      <c r="F1197" s="52">
        <v>857841000</v>
      </c>
      <c r="G1197" s="52">
        <v>4302998000</v>
      </c>
      <c r="H1197" s="52" t="s">
        <v>757</v>
      </c>
      <c r="I1197" s="52">
        <v>207820000</v>
      </c>
      <c r="J1197" s="51" t="s">
        <v>24</v>
      </c>
      <c r="K1197" s="51" t="s">
        <v>110</v>
      </c>
      <c r="L1197" s="41">
        <f t="shared" si="90"/>
        <v>7584130000</v>
      </c>
      <c r="M1197" s="41">
        <f t="shared" si="91"/>
        <v>4510818000</v>
      </c>
      <c r="N1197" s="41">
        <f t="shared" si="92"/>
        <v>3073312000</v>
      </c>
      <c r="O1197" s="41">
        <f t="shared" si="93"/>
        <v>0.46566767405384357</v>
      </c>
      <c r="P1197" s="41">
        <f t="shared" si="94"/>
        <v>0.36405147565657359</v>
      </c>
    </row>
    <row r="1198" spans="1:16" ht="19.95" customHeight="1">
      <c r="A1198" s="49">
        <v>1243</v>
      </c>
      <c r="B1198" s="50" t="s">
        <v>577</v>
      </c>
      <c r="C1198" s="51" t="s">
        <v>20</v>
      </c>
      <c r="D1198" s="51" t="s">
        <v>21</v>
      </c>
      <c r="E1198" s="52">
        <v>9223987000</v>
      </c>
      <c r="F1198" s="52">
        <v>632180000</v>
      </c>
      <c r="G1198" s="52">
        <v>5060406000</v>
      </c>
      <c r="H1198" s="52" t="s">
        <v>757</v>
      </c>
      <c r="I1198" s="52">
        <v>272494000</v>
      </c>
      <c r="J1198" s="51" t="s">
        <v>24</v>
      </c>
      <c r="K1198" s="51" t="s">
        <v>110</v>
      </c>
      <c r="L1198" s="41">
        <f t="shared" si="90"/>
        <v>8591807000</v>
      </c>
      <c r="M1198" s="41">
        <f t="shared" si="91"/>
        <v>5332900000</v>
      </c>
      <c r="N1198" s="41">
        <f t="shared" si="92"/>
        <v>3258907000</v>
      </c>
      <c r="O1198" s="41">
        <f t="shared" si="93"/>
        <v>0.42184437163669031</v>
      </c>
      <c r="P1198" s="41">
        <f t="shared" si="94"/>
        <v>0.3533078483306622</v>
      </c>
    </row>
    <row r="1199" spans="1:16" ht="19.95" customHeight="1">
      <c r="A1199" s="49">
        <v>1244</v>
      </c>
      <c r="B1199" s="50" t="s">
        <v>578</v>
      </c>
      <c r="C1199" s="51" t="s">
        <v>11</v>
      </c>
      <c r="D1199" s="51" t="s">
        <v>579</v>
      </c>
      <c r="E1199" s="52">
        <v>3637212000</v>
      </c>
      <c r="F1199" s="52">
        <v>2446443000</v>
      </c>
      <c r="G1199" s="52" t="s">
        <v>757</v>
      </c>
      <c r="H1199" s="52" t="s">
        <v>757</v>
      </c>
      <c r="I1199" s="52" t="s">
        <v>757</v>
      </c>
      <c r="J1199" s="51" t="s">
        <v>37</v>
      </c>
      <c r="K1199" s="51" t="s">
        <v>227</v>
      </c>
      <c r="L1199" s="41">
        <f t="shared" si="90"/>
        <v>1190769000</v>
      </c>
      <c r="M1199" s="41">
        <f t="shared" si="91"/>
        <v>0</v>
      </c>
      <c r="N1199" s="41">
        <f t="shared" si="92"/>
        <v>1190769000</v>
      </c>
      <c r="O1199" s="41">
        <f t="shared" si="93"/>
        <v>1</v>
      </c>
      <c r="P1199" s="41">
        <f t="shared" si="94"/>
        <v>0.32738509605708987</v>
      </c>
    </row>
    <row r="1200" spans="1:16" ht="19.95" customHeight="1">
      <c r="A1200" s="49">
        <v>1245</v>
      </c>
      <c r="B1200" s="50" t="s">
        <v>578</v>
      </c>
      <c r="C1200" s="51" t="s">
        <v>16</v>
      </c>
      <c r="D1200" s="51" t="s">
        <v>580</v>
      </c>
      <c r="E1200" s="52">
        <v>3585141000</v>
      </c>
      <c r="F1200" s="52">
        <v>2566444000</v>
      </c>
      <c r="G1200" s="52" t="s">
        <v>757</v>
      </c>
      <c r="H1200" s="52" t="s">
        <v>757</v>
      </c>
      <c r="I1200" s="52" t="s">
        <v>757</v>
      </c>
      <c r="J1200" s="51" t="s">
        <v>37</v>
      </c>
      <c r="K1200" s="51" t="s">
        <v>227</v>
      </c>
      <c r="L1200" s="41">
        <f t="shared" si="90"/>
        <v>1018697000</v>
      </c>
      <c r="M1200" s="41">
        <f t="shared" si="91"/>
        <v>0</v>
      </c>
      <c r="N1200" s="41">
        <f t="shared" si="92"/>
        <v>1018697000</v>
      </c>
      <c r="O1200" s="41">
        <f t="shared" si="93"/>
        <v>1</v>
      </c>
      <c r="P1200" s="41">
        <f t="shared" si="94"/>
        <v>0.28414419404982955</v>
      </c>
    </row>
    <row r="1201" spans="1:16" ht="19.95" customHeight="1">
      <c r="A1201" s="49">
        <v>1246</v>
      </c>
      <c r="B1201" s="50" t="s">
        <v>578</v>
      </c>
      <c r="C1201" s="51" t="s">
        <v>18</v>
      </c>
      <c r="D1201" s="51" t="s">
        <v>581</v>
      </c>
      <c r="E1201" s="52">
        <v>3910865000</v>
      </c>
      <c r="F1201" s="52">
        <v>2850316000</v>
      </c>
      <c r="G1201" s="52" t="s">
        <v>757</v>
      </c>
      <c r="H1201" s="52" t="s">
        <v>757</v>
      </c>
      <c r="I1201" s="52" t="s">
        <v>757</v>
      </c>
      <c r="J1201" s="51" t="s">
        <v>37</v>
      </c>
      <c r="K1201" s="51" t="s">
        <v>227</v>
      </c>
      <c r="L1201" s="41">
        <f t="shared" si="90"/>
        <v>1060549000</v>
      </c>
      <c r="M1201" s="41">
        <f t="shared" si="91"/>
        <v>0</v>
      </c>
      <c r="N1201" s="41">
        <f t="shared" si="92"/>
        <v>1060549000</v>
      </c>
      <c r="O1201" s="41">
        <f t="shared" si="93"/>
        <v>1</v>
      </c>
      <c r="P1201" s="41">
        <f t="shared" si="94"/>
        <v>0.27118016091069369</v>
      </c>
    </row>
    <row r="1202" spans="1:16" ht="19.95" customHeight="1">
      <c r="A1202" s="49">
        <v>1247</v>
      </c>
      <c r="B1202" s="50" t="s">
        <v>578</v>
      </c>
      <c r="C1202" s="51" t="s">
        <v>20</v>
      </c>
      <c r="D1202" s="51" t="s">
        <v>415</v>
      </c>
      <c r="E1202" s="52">
        <v>5386703000</v>
      </c>
      <c r="F1202" s="52">
        <v>4063955000</v>
      </c>
      <c r="G1202" s="52" t="s">
        <v>757</v>
      </c>
      <c r="H1202" s="52" t="s">
        <v>757</v>
      </c>
      <c r="I1202" s="52" t="s">
        <v>757</v>
      </c>
      <c r="J1202" s="51" t="s">
        <v>37</v>
      </c>
      <c r="K1202" s="51" t="s">
        <v>227</v>
      </c>
      <c r="L1202" s="41">
        <f t="shared" si="90"/>
        <v>1322748000</v>
      </c>
      <c r="M1202" s="41">
        <f t="shared" si="91"/>
        <v>0</v>
      </c>
      <c r="N1202" s="41">
        <f t="shared" si="92"/>
        <v>1322748000</v>
      </c>
      <c r="O1202" s="41">
        <f t="shared" si="93"/>
        <v>1</v>
      </c>
      <c r="P1202" s="41">
        <f t="shared" si="94"/>
        <v>0.24555799716449933</v>
      </c>
    </row>
    <row r="1203" spans="1:16" ht="19.95" customHeight="1">
      <c r="A1203" s="49">
        <v>1248</v>
      </c>
      <c r="B1203" s="50" t="s">
        <v>582</v>
      </c>
      <c r="C1203" s="51" t="s">
        <v>11</v>
      </c>
      <c r="D1203" s="51" t="s">
        <v>12</v>
      </c>
      <c r="E1203" s="52">
        <v>9781000000</v>
      </c>
      <c r="F1203" s="52">
        <v>6351000000</v>
      </c>
      <c r="G1203" s="52">
        <v>98000000</v>
      </c>
      <c r="H1203" s="52" t="s">
        <v>757</v>
      </c>
      <c r="I1203" s="52">
        <v>1054000000</v>
      </c>
      <c r="J1203" s="51" t="s">
        <v>70</v>
      </c>
      <c r="K1203" s="51" t="s">
        <v>73</v>
      </c>
      <c r="L1203" s="41">
        <f t="shared" si="90"/>
        <v>3430000000</v>
      </c>
      <c r="M1203" s="41">
        <f t="shared" si="91"/>
        <v>1152000000</v>
      </c>
      <c r="N1203" s="41">
        <f t="shared" si="92"/>
        <v>2278000000</v>
      </c>
      <c r="O1203" s="41">
        <f t="shared" si="93"/>
        <v>0.88222063183723543</v>
      </c>
      <c r="P1203" s="41">
        <f t="shared" si="94"/>
        <v>0.2329005214190778</v>
      </c>
    </row>
    <row r="1204" spans="1:16" ht="19.95" customHeight="1">
      <c r="A1204" s="49">
        <v>1249</v>
      </c>
      <c r="B1204" s="50" t="s">
        <v>582</v>
      </c>
      <c r="C1204" s="51" t="s">
        <v>16</v>
      </c>
      <c r="D1204" s="51" t="s">
        <v>17</v>
      </c>
      <c r="E1204" s="52">
        <v>9968000000</v>
      </c>
      <c r="F1204" s="52">
        <v>6423000000</v>
      </c>
      <c r="G1204" s="52">
        <v>68000000</v>
      </c>
      <c r="H1204" s="52" t="s">
        <v>757</v>
      </c>
      <c r="I1204" s="52">
        <v>1178000000</v>
      </c>
      <c r="J1204" s="51" t="s">
        <v>70</v>
      </c>
      <c r="K1204" s="51" t="s">
        <v>73</v>
      </c>
      <c r="L1204" s="41">
        <f t="shared" si="90"/>
        <v>3545000000</v>
      </c>
      <c r="M1204" s="41">
        <f t="shared" si="91"/>
        <v>1246000000</v>
      </c>
      <c r="N1204" s="41">
        <f t="shared" si="92"/>
        <v>2299000000</v>
      </c>
      <c r="O1204" s="41">
        <f t="shared" si="93"/>
        <v>0.875</v>
      </c>
      <c r="P1204" s="41">
        <f t="shared" si="94"/>
        <v>0.23063804173354735</v>
      </c>
    </row>
    <row r="1205" spans="1:16" ht="19.95" customHeight="1">
      <c r="A1205" s="49">
        <v>1250</v>
      </c>
      <c r="B1205" s="50" t="s">
        <v>582</v>
      </c>
      <c r="C1205" s="51" t="s">
        <v>18</v>
      </c>
      <c r="D1205" s="51" t="s">
        <v>19</v>
      </c>
      <c r="E1205" s="52">
        <v>10886000000</v>
      </c>
      <c r="F1205" s="52">
        <v>7036000000</v>
      </c>
      <c r="G1205" s="52" t="s">
        <v>13</v>
      </c>
      <c r="H1205" s="52" t="s">
        <v>757</v>
      </c>
      <c r="I1205" s="52">
        <v>1227000000</v>
      </c>
      <c r="J1205" s="51" t="s">
        <v>70</v>
      </c>
      <c r="K1205" s="51" t="s">
        <v>73</v>
      </c>
      <c r="L1205" s="41">
        <f t="shared" si="90"/>
        <v>3850000000</v>
      </c>
      <c r="M1205" s="41" t="e">
        <f t="shared" si="91"/>
        <v>#VALUE!</v>
      </c>
      <c r="N1205" s="41" t="e">
        <f t="shared" si="92"/>
        <v>#VALUE!</v>
      </c>
      <c r="O1205" s="41" t="e">
        <f t="shared" si="93"/>
        <v>#VALUE!</v>
      </c>
      <c r="P1205" s="41" t="e">
        <f t="shared" si="94"/>
        <v>#VALUE!</v>
      </c>
    </row>
    <row r="1206" spans="1:16" ht="19.95" customHeight="1">
      <c r="A1206" s="49">
        <v>1251</v>
      </c>
      <c r="B1206" s="50" t="s">
        <v>582</v>
      </c>
      <c r="C1206" s="51" t="s">
        <v>20</v>
      </c>
      <c r="D1206" s="51" t="s">
        <v>21</v>
      </c>
      <c r="E1206" s="52">
        <v>10415000000</v>
      </c>
      <c r="F1206" s="52">
        <v>6239000000</v>
      </c>
      <c r="G1206" s="52" t="s">
        <v>13</v>
      </c>
      <c r="H1206" s="52" t="s">
        <v>757</v>
      </c>
      <c r="I1206" s="52">
        <v>1214000000</v>
      </c>
      <c r="J1206" s="51" t="s">
        <v>70</v>
      </c>
      <c r="K1206" s="51" t="s">
        <v>73</v>
      </c>
      <c r="L1206" s="41">
        <f t="shared" si="90"/>
        <v>4176000000</v>
      </c>
      <c r="M1206" s="41" t="e">
        <f t="shared" si="91"/>
        <v>#VALUE!</v>
      </c>
      <c r="N1206" s="41" t="e">
        <f t="shared" si="92"/>
        <v>#VALUE!</v>
      </c>
      <c r="O1206" s="41" t="e">
        <f t="shared" si="93"/>
        <v>#VALUE!</v>
      </c>
      <c r="P1206" s="41" t="e">
        <f t="shared" si="94"/>
        <v>#VALUE!</v>
      </c>
    </row>
    <row r="1207" spans="1:16" ht="19.95" customHeight="1">
      <c r="A1207" s="49">
        <v>1252</v>
      </c>
      <c r="B1207" s="50" t="s">
        <v>583</v>
      </c>
      <c r="C1207" s="51" t="s">
        <v>11</v>
      </c>
      <c r="D1207" s="51" t="s">
        <v>26</v>
      </c>
      <c r="E1207" s="52">
        <v>66415000000</v>
      </c>
      <c r="F1207" s="52">
        <v>31243000000</v>
      </c>
      <c r="G1207" s="52">
        <v>25357000000</v>
      </c>
      <c r="H1207" s="52" t="s">
        <v>757</v>
      </c>
      <c r="I1207" s="52">
        <v>110000000</v>
      </c>
      <c r="J1207" s="51" t="s">
        <v>60</v>
      </c>
      <c r="K1207" s="51" t="s">
        <v>307</v>
      </c>
      <c r="L1207" s="41">
        <f t="shared" si="90"/>
        <v>35172000000</v>
      </c>
      <c r="M1207" s="41">
        <f t="shared" si="91"/>
        <v>25467000000</v>
      </c>
      <c r="N1207" s="41">
        <f t="shared" si="92"/>
        <v>9705000000</v>
      </c>
      <c r="O1207" s="41">
        <f t="shared" si="93"/>
        <v>0.61654746668674243</v>
      </c>
      <c r="P1207" s="41">
        <f t="shared" si="94"/>
        <v>0.14612662802077844</v>
      </c>
    </row>
    <row r="1208" spans="1:16" ht="19.95" customHeight="1">
      <c r="A1208" s="49">
        <v>1253</v>
      </c>
      <c r="B1208" s="50" t="s">
        <v>583</v>
      </c>
      <c r="C1208" s="51" t="s">
        <v>16</v>
      </c>
      <c r="D1208" s="51" t="s">
        <v>376</v>
      </c>
      <c r="E1208" s="52">
        <v>66683000000</v>
      </c>
      <c r="F1208" s="52">
        <v>31238000000</v>
      </c>
      <c r="G1208" s="52">
        <v>25772000000</v>
      </c>
      <c r="H1208" s="52" t="s">
        <v>757</v>
      </c>
      <c r="I1208" s="52">
        <v>92000000</v>
      </c>
      <c r="J1208" s="51" t="s">
        <v>60</v>
      </c>
      <c r="K1208" s="51" t="s">
        <v>307</v>
      </c>
      <c r="L1208" s="41">
        <f t="shared" si="90"/>
        <v>35445000000</v>
      </c>
      <c r="M1208" s="41">
        <f t="shared" si="91"/>
        <v>25864000000</v>
      </c>
      <c r="N1208" s="41">
        <f t="shared" si="92"/>
        <v>9581000000</v>
      </c>
      <c r="O1208" s="41">
        <f t="shared" si="93"/>
        <v>0.61213502691840493</v>
      </c>
      <c r="P1208" s="41">
        <f t="shared" si="94"/>
        <v>0.14367979844937989</v>
      </c>
    </row>
    <row r="1209" spans="1:16" ht="19.95" customHeight="1">
      <c r="A1209" s="49">
        <v>1254</v>
      </c>
      <c r="B1209" s="50" t="s">
        <v>583</v>
      </c>
      <c r="C1209" s="51" t="s">
        <v>18</v>
      </c>
      <c r="D1209" s="51" t="s">
        <v>377</v>
      </c>
      <c r="E1209" s="52">
        <v>63056000000</v>
      </c>
      <c r="F1209" s="52">
        <v>28731000000</v>
      </c>
      <c r="G1209" s="52">
        <v>24538000000</v>
      </c>
      <c r="H1209" s="52" t="s">
        <v>757</v>
      </c>
      <c r="I1209" s="52">
        <v>75000000</v>
      </c>
      <c r="J1209" s="51" t="s">
        <v>60</v>
      </c>
      <c r="K1209" s="51" t="s">
        <v>307</v>
      </c>
      <c r="L1209" s="41">
        <f t="shared" si="90"/>
        <v>34325000000</v>
      </c>
      <c r="M1209" s="41">
        <f t="shared" si="91"/>
        <v>24613000000</v>
      </c>
      <c r="N1209" s="41">
        <f t="shared" si="92"/>
        <v>9712000000</v>
      </c>
      <c r="O1209" s="41">
        <f t="shared" si="93"/>
        <v>0.60966442527277342</v>
      </c>
      <c r="P1209" s="41">
        <f t="shared" si="94"/>
        <v>0.15402182187262117</v>
      </c>
    </row>
    <row r="1210" spans="1:16" ht="19.95" customHeight="1">
      <c r="A1210" s="49">
        <v>1255</v>
      </c>
      <c r="B1210" s="50" t="s">
        <v>583</v>
      </c>
      <c r="C1210" s="51" t="s">
        <v>20</v>
      </c>
      <c r="D1210" s="51" t="s">
        <v>84</v>
      </c>
      <c r="E1210" s="52">
        <v>62799000000</v>
      </c>
      <c r="F1210" s="52">
        <v>28209000000</v>
      </c>
      <c r="G1210" s="52">
        <v>24735000000</v>
      </c>
      <c r="H1210" s="52" t="s">
        <v>757</v>
      </c>
      <c r="I1210" s="52">
        <v>70000000</v>
      </c>
      <c r="J1210" s="51" t="s">
        <v>60</v>
      </c>
      <c r="K1210" s="51" t="s">
        <v>307</v>
      </c>
      <c r="L1210" s="41">
        <f t="shared" si="90"/>
        <v>34590000000</v>
      </c>
      <c r="M1210" s="41">
        <f t="shared" si="91"/>
        <v>24805000000</v>
      </c>
      <c r="N1210" s="41">
        <f t="shared" si="92"/>
        <v>9785000000</v>
      </c>
      <c r="O1210" s="41">
        <f t="shared" si="93"/>
        <v>0.60500963391136797</v>
      </c>
      <c r="P1210" s="41">
        <f t="shared" si="94"/>
        <v>0.1558145830347617</v>
      </c>
    </row>
    <row r="1211" spans="1:16" ht="19.95" customHeight="1">
      <c r="A1211" s="49">
        <v>1256</v>
      </c>
      <c r="B1211" s="50" t="s">
        <v>584</v>
      </c>
      <c r="C1211" s="51" t="s">
        <v>11</v>
      </c>
      <c r="D1211" s="51" t="s">
        <v>12</v>
      </c>
      <c r="E1211" s="52">
        <v>54657000000</v>
      </c>
      <c r="F1211" s="52">
        <v>9821000000</v>
      </c>
      <c r="G1211" s="52">
        <v>15171000000</v>
      </c>
      <c r="H1211" s="52">
        <v>7482000000</v>
      </c>
      <c r="I1211" s="52">
        <v>5109000000</v>
      </c>
      <c r="J1211" s="51" t="s">
        <v>37</v>
      </c>
      <c r="K1211" s="51" t="s">
        <v>38</v>
      </c>
      <c r="L1211" s="41">
        <f t="shared" si="90"/>
        <v>44836000000</v>
      </c>
      <c r="M1211" s="41">
        <f t="shared" si="91"/>
        <v>27762000000</v>
      </c>
      <c r="N1211" s="41">
        <f t="shared" si="92"/>
        <v>17074000000</v>
      </c>
      <c r="O1211" s="41">
        <f t="shared" si="93"/>
        <v>0.49206871946868658</v>
      </c>
      <c r="P1211" s="41">
        <f t="shared" si="94"/>
        <v>0.31238450701648462</v>
      </c>
    </row>
    <row r="1212" spans="1:16" ht="19.95" customHeight="1">
      <c r="A1212" s="49">
        <v>1257</v>
      </c>
      <c r="B1212" s="50" t="s">
        <v>584</v>
      </c>
      <c r="C1212" s="51" t="s">
        <v>16</v>
      </c>
      <c r="D1212" s="51" t="s">
        <v>17</v>
      </c>
      <c r="E1212" s="52">
        <v>51584000000</v>
      </c>
      <c r="F1212" s="52">
        <v>9586000000</v>
      </c>
      <c r="G1212" s="52">
        <v>14355000000</v>
      </c>
      <c r="H1212" s="52">
        <v>6678000000</v>
      </c>
      <c r="I1212" s="52">
        <v>4599000000</v>
      </c>
      <c r="J1212" s="51" t="s">
        <v>37</v>
      </c>
      <c r="K1212" s="51" t="s">
        <v>38</v>
      </c>
      <c r="L1212" s="41">
        <f t="shared" si="90"/>
        <v>41998000000</v>
      </c>
      <c r="M1212" s="41">
        <f t="shared" si="91"/>
        <v>25632000000</v>
      </c>
      <c r="N1212" s="41">
        <f t="shared" si="92"/>
        <v>16366000000</v>
      </c>
      <c r="O1212" s="41">
        <f t="shared" si="93"/>
        <v>0.50310173697270466</v>
      </c>
      <c r="P1212" s="41">
        <f t="shared" si="94"/>
        <v>0.31726892059553352</v>
      </c>
    </row>
    <row r="1213" spans="1:16" ht="19.95" customHeight="1">
      <c r="A1213" s="49">
        <v>1258</v>
      </c>
      <c r="B1213" s="50" t="s">
        <v>584</v>
      </c>
      <c r="C1213" s="51" t="s">
        <v>18</v>
      </c>
      <c r="D1213" s="51" t="s">
        <v>19</v>
      </c>
      <c r="E1213" s="52">
        <v>49605000000</v>
      </c>
      <c r="F1213" s="52">
        <v>9577000000</v>
      </c>
      <c r="G1213" s="52">
        <v>14097000000</v>
      </c>
      <c r="H1213" s="52">
        <v>8393000000</v>
      </c>
      <c r="I1213" s="52">
        <v>4039000000</v>
      </c>
      <c r="J1213" s="51" t="s">
        <v>37</v>
      </c>
      <c r="K1213" s="51" t="s">
        <v>38</v>
      </c>
      <c r="L1213" s="41">
        <f t="shared" si="90"/>
        <v>40028000000</v>
      </c>
      <c r="M1213" s="41">
        <f t="shared" si="91"/>
        <v>26529000000</v>
      </c>
      <c r="N1213" s="41">
        <f t="shared" si="92"/>
        <v>13499000000</v>
      </c>
      <c r="O1213" s="41">
        <f t="shared" si="93"/>
        <v>0.46519504082249774</v>
      </c>
      <c r="P1213" s="41">
        <f t="shared" si="94"/>
        <v>0.27212982562241711</v>
      </c>
    </row>
    <row r="1214" spans="1:16" ht="19.95" customHeight="1">
      <c r="A1214" s="49">
        <v>1259</v>
      </c>
      <c r="B1214" s="50" t="s">
        <v>584</v>
      </c>
      <c r="C1214" s="51" t="s">
        <v>20</v>
      </c>
      <c r="D1214" s="51" t="s">
        <v>21</v>
      </c>
      <c r="E1214" s="52">
        <v>48851000000</v>
      </c>
      <c r="F1214" s="52">
        <v>9648000000</v>
      </c>
      <c r="G1214" s="52">
        <v>14809000000</v>
      </c>
      <c r="H1214" s="52">
        <v>7690000000</v>
      </c>
      <c r="I1214" s="52">
        <v>3728000000</v>
      </c>
      <c r="J1214" s="51" t="s">
        <v>37</v>
      </c>
      <c r="K1214" s="51" t="s">
        <v>38</v>
      </c>
      <c r="L1214" s="41">
        <f t="shared" si="90"/>
        <v>39203000000</v>
      </c>
      <c r="M1214" s="41">
        <f t="shared" si="91"/>
        <v>26227000000</v>
      </c>
      <c r="N1214" s="41">
        <f t="shared" si="92"/>
        <v>12976000000</v>
      </c>
      <c r="O1214" s="41">
        <f t="shared" si="93"/>
        <v>0.46312255634480359</v>
      </c>
      <c r="P1214" s="41">
        <f t="shared" si="94"/>
        <v>0.2656240404495302</v>
      </c>
    </row>
    <row r="1215" spans="1:16" ht="19.95" customHeight="1">
      <c r="A1215" s="49">
        <v>1260</v>
      </c>
      <c r="B1215" s="50" t="s">
        <v>585</v>
      </c>
      <c r="C1215" s="51" t="s">
        <v>11</v>
      </c>
      <c r="D1215" s="51" t="s">
        <v>17</v>
      </c>
      <c r="E1215" s="52">
        <v>9289500000</v>
      </c>
      <c r="F1215" s="52">
        <v>4683600000</v>
      </c>
      <c r="G1215" s="52">
        <v>189000000</v>
      </c>
      <c r="H1215" s="52" t="s">
        <v>757</v>
      </c>
      <c r="I1215" s="52">
        <v>3292900000</v>
      </c>
      <c r="J1215" s="51" t="s">
        <v>75</v>
      </c>
      <c r="K1215" s="51" t="s">
        <v>511</v>
      </c>
      <c r="L1215" s="41">
        <f t="shared" si="90"/>
        <v>4605900000</v>
      </c>
      <c r="M1215" s="41">
        <f t="shared" si="91"/>
        <v>3481900000</v>
      </c>
      <c r="N1215" s="41">
        <f t="shared" si="92"/>
        <v>1124000000</v>
      </c>
      <c r="O1215" s="41">
        <f t="shared" si="93"/>
        <v>0.62517896549868124</v>
      </c>
      <c r="P1215" s="41">
        <f t="shared" si="94"/>
        <v>0.12099682437160235</v>
      </c>
    </row>
    <row r="1216" spans="1:16" ht="19.95" customHeight="1">
      <c r="A1216" s="53">
        <v>1261</v>
      </c>
      <c r="B1216" s="54" t="s">
        <v>585</v>
      </c>
      <c r="C1216" s="55" t="s">
        <v>16</v>
      </c>
      <c r="D1216" s="55" t="s">
        <v>19</v>
      </c>
      <c r="E1216" s="56">
        <v>10477600000</v>
      </c>
      <c r="F1216" s="56">
        <v>5231000000</v>
      </c>
      <c r="G1216" s="56">
        <v>177400000</v>
      </c>
      <c r="H1216" s="56" t="s">
        <v>757</v>
      </c>
      <c r="I1216" s="56">
        <v>3574300000</v>
      </c>
      <c r="J1216" s="55" t="s">
        <v>75</v>
      </c>
      <c r="K1216" s="55" t="s">
        <v>511</v>
      </c>
      <c r="L1216" s="57">
        <f t="shared" si="90"/>
        <v>5246600000</v>
      </c>
      <c r="M1216" s="57">
        <f t="shared" si="91"/>
        <v>3751700000</v>
      </c>
      <c r="N1216" s="57">
        <f t="shared" si="92"/>
        <v>1494900000</v>
      </c>
      <c r="O1216" s="57">
        <f t="shared" si="93"/>
        <v>0.6419313583263343</v>
      </c>
      <c r="P1216" s="57">
        <f t="shared" si="94"/>
        <v>0.14267580361914942</v>
      </c>
    </row>
    <row r="1217" spans="1:16" ht="19.95" customHeight="1">
      <c r="A1217" s="49">
        <v>1262</v>
      </c>
      <c r="B1217" s="50" t="s">
        <v>585</v>
      </c>
      <c r="C1217" s="51" t="s">
        <v>18</v>
      </c>
      <c r="D1217" s="51" t="s">
        <v>21</v>
      </c>
      <c r="E1217" s="52">
        <v>11964400000</v>
      </c>
      <c r="F1217" s="52">
        <v>6697700000</v>
      </c>
      <c r="G1217" s="52">
        <v>163500000</v>
      </c>
      <c r="H1217" s="52" t="s">
        <v>757</v>
      </c>
      <c r="I1217" s="52">
        <v>3672400000</v>
      </c>
      <c r="J1217" s="51" t="s">
        <v>75</v>
      </c>
      <c r="K1217" s="51" t="s">
        <v>511</v>
      </c>
      <c r="L1217" s="41">
        <f t="shared" si="90"/>
        <v>5266700000</v>
      </c>
      <c r="M1217" s="41">
        <f t="shared" si="91"/>
        <v>3835900000</v>
      </c>
      <c r="N1217" s="41">
        <f t="shared" si="92"/>
        <v>1430800000</v>
      </c>
      <c r="O1217" s="41">
        <f t="shared" si="93"/>
        <v>0.67939052522483367</v>
      </c>
      <c r="P1217" s="41">
        <f t="shared" si="94"/>
        <v>0.11958811139714487</v>
      </c>
    </row>
    <row r="1218" spans="1:16" ht="19.95" customHeight="1">
      <c r="A1218" s="49">
        <v>1263</v>
      </c>
      <c r="B1218" s="50" t="s">
        <v>585</v>
      </c>
      <c r="C1218" s="51" t="s">
        <v>20</v>
      </c>
      <c r="D1218" s="51" t="s">
        <v>84</v>
      </c>
      <c r="E1218" s="52">
        <v>12394100000</v>
      </c>
      <c r="F1218" s="52">
        <v>6913200000</v>
      </c>
      <c r="G1218" s="52">
        <v>156600000</v>
      </c>
      <c r="H1218" s="52" t="s">
        <v>757</v>
      </c>
      <c r="I1218" s="52">
        <v>3732600000</v>
      </c>
      <c r="J1218" s="51" t="s">
        <v>75</v>
      </c>
      <c r="K1218" s="51" t="s">
        <v>511</v>
      </c>
      <c r="L1218" s="41">
        <f t="shared" si="90"/>
        <v>5480900000</v>
      </c>
      <c r="M1218" s="41">
        <f t="shared" si="91"/>
        <v>3889200000</v>
      </c>
      <c r="N1218" s="41">
        <f t="shared" si="92"/>
        <v>1591700000</v>
      </c>
      <c r="O1218" s="41">
        <f t="shared" si="93"/>
        <v>0.68620553327793066</v>
      </c>
      <c r="P1218" s="41">
        <f t="shared" si="94"/>
        <v>0.12842400819744879</v>
      </c>
    </row>
    <row r="1219" spans="1:16" ht="19.95" customHeight="1">
      <c r="A1219" s="49">
        <v>1264</v>
      </c>
      <c r="B1219" s="50" t="s">
        <v>586</v>
      </c>
      <c r="C1219" s="51" t="s">
        <v>11</v>
      </c>
      <c r="D1219" s="51" t="s">
        <v>17</v>
      </c>
      <c r="E1219" s="52">
        <v>2104745000</v>
      </c>
      <c r="F1219" s="52">
        <v>155355000</v>
      </c>
      <c r="G1219" s="52">
        <v>346393000</v>
      </c>
      <c r="H1219" s="52">
        <v>859947000</v>
      </c>
      <c r="I1219" s="52" t="s">
        <v>757</v>
      </c>
      <c r="J1219" s="51" t="s">
        <v>60</v>
      </c>
      <c r="K1219" s="51" t="s">
        <v>237</v>
      </c>
      <c r="L1219" s="41">
        <f t="shared" ref="L1219:L1282" si="95">Total_Revenue-COGS</f>
        <v>1949390000</v>
      </c>
      <c r="M1219" s="41">
        <f t="shared" ref="M1219:M1282" si="96">SGAA+RandD+OOI</f>
        <v>1206340000</v>
      </c>
      <c r="N1219" s="41">
        <f t="shared" ref="N1219:N1282" si="97">Gross_Profit-Total_Operating_Expenses</f>
        <v>743050000</v>
      </c>
      <c r="O1219" s="41">
        <f t="shared" ref="O1219:O1282" si="98">1-(Total_Operating_Expenses/Total_Revenue)</f>
        <v>0.42684743282440396</v>
      </c>
      <c r="P1219" s="41">
        <f t="shared" ref="P1219:P1282" si="99">Operating_Profit/Total_Revenue</f>
        <v>0.35303564089711581</v>
      </c>
    </row>
    <row r="1220" spans="1:16" ht="19.95" customHeight="1">
      <c r="A1220" s="49">
        <v>1265</v>
      </c>
      <c r="B1220" s="50" t="s">
        <v>586</v>
      </c>
      <c r="C1220" s="51" t="s">
        <v>16</v>
      </c>
      <c r="D1220" s="51" t="s">
        <v>19</v>
      </c>
      <c r="E1220" s="52">
        <v>2819557000</v>
      </c>
      <c r="F1220" s="52">
        <v>205018000</v>
      </c>
      <c r="G1220" s="52">
        <v>519267000</v>
      </c>
      <c r="H1220" s="52">
        <v>1271353000</v>
      </c>
      <c r="I1220" s="52" t="s">
        <v>757</v>
      </c>
      <c r="J1220" s="51" t="s">
        <v>60</v>
      </c>
      <c r="K1220" s="51" t="s">
        <v>237</v>
      </c>
      <c r="L1220" s="41">
        <f t="shared" si="95"/>
        <v>2614539000</v>
      </c>
      <c r="M1220" s="41">
        <f t="shared" si="96"/>
        <v>1790620000</v>
      </c>
      <c r="N1220" s="41">
        <f t="shared" si="97"/>
        <v>823919000</v>
      </c>
      <c r="O1220" s="41">
        <f t="shared" si="98"/>
        <v>0.3649286040324774</v>
      </c>
      <c r="P1220" s="41">
        <f t="shared" si="99"/>
        <v>0.29221576297269392</v>
      </c>
    </row>
    <row r="1221" spans="1:16" ht="19.95" customHeight="1">
      <c r="A1221" s="49">
        <v>1266</v>
      </c>
      <c r="B1221" s="50" t="s">
        <v>586</v>
      </c>
      <c r="C1221" s="51" t="s">
        <v>18</v>
      </c>
      <c r="D1221" s="51" t="s">
        <v>21</v>
      </c>
      <c r="E1221" s="52">
        <v>4103728000</v>
      </c>
      <c r="F1221" s="52">
        <v>392709000</v>
      </c>
      <c r="G1221" s="52">
        <v>838526000</v>
      </c>
      <c r="H1221" s="52">
        <v>1620577000</v>
      </c>
      <c r="I1221" s="52" t="s">
        <v>757</v>
      </c>
      <c r="J1221" s="51" t="s">
        <v>60</v>
      </c>
      <c r="K1221" s="51" t="s">
        <v>237</v>
      </c>
      <c r="L1221" s="41">
        <f t="shared" si="95"/>
        <v>3711019000</v>
      </c>
      <c r="M1221" s="41">
        <f t="shared" si="96"/>
        <v>2459103000</v>
      </c>
      <c r="N1221" s="41">
        <f t="shared" si="97"/>
        <v>1251916000</v>
      </c>
      <c r="O1221" s="41">
        <f t="shared" si="98"/>
        <v>0.4007636471033168</v>
      </c>
      <c r="P1221" s="41">
        <f t="shared" si="99"/>
        <v>0.30506797721486412</v>
      </c>
    </row>
    <row r="1222" spans="1:16" ht="19.95" customHeight="1">
      <c r="A1222" s="49">
        <v>1267</v>
      </c>
      <c r="B1222" s="50" t="s">
        <v>586</v>
      </c>
      <c r="C1222" s="51" t="s">
        <v>20</v>
      </c>
      <c r="D1222" s="51" t="s">
        <v>84</v>
      </c>
      <c r="E1222" s="52">
        <v>4860427000</v>
      </c>
      <c r="F1222" s="52">
        <v>299694000</v>
      </c>
      <c r="G1222" s="52">
        <v>1177697000</v>
      </c>
      <c r="H1222" s="52">
        <v>2052295000</v>
      </c>
      <c r="I1222" s="52" t="s">
        <v>757</v>
      </c>
      <c r="J1222" s="51" t="s">
        <v>60</v>
      </c>
      <c r="K1222" s="51" t="s">
        <v>237</v>
      </c>
      <c r="L1222" s="41">
        <f t="shared" si="95"/>
        <v>4560733000</v>
      </c>
      <c r="M1222" s="41">
        <f t="shared" si="96"/>
        <v>3229992000</v>
      </c>
      <c r="N1222" s="41">
        <f t="shared" si="97"/>
        <v>1330741000</v>
      </c>
      <c r="O1222" s="41">
        <f t="shared" si="98"/>
        <v>0.33545097992419182</v>
      </c>
      <c r="P1222" s="41">
        <f t="shared" si="99"/>
        <v>0.27379096527938801</v>
      </c>
    </row>
    <row r="1223" spans="1:16" ht="19.95" customHeight="1">
      <c r="A1223" s="49">
        <v>1268</v>
      </c>
      <c r="B1223" s="50" t="s">
        <v>587</v>
      </c>
      <c r="C1223" s="51" t="s">
        <v>11</v>
      </c>
      <c r="D1223" s="51" t="s">
        <v>12</v>
      </c>
      <c r="E1223" s="52">
        <v>17083900000</v>
      </c>
      <c r="F1223" s="52">
        <v>15590900000</v>
      </c>
      <c r="G1223" s="52">
        <v>15400000</v>
      </c>
      <c r="H1223" s="52" t="s">
        <v>757</v>
      </c>
      <c r="I1223" s="52">
        <v>36100000</v>
      </c>
      <c r="J1223" s="51" t="s">
        <v>75</v>
      </c>
      <c r="K1223" s="51" t="s">
        <v>78</v>
      </c>
      <c r="L1223" s="41">
        <f t="shared" si="95"/>
        <v>1493000000</v>
      </c>
      <c r="M1223" s="41">
        <f t="shared" si="96"/>
        <v>51500000</v>
      </c>
      <c r="N1223" s="41">
        <f t="shared" si="97"/>
        <v>1441500000</v>
      </c>
      <c r="O1223" s="41">
        <f t="shared" si="98"/>
        <v>0.9969854658479621</v>
      </c>
      <c r="P1223" s="41">
        <f t="shared" si="99"/>
        <v>8.4377688935196302E-2</v>
      </c>
    </row>
    <row r="1224" spans="1:16" ht="19.95" customHeight="1">
      <c r="A1224" s="53">
        <v>1269</v>
      </c>
      <c r="B1224" s="54" t="s">
        <v>587</v>
      </c>
      <c r="C1224" s="55" t="s">
        <v>16</v>
      </c>
      <c r="D1224" s="55" t="s">
        <v>17</v>
      </c>
      <c r="E1224" s="56">
        <v>18170900000</v>
      </c>
      <c r="F1224" s="56">
        <v>16275100000</v>
      </c>
      <c r="G1224" s="56">
        <v>18800000</v>
      </c>
      <c r="H1224" s="56" t="s">
        <v>757</v>
      </c>
      <c r="I1224" s="56">
        <v>38800000</v>
      </c>
      <c r="J1224" s="55" t="s">
        <v>75</v>
      </c>
      <c r="K1224" s="55" t="s">
        <v>78</v>
      </c>
      <c r="L1224" s="57">
        <f t="shared" si="95"/>
        <v>1895800000</v>
      </c>
      <c r="M1224" s="57">
        <f t="shared" si="96"/>
        <v>57600000</v>
      </c>
      <c r="N1224" s="57">
        <f t="shared" si="97"/>
        <v>1838200000</v>
      </c>
      <c r="O1224" s="57">
        <f t="shared" si="98"/>
        <v>0.99683009647293197</v>
      </c>
      <c r="P1224" s="57">
        <f t="shared" si="99"/>
        <v>0.10116174762945149</v>
      </c>
    </row>
    <row r="1225" spans="1:16" ht="19.95" customHeight="1">
      <c r="A1225" s="49">
        <v>1270</v>
      </c>
      <c r="B1225" s="50" t="s">
        <v>587</v>
      </c>
      <c r="C1225" s="51" t="s">
        <v>18</v>
      </c>
      <c r="D1225" s="51" t="s">
        <v>19</v>
      </c>
      <c r="E1225" s="52">
        <v>19391400000</v>
      </c>
      <c r="F1225" s="52">
        <v>17297300000</v>
      </c>
      <c r="G1225" s="52">
        <v>18900000</v>
      </c>
      <c r="H1225" s="52" t="s">
        <v>757</v>
      </c>
      <c r="I1225" s="52">
        <v>50900000</v>
      </c>
      <c r="J1225" s="51" t="s">
        <v>75</v>
      </c>
      <c r="K1225" s="51" t="s">
        <v>78</v>
      </c>
      <c r="L1225" s="41">
        <f t="shared" si="95"/>
        <v>2094100000</v>
      </c>
      <c r="M1225" s="41">
        <f t="shared" si="96"/>
        <v>69800000</v>
      </c>
      <c r="N1225" s="41">
        <f t="shared" si="97"/>
        <v>2024300000</v>
      </c>
      <c r="O1225" s="41">
        <f t="shared" si="98"/>
        <v>0.99640046618604128</v>
      </c>
      <c r="P1225" s="41">
        <f t="shared" si="99"/>
        <v>0.10439163753003909</v>
      </c>
    </row>
    <row r="1226" spans="1:16" ht="19.95" customHeight="1">
      <c r="A1226" s="49">
        <v>1271</v>
      </c>
      <c r="B1226" s="50" t="s">
        <v>587</v>
      </c>
      <c r="C1226" s="51" t="s">
        <v>20</v>
      </c>
      <c r="D1226" s="51" t="s">
        <v>21</v>
      </c>
      <c r="E1226" s="52">
        <v>20853800000</v>
      </c>
      <c r="F1226" s="52">
        <v>18705900000</v>
      </c>
      <c r="G1226" s="52">
        <v>22800000</v>
      </c>
      <c r="H1226" s="52" t="s">
        <v>757</v>
      </c>
      <c r="I1226" s="52">
        <v>77500000</v>
      </c>
      <c r="J1226" s="51" t="s">
        <v>75</v>
      </c>
      <c r="K1226" s="51" t="s">
        <v>78</v>
      </c>
      <c r="L1226" s="41">
        <f t="shared" si="95"/>
        <v>2147900000</v>
      </c>
      <c r="M1226" s="41">
        <f t="shared" si="96"/>
        <v>100300000</v>
      </c>
      <c r="N1226" s="41">
        <f t="shared" si="97"/>
        <v>2047600000</v>
      </c>
      <c r="O1226" s="41">
        <f t="shared" si="98"/>
        <v>0.99519032502469573</v>
      </c>
      <c r="P1226" s="41">
        <f t="shared" si="99"/>
        <v>9.8188339775005032E-2</v>
      </c>
    </row>
    <row r="1227" spans="1:16" ht="19.95" customHeight="1">
      <c r="A1227" s="49">
        <v>1272</v>
      </c>
      <c r="B1227" s="50" t="s">
        <v>588</v>
      </c>
      <c r="C1227" s="51" t="s">
        <v>11</v>
      </c>
      <c r="D1227" s="51" t="s">
        <v>178</v>
      </c>
      <c r="E1227" s="52">
        <v>13015704000</v>
      </c>
      <c r="F1227" s="52">
        <v>10086675000</v>
      </c>
      <c r="G1227" s="52">
        <v>1554973000</v>
      </c>
      <c r="H1227" s="52" t="s">
        <v>757</v>
      </c>
      <c r="I1227" s="52" t="s">
        <v>757</v>
      </c>
      <c r="J1227" s="51" t="s">
        <v>14</v>
      </c>
      <c r="K1227" s="51" t="s">
        <v>224</v>
      </c>
      <c r="L1227" s="41">
        <f t="shared" si="95"/>
        <v>2929029000</v>
      </c>
      <c r="M1227" s="41">
        <f t="shared" si="96"/>
        <v>1554973000</v>
      </c>
      <c r="N1227" s="41">
        <f t="shared" si="97"/>
        <v>1374056000</v>
      </c>
      <c r="O1227" s="41">
        <f t="shared" si="98"/>
        <v>0.88053101084658958</v>
      </c>
      <c r="P1227" s="41">
        <f t="shared" si="99"/>
        <v>0.1055690879264003</v>
      </c>
    </row>
    <row r="1228" spans="1:16" ht="19.95" customHeight="1">
      <c r="A1228" s="49">
        <v>1273</v>
      </c>
      <c r="B1228" s="50" t="s">
        <v>588</v>
      </c>
      <c r="C1228" s="51" t="s">
        <v>16</v>
      </c>
      <c r="D1228" s="51" t="s">
        <v>179</v>
      </c>
      <c r="E1228" s="52">
        <v>13215971000</v>
      </c>
      <c r="F1228" s="52">
        <v>10188227000</v>
      </c>
      <c r="G1228" s="52">
        <v>1633992000</v>
      </c>
      <c r="H1228" s="52" t="s">
        <v>757</v>
      </c>
      <c r="I1228" s="52" t="s">
        <v>757</v>
      </c>
      <c r="J1228" s="51" t="s">
        <v>14</v>
      </c>
      <c r="K1228" s="51" t="s">
        <v>224</v>
      </c>
      <c r="L1228" s="41">
        <f t="shared" si="95"/>
        <v>3027744000</v>
      </c>
      <c r="M1228" s="41">
        <f t="shared" si="96"/>
        <v>1633992000</v>
      </c>
      <c r="N1228" s="41">
        <f t="shared" si="97"/>
        <v>1393752000</v>
      </c>
      <c r="O1228" s="41">
        <f t="shared" si="98"/>
        <v>0.87636231949964172</v>
      </c>
      <c r="P1228" s="41">
        <f t="shared" si="99"/>
        <v>0.10545967451048432</v>
      </c>
    </row>
    <row r="1229" spans="1:16" ht="19.95" customHeight="1">
      <c r="A1229" s="49">
        <v>1274</v>
      </c>
      <c r="B1229" s="50" t="s">
        <v>588</v>
      </c>
      <c r="C1229" s="51" t="s">
        <v>18</v>
      </c>
      <c r="D1229" s="51" t="s">
        <v>180</v>
      </c>
      <c r="E1229" s="52">
        <v>12711744000</v>
      </c>
      <c r="F1229" s="52">
        <v>9655245000</v>
      </c>
      <c r="G1229" s="52">
        <v>1544746000</v>
      </c>
      <c r="H1229" s="52" t="s">
        <v>757</v>
      </c>
      <c r="I1229" s="52" t="s">
        <v>757</v>
      </c>
      <c r="J1229" s="51" t="s">
        <v>14</v>
      </c>
      <c r="K1229" s="51" t="s">
        <v>224</v>
      </c>
      <c r="L1229" s="41">
        <f t="shared" si="95"/>
        <v>3056499000</v>
      </c>
      <c r="M1229" s="41">
        <f t="shared" si="96"/>
        <v>1544746000</v>
      </c>
      <c r="N1229" s="41">
        <f t="shared" si="97"/>
        <v>1511753000</v>
      </c>
      <c r="O1229" s="41">
        <f t="shared" si="98"/>
        <v>0.87847883028481377</v>
      </c>
      <c r="P1229" s="41">
        <f t="shared" si="99"/>
        <v>0.11892569579752393</v>
      </c>
    </row>
    <row r="1230" spans="1:16" ht="19.95" customHeight="1">
      <c r="A1230" s="49">
        <v>1275</v>
      </c>
      <c r="B1230" s="50" t="s">
        <v>588</v>
      </c>
      <c r="C1230" s="51" t="s">
        <v>20</v>
      </c>
      <c r="D1230" s="51" t="s">
        <v>181</v>
      </c>
      <c r="E1230" s="52">
        <v>11360753000</v>
      </c>
      <c r="F1230" s="52">
        <v>8823384000</v>
      </c>
      <c r="G1230" s="52">
        <v>1359360000</v>
      </c>
      <c r="H1230" s="52" t="s">
        <v>757</v>
      </c>
      <c r="I1230" s="52" t="s">
        <v>757</v>
      </c>
      <c r="J1230" s="51" t="s">
        <v>14</v>
      </c>
      <c r="K1230" s="51" t="s">
        <v>224</v>
      </c>
      <c r="L1230" s="41">
        <f t="shared" si="95"/>
        <v>2537369000</v>
      </c>
      <c r="M1230" s="41">
        <f t="shared" si="96"/>
        <v>1359360000</v>
      </c>
      <c r="N1230" s="41">
        <f t="shared" si="97"/>
        <v>1178009000</v>
      </c>
      <c r="O1230" s="41">
        <f t="shared" si="98"/>
        <v>0.88034595946237015</v>
      </c>
      <c r="P1230" s="41">
        <f t="shared" si="99"/>
        <v>0.10369110216549907</v>
      </c>
    </row>
    <row r="1231" spans="1:16" ht="19.95" customHeight="1">
      <c r="A1231" s="49">
        <v>1276</v>
      </c>
      <c r="B1231" s="50" t="s">
        <v>589</v>
      </c>
      <c r="C1231" s="51" t="s">
        <v>11</v>
      </c>
      <c r="D1231" s="51" t="s">
        <v>17</v>
      </c>
      <c r="E1231" s="52">
        <v>5679595000</v>
      </c>
      <c r="F1231" s="52">
        <v>4507196000</v>
      </c>
      <c r="G1231" s="52">
        <v>568500000</v>
      </c>
      <c r="H1231" s="52" t="s">
        <v>757</v>
      </c>
      <c r="I1231" s="52" t="s">
        <v>757</v>
      </c>
      <c r="J1231" s="51" t="s">
        <v>24</v>
      </c>
      <c r="K1231" s="51" t="s">
        <v>291</v>
      </c>
      <c r="L1231" s="41">
        <f t="shared" si="95"/>
        <v>1172399000</v>
      </c>
      <c r="M1231" s="41">
        <f t="shared" si="96"/>
        <v>568500000</v>
      </c>
      <c r="N1231" s="41">
        <f t="shared" si="97"/>
        <v>603899000</v>
      </c>
      <c r="O1231" s="41">
        <f t="shared" si="98"/>
        <v>0.89990483476374639</v>
      </c>
      <c r="P1231" s="41">
        <f t="shared" si="99"/>
        <v>0.10632782795252126</v>
      </c>
    </row>
    <row r="1232" spans="1:16" ht="19.95" customHeight="1">
      <c r="A1232" s="49">
        <v>1277</v>
      </c>
      <c r="B1232" s="50" t="s">
        <v>589</v>
      </c>
      <c r="C1232" s="51" t="s">
        <v>16</v>
      </c>
      <c r="D1232" s="51" t="s">
        <v>19</v>
      </c>
      <c r="E1232" s="52">
        <v>5822363000</v>
      </c>
      <c r="F1232" s="52">
        <v>4244479000</v>
      </c>
      <c r="G1232" s="52">
        <v>861390000</v>
      </c>
      <c r="H1232" s="52" t="s">
        <v>757</v>
      </c>
      <c r="I1232" s="52" t="s">
        <v>757</v>
      </c>
      <c r="J1232" s="51" t="s">
        <v>24</v>
      </c>
      <c r="K1232" s="51" t="s">
        <v>291</v>
      </c>
      <c r="L1232" s="41">
        <f t="shared" si="95"/>
        <v>1577884000</v>
      </c>
      <c r="M1232" s="41">
        <f t="shared" si="96"/>
        <v>861390000</v>
      </c>
      <c r="N1232" s="41">
        <f t="shared" si="97"/>
        <v>716494000</v>
      </c>
      <c r="O1232" s="41">
        <f t="shared" si="98"/>
        <v>0.85205491309971571</v>
      </c>
      <c r="P1232" s="41">
        <f t="shared" si="99"/>
        <v>0.12305897107411544</v>
      </c>
    </row>
    <row r="1233" spans="1:16" ht="19.95" customHeight="1">
      <c r="A1233" s="49">
        <v>1278</v>
      </c>
      <c r="B1233" s="50" t="s">
        <v>589</v>
      </c>
      <c r="C1233" s="51" t="s">
        <v>18</v>
      </c>
      <c r="D1233" s="51" t="s">
        <v>21</v>
      </c>
      <c r="E1233" s="52">
        <v>5981964000</v>
      </c>
      <c r="F1233" s="52">
        <v>4353850000</v>
      </c>
      <c r="G1233" s="52">
        <v>794728000</v>
      </c>
      <c r="H1233" s="52" t="s">
        <v>757</v>
      </c>
      <c r="I1233" s="52" t="s">
        <v>757</v>
      </c>
      <c r="J1233" s="51" t="s">
        <v>24</v>
      </c>
      <c r="K1233" s="51" t="s">
        <v>291</v>
      </c>
      <c r="L1233" s="41">
        <f t="shared" si="95"/>
        <v>1628114000</v>
      </c>
      <c r="M1233" s="41">
        <f t="shared" si="96"/>
        <v>794728000</v>
      </c>
      <c r="N1233" s="41">
        <f t="shared" si="97"/>
        <v>833386000</v>
      </c>
      <c r="O1233" s="41">
        <f t="shared" si="98"/>
        <v>0.86714597413157279</v>
      </c>
      <c r="P1233" s="41">
        <f t="shared" si="99"/>
        <v>0.13931645192114162</v>
      </c>
    </row>
    <row r="1234" spans="1:16" ht="19.95" customHeight="1">
      <c r="A1234" s="49">
        <v>1279</v>
      </c>
      <c r="B1234" s="50" t="s">
        <v>589</v>
      </c>
      <c r="C1234" s="51" t="s">
        <v>20</v>
      </c>
      <c r="D1234" s="51" t="s">
        <v>84</v>
      </c>
      <c r="E1234" s="52">
        <v>7668476000</v>
      </c>
      <c r="F1234" s="52">
        <v>5728662000</v>
      </c>
      <c r="G1234" s="52">
        <v>957150000</v>
      </c>
      <c r="H1234" s="52" t="s">
        <v>757</v>
      </c>
      <c r="I1234" s="52" t="s">
        <v>757</v>
      </c>
      <c r="J1234" s="51" t="s">
        <v>24</v>
      </c>
      <c r="K1234" s="51" t="s">
        <v>291</v>
      </c>
      <c r="L1234" s="41">
        <f t="shared" si="95"/>
        <v>1939814000</v>
      </c>
      <c r="M1234" s="41">
        <f t="shared" si="96"/>
        <v>957150000</v>
      </c>
      <c r="N1234" s="41">
        <f t="shared" si="97"/>
        <v>982664000</v>
      </c>
      <c r="O1234" s="41">
        <f t="shared" si="98"/>
        <v>0.87518380444823718</v>
      </c>
      <c r="P1234" s="41">
        <f t="shared" si="99"/>
        <v>0.12814332339307055</v>
      </c>
    </row>
    <row r="1235" spans="1:16" ht="19.95" customHeight="1">
      <c r="A1235" s="49">
        <v>1280</v>
      </c>
      <c r="B1235" s="50" t="s">
        <v>590</v>
      </c>
      <c r="C1235" s="51" t="s">
        <v>11</v>
      </c>
      <c r="D1235" s="51" t="s">
        <v>591</v>
      </c>
      <c r="E1235" s="52">
        <v>2105188000</v>
      </c>
      <c r="F1235" s="52">
        <v>1143659000</v>
      </c>
      <c r="G1235" s="52">
        <v>627370000</v>
      </c>
      <c r="H1235" s="52">
        <v>131835000</v>
      </c>
      <c r="I1235" s="52" t="s">
        <v>757</v>
      </c>
      <c r="J1235" s="51" t="s">
        <v>37</v>
      </c>
      <c r="K1235" s="51" t="s">
        <v>46</v>
      </c>
      <c r="L1235" s="41">
        <f t="shared" si="95"/>
        <v>961529000</v>
      </c>
      <c r="M1235" s="41">
        <f t="shared" si="96"/>
        <v>759205000</v>
      </c>
      <c r="N1235" s="41">
        <f t="shared" si="97"/>
        <v>202324000</v>
      </c>
      <c r="O1235" s="41">
        <f t="shared" si="98"/>
        <v>0.63936475032158646</v>
      </c>
      <c r="P1235" s="41">
        <f t="shared" si="99"/>
        <v>9.6107331031717827E-2</v>
      </c>
    </row>
    <row r="1236" spans="1:16" ht="19.95" customHeight="1">
      <c r="A1236" s="49">
        <v>1281</v>
      </c>
      <c r="B1236" s="50" t="s">
        <v>590</v>
      </c>
      <c r="C1236" s="51" t="s">
        <v>16</v>
      </c>
      <c r="D1236" s="51" t="s">
        <v>386</v>
      </c>
      <c r="E1236" s="52">
        <v>2157586000</v>
      </c>
      <c r="F1236" s="52">
        <v>1181444000</v>
      </c>
      <c r="G1236" s="52">
        <v>581898000</v>
      </c>
      <c r="H1236" s="52">
        <v>132400000</v>
      </c>
      <c r="I1236" s="52" t="s">
        <v>757</v>
      </c>
      <c r="J1236" s="51" t="s">
        <v>37</v>
      </c>
      <c r="K1236" s="51" t="s">
        <v>46</v>
      </c>
      <c r="L1236" s="41">
        <f t="shared" si="95"/>
        <v>976142000</v>
      </c>
      <c r="M1236" s="41">
        <f t="shared" si="96"/>
        <v>714298000</v>
      </c>
      <c r="N1236" s="41">
        <f t="shared" si="97"/>
        <v>261844000</v>
      </c>
      <c r="O1236" s="41">
        <f t="shared" si="98"/>
        <v>0.66893648735206845</v>
      </c>
      <c r="P1236" s="41">
        <f t="shared" si="99"/>
        <v>0.12135970478117675</v>
      </c>
    </row>
    <row r="1237" spans="1:16" ht="19.95" customHeight="1">
      <c r="A1237" s="49">
        <v>1282</v>
      </c>
      <c r="B1237" s="50" t="s">
        <v>590</v>
      </c>
      <c r="C1237" s="51" t="s">
        <v>18</v>
      </c>
      <c r="D1237" s="51" t="s">
        <v>387</v>
      </c>
      <c r="E1237" s="52">
        <v>2237219000</v>
      </c>
      <c r="F1237" s="52">
        <v>1232611000</v>
      </c>
      <c r="G1237" s="52">
        <v>659335000</v>
      </c>
      <c r="H1237" s="52">
        <v>121141000</v>
      </c>
      <c r="I1237" s="52" t="s">
        <v>757</v>
      </c>
      <c r="J1237" s="51" t="s">
        <v>37</v>
      </c>
      <c r="K1237" s="51" t="s">
        <v>46</v>
      </c>
      <c r="L1237" s="41">
        <f t="shared" si="95"/>
        <v>1004608000</v>
      </c>
      <c r="M1237" s="41">
        <f t="shared" si="96"/>
        <v>780476000</v>
      </c>
      <c r="N1237" s="41">
        <f t="shared" si="97"/>
        <v>224132000</v>
      </c>
      <c r="O1237" s="41">
        <f t="shared" si="98"/>
        <v>0.65114009848834642</v>
      </c>
      <c r="P1237" s="41">
        <f t="shared" si="99"/>
        <v>0.10018330793722027</v>
      </c>
    </row>
    <row r="1238" spans="1:16" ht="19.95" customHeight="1">
      <c r="A1238" s="49">
        <v>1283</v>
      </c>
      <c r="B1238" s="50" t="s">
        <v>590</v>
      </c>
      <c r="C1238" s="51" t="s">
        <v>20</v>
      </c>
      <c r="D1238" s="51" t="s">
        <v>432</v>
      </c>
      <c r="E1238" s="52">
        <v>2262359000</v>
      </c>
      <c r="F1238" s="52">
        <v>1237859000</v>
      </c>
      <c r="G1238" s="52">
        <v>598848000</v>
      </c>
      <c r="H1238" s="52">
        <v>125928000</v>
      </c>
      <c r="I1238" s="52" t="s">
        <v>757</v>
      </c>
      <c r="J1238" s="51" t="s">
        <v>37</v>
      </c>
      <c r="K1238" s="51" t="s">
        <v>46</v>
      </c>
      <c r="L1238" s="41">
        <f t="shared" si="95"/>
        <v>1024500000</v>
      </c>
      <c r="M1238" s="41">
        <f t="shared" si="96"/>
        <v>724776000</v>
      </c>
      <c r="N1238" s="41">
        <f t="shared" si="97"/>
        <v>299724000</v>
      </c>
      <c r="O1238" s="41">
        <f t="shared" si="98"/>
        <v>0.67963705141403286</v>
      </c>
      <c r="P1238" s="41">
        <f t="shared" si="99"/>
        <v>0.13248295252875428</v>
      </c>
    </row>
    <row r="1239" spans="1:16" ht="19.95" customHeight="1">
      <c r="A1239" s="49">
        <v>1284</v>
      </c>
      <c r="B1239" s="50" t="s">
        <v>592</v>
      </c>
      <c r="C1239" s="51" t="s">
        <v>11</v>
      </c>
      <c r="D1239" s="51" t="s">
        <v>17</v>
      </c>
      <c r="E1239" s="52">
        <v>80029000000</v>
      </c>
      <c r="F1239" s="52">
        <v>59222000000</v>
      </c>
      <c r="G1239" s="52">
        <v>6890000000</v>
      </c>
      <c r="H1239" s="52" t="s">
        <v>757</v>
      </c>
      <c r="I1239" s="52">
        <v>93000000</v>
      </c>
      <c r="J1239" s="51" t="s">
        <v>60</v>
      </c>
      <c r="K1239" s="51" t="s">
        <v>525</v>
      </c>
      <c r="L1239" s="41">
        <f t="shared" si="95"/>
        <v>20807000000</v>
      </c>
      <c r="M1239" s="41">
        <f t="shared" si="96"/>
        <v>6983000000</v>
      </c>
      <c r="N1239" s="41">
        <f t="shared" si="97"/>
        <v>13824000000</v>
      </c>
      <c r="O1239" s="41">
        <f t="shared" si="98"/>
        <v>0.91274413025278334</v>
      </c>
      <c r="P1239" s="41">
        <f t="shared" si="99"/>
        <v>0.1727373826987717</v>
      </c>
    </row>
    <row r="1240" spans="1:16" ht="19.95" customHeight="1">
      <c r="A1240" s="49">
        <v>1285</v>
      </c>
      <c r="B1240" s="50" t="s">
        <v>592</v>
      </c>
      <c r="C1240" s="51" t="s">
        <v>16</v>
      </c>
      <c r="D1240" s="51" t="s">
        <v>19</v>
      </c>
      <c r="E1240" s="52">
        <v>80106000000</v>
      </c>
      <c r="F1240" s="52">
        <v>60775000000</v>
      </c>
      <c r="G1240" s="52">
        <v>7001000000</v>
      </c>
      <c r="H1240" s="52" t="s">
        <v>757</v>
      </c>
      <c r="I1240" s="52">
        <v>93000000</v>
      </c>
      <c r="J1240" s="51" t="s">
        <v>60</v>
      </c>
      <c r="K1240" s="51" t="s">
        <v>525</v>
      </c>
      <c r="L1240" s="41">
        <f t="shared" si="95"/>
        <v>19331000000</v>
      </c>
      <c r="M1240" s="41">
        <f t="shared" si="96"/>
        <v>7094000000</v>
      </c>
      <c r="N1240" s="41">
        <f t="shared" si="97"/>
        <v>12237000000</v>
      </c>
      <c r="O1240" s="41">
        <f t="shared" si="98"/>
        <v>0.91144233890095627</v>
      </c>
      <c r="P1240" s="41">
        <f t="shared" si="99"/>
        <v>0.15276009287693806</v>
      </c>
    </row>
    <row r="1241" spans="1:16" ht="19.95" customHeight="1">
      <c r="A1241" s="49">
        <v>1286</v>
      </c>
      <c r="B1241" s="50" t="s">
        <v>592</v>
      </c>
      <c r="C1241" s="51" t="s">
        <v>18</v>
      </c>
      <c r="D1241" s="51" t="s">
        <v>21</v>
      </c>
      <c r="E1241" s="52">
        <v>73908000000</v>
      </c>
      <c r="F1241" s="52">
        <v>56479000000</v>
      </c>
      <c r="G1241" s="52">
        <v>6656000000</v>
      </c>
      <c r="H1241" s="52" t="s">
        <v>757</v>
      </c>
      <c r="I1241" s="52">
        <v>82000000</v>
      </c>
      <c r="J1241" s="51" t="s">
        <v>60</v>
      </c>
      <c r="K1241" s="51" t="s">
        <v>525</v>
      </c>
      <c r="L1241" s="41">
        <f t="shared" si="95"/>
        <v>17429000000</v>
      </c>
      <c r="M1241" s="41">
        <f t="shared" si="96"/>
        <v>6738000000</v>
      </c>
      <c r="N1241" s="41">
        <f t="shared" si="97"/>
        <v>10691000000</v>
      </c>
      <c r="O1241" s="41">
        <f t="shared" si="98"/>
        <v>0.90883260269524269</v>
      </c>
      <c r="P1241" s="41">
        <f t="shared" si="99"/>
        <v>0.14465281160361532</v>
      </c>
    </row>
    <row r="1242" spans="1:16" ht="19.95" customHeight="1">
      <c r="A1242" s="49">
        <v>1287</v>
      </c>
      <c r="B1242" s="50" t="s">
        <v>592</v>
      </c>
      <c r="C1242" s="51" t="s">
        <v>20</v>
      </c>
      <c r="D1242" s="51" t="s">
        <v>84</v>
      </c>
      <c r="E1242" s="52">
        <v>74953000000</v>
      </c>
      <c r="F1242" s="52">
        <v>57659000000</v>
      </c>
      <c r="G1242" s="52">
        <v>6405000000</v>
      </c>
      <c r="H1242" s="52" t="s">
        <v>757</v>
      </c>
      <c r="I1242" s="52">
        <v>74000000</v>
      </c>
      <c r="J1242" s="51" t="s">
        <v>60</v>
      </c>
      <c r="K1242" s="51" t="s">
        <v>525</v>
      </c>
      <c r="L1242" s="41">
        <f t="shared" si="95"/>
        <v>17294000000</v>
      </c>
      <c r="M1242" s="41">
        <f t="shared" si="96"/>
        <v>6479000000</v>
      </c>
      <c r="N1242" s="41">
        <f t="shared" si="97"/>
        <v>10815000000</v>
      </c>
      <c r="O1242" s="41">
        <f t="shared" si="98"/>
        <v>0.91355916374261203</v>
      </c>
      <c r="P1242" s="41">
        <f t="shared" si="99"/>
        <v>0.14429042199778527</v>
      </c>
    </row>
    <row r="1243" spans="1:16" ht="19.95" customHeight="1">
      <c r="A1243" s="49">
        <v>1288</v>
      </c>
      <c r="B1243" s="50" t="s">
        <v>593</v>
      </c>
      <c r="C1243" s="51" t="s">
        <v>11</v>
      </c>
      <c r="D1243" s="51" t="s">
        <v>12</v>
      </c>
      <c r="E1243" s="52">
        <v>16606000000</v>
      </c>
      <c r="F1243" s="52">
        <v>386000000</v>
      </c>
      <c r="G1243" s="52">
        <v>10486000000</v>
      </c>
      <c r="H1243" s="52" t="s">
        <v>757</v>
      </c>
      <c r="I1243" s="52">
        <v>987000000</v>
      </c>
      <c r="J1243" s="51" t="s">
        <v>75</v>
      </c>
      <c r="K1243" s="51" t="s">
        <v>146</v>
      </c>
      <c r="L1243" s="41">
        <f t="shared" si="95"/>
        <v>16220000000</v>
      </c>
      <c r="M1243" s="41">
        <f t="shared" si="96"/>
        <v>11473000000</v>
      </c>
      <c r="N1243" s="41">
        <f t="shared" si="97"/>
        <v>4747000000</v>
      </c>
      <c r="O1243" s="41">
        <f t="shared" si="98"/>
        <v>0.30910514271949896</v>
      </c>
      <c r="P1243" s="41">
        <f t="shared" si="99"/>
        <v>0.28586053233770925</v>
      </c>
    </row>
    <row r="1244" spans="1:16" ht="19.95" customHeight="1">
      <c r="A1244" s="53">
        <v>1289</v>
      </c>
      <c r="B1244" s="54" t="s">
        <v>593</v>
      </c>
      <c r="C1244" s="55" t="s">
        <v>16</v>
      </c>
      <c r="D1244" s="55" t="s">
        <v>17</v>
      </c>
      <c r="E1244" s="56">
        <v>16872000000</v>
      </c>
      <c r="F1244" s="56">
        <v>344000000</v>
      </c>
      <c r="G1244" s="56">
        <v>9681000000</v>
      </c>
      <c r="H1244" s="56" t="s">
        <v>757</v>
      </c>
      <c r="I1244" s="56">
        <v>643000000</v>
      </c>
      <c r="J1244" s="55" t="s">
        <v>75</v>
      </c>
      <c r="K1244" s="55" t="s">
        <v>146</v>
      </c>
      <c r="L1244" s="57">
        <f t="shared" si="95"/>
        <v>16528000000</v>
      </c>
      <c r="M1244" s="57">
        <f t="shared" si="96"/>
        <v>10324000000</v>
      </c>
      <c r="N1244" s="57">
        <f t="shared" si="97"/>
        <v>6204000000</v>
      </c>
      <c r="O1244" s="57">
        <f t="shared" si="98"/>
        <v>0.38809862494073022</v>
      </c>
      <c r="P1244" s="57">
        <f t="shared" si="99"/>
        <v>0.36770981507823614</v>
      </c>
    </row>
    <row r="1245" spans="1:16" ht="19.95" customHeight="1">
      <c r="A1245" s="49">
        <v>1290</v>
      </c>
      <c r="B1245" s="50" t="s">
        <v>593</v>
      </c>
      <c r="C1245" s="51" t="s">
        <v>18</v>
      </c>
      <c r="D1245" s="51" t="s">
        <v>19</v>
      </c>
      <c r="E1245" s="52">
        <v>16281000000</v>
      </c>
      <c r="F1245" s="52">
        <v>325000000</v>
      </c>
      <c r="G1245" s="52">
        <v>9488000000</v>
      </c>
      <c r="H1245" s="52" t="s">
        <v>757</v>
      </c>
      <c r="I1245" s="52">
        <v>273000000</v>
      </c>
      <c r="J1245" s="51" t="s">
        <v>75</v>
      </c>
      <c r="K1245" s="51" t="s">
        <v>146</v>
      </c>
      <c r="L1245" s="41">
        <f t="shared" si="95"/>
        <v>15956000000</v>
      </c>
      <c r="M1245" s="41">
        <f t="shared" si="96"/>
        <v>9761000000</v>
      </c>
      <c r="N1245" s="41">
        <f t="shared" si="97"/>
        <v>6195000000</v>
      </c>
      <c r="O1245" s="41">
        <f t="shared" si="98"/>
        <v>0.40046680179350158</v>
      </c>
      <c r="P1245" s="41">
        <f t="shared" si="99"/>
        <v>0.38050488299244517</v>
      </c>
    </row>
    <row r="1246" spans="1:16" ht="19.95" customHeight="1">
      <c r="A1246" s="49">
        <v>1291</v>
      </c>
      <c r="B1246" s="50" t="s">
        <v>593</v>
      </c>
      <c r="C1246" s="51" t="s">
        <v>20</v>
      </c>
      <c r="D1246" s="51" t="s">
        <v>21</v>
      </c>
      <c r="E1246" s="52">
        <v>16270000000</v>
      </c>
      <c r="F1246" s="52">
        <v>403000000</v>
      </c>
      <c r="G1246" s="52">
        <v>9463000000</v>
      </c>
      <c r="H1246" s="52" t="s">
        <v>757</v>
      </c>
      <c r="I1246" s="52">
        <v>255000000</v>
      </c>
      <c r="J1246" s="51" t="s">
        <v>75</v>
      </c>
      <c r="K1246" s="51" t="s">
        <v>146</v>
      </c>
      <c r="L1246" s="41">
        <f t="shared" si="95"/>
        <v>15867000000</v>
      </c>
      <c r="M1246" s="41">
        <f t="shared" si="96"/>
        <v>9718000000</v>
      </c>
      <c r="N1246" s="41">
        <f t="shared" si="97"/>
        <v>6149000000</v>
      </c>
      <c r="O1246" s="41">
        <f t="shared" si="98"/>
        <v>0.40270436385986474</v>
      </c>
      <c r="P1246" s="41">
        <f t="shared" si="99"/>
        <v>0.37793484941610328</v>
      </c>
    </row>
    <row r="1247" spans="1:16" ht="19.95" customHeight="1">
      <c r="A1247" s="49">
        <v>1292</v>
      </c>
      <c r="B1247" s="50" t="s">
        <v>594</v>
      </c>
      <c r="C1247" s="51" t="s">
        <v>11</v>
      </c>
      <c r="D1247" s="51" t="s">
        <v>12</v>
      </c>
      <c r="E1247" s="52">
        <v>4306800000</v>
      </c>
      <c r="F1247" s="52">
        <v>3040900000</v>
      </c>
      <c r="G1247" s="52">
        <v>1117700000</v>
      </c>
      <c r="H1247" s="52">
        <v>92300000</v>
      </c>
      <c r="I1247" s="52" t="s">
        <v>757</v>
      </c>
      <c r="J1247" s="51" t="s">
        <v>14</v>
      </c>
      <c r="K1247" s="51" t="s">
        <v>217</v>
      </c>
      <c r="L1247" s="41">
        <f t="shared" si="95"/>
        <v>1265900000</v>
      </c>
      <c r="M1247" s="41">
        <f t="shared" si="96"/>
        <v>1210000000</v>
      </c>
      <c r="N1247" s="41">
        <f t="shared" si="97"/>
        <v>55900000</v>
      </c>
      <c r="O1247" s="41">
        <f t="shared" si="98"/>
        <v>0.71904894585306955</v>
      </c>
      <c r="P1247" s="41">
        <f t="shared" si="99"/>
        <v>1.2979474319680506E-2</v>
      </c>
    </row>
    <row r="1248" spans="1:16" ht="19.95" customHeight="1">
      <c r="A1248" s="49">
        <v>1293</v>
      </c>
      <c r="B1248" s="50" t="s">
        <v>594</v>
      </c>
      <c r="C1248" s="51" t="s">
        <v>16</v>
      </c>
      <c r="D1248" s="51" t="s">
        <v>17</v>
      </c>
      <c r="E1248" s="52">
        <v>6999700000</v>
      </c>
      <c r="F1248" s="52">
        <v>4629600000</v>
      </c>
      <c r="G1248" s="52">
        <v>1493700000</v>
      </c>
      <c r="H1248" s="52">
        <v>122800000</v>
      </c>
      <c r="I1248" s="52" t="s">
        <v>757</v>
      </c>
      <c r="J1248" s="51" t="s">
        <v>14</v>
      </c>
      <c r="K1248" s="51" t="s">
        <v>217</v>
      </c>
      <c r="L1248" s="41">
        <f t="shared" si="95"/>
        <v>2370100000</v>
      </c>
      <c r="M1248" s="41">
        <f t="shared" si="96"/>
        <v>1616500000</v>
      </c>
      <c r="N1248" s="41">
        <f t="shared" si="97"/>
        <v>753600000</v>
      </c>
      <c r="O1248" s="41">
        <f t="shared" si="98"/>
        <v>0.76906153120848031</v>
      </c>
      <c r="P1248" s="41">
        <f t="shared" si="99"/>
        <v>0.10766175693243996</v>
      </c>
    </row>
    <row r="1249" spans="1:16" ht="19.95" customHeight="1">
      <c r="A1249" s="49">
        <v>1294</v>
      </c>
      <c r="B1249" s="50" t="s">
        <v>594</v>
      </c>
      <c r="C1249" s="51" t="s">
        <v>18</v>
      </c>
      <c r="D1249" s="51" t="s">
        <v>19</v>
      </c>
      <c r="E1249" s="52">
        <v>7039000000</v>
      </c>
      <c r="F1249" s="52">
        <v>4576000000</v>
      </c>
      <c r="G1249" s="52">
        <v>1493800000</v>
      </c>
      <c r="H1249" s="52">
        <v>117300000</v>
      </c>
      <c r="I1249" s="52" t="s">
        <v>757</v>
      </c>
      <c r="J1249" s="51" t="s">
        <v>14</v>
      </c>
      <c r="K1249" s="51" t="s">
        <v>217</v>
      </c>
      <c r="L1249" s="41">
        <f t="shared" si="95"/>
        <v>2463000000</v>
      </c>
      <c r="M1249" s="41">
        <f t="shared" si="96"/>
        <v>1611100000</v>
      </c>
      <c r="N1249" s="41">
        <f t="shared" si="97"/>
        <v>851900000</v>
      </c>
      <c r="O1249" s="41">
        <f t="shared" si="98"/>
        <v>0.77111805654212251</v>
      </c>
      <c r="P1249" s="41">
        <f t="shared" si="99"/>
        <v>0.12102571387981248</v>
      </c>
    </row>
    <row r="1250" spans="1:16" ht="19.95" customHeight="1">
      <c r="A1250" s="49">
        <v>1295</v>
      </c>
      <c r="B1250" s="50" t="s">
        <v>594</v>
      </c>
      <c r="C1250" s="51" t="s">
        <v>20</v>
      </c>
      <c r="D1250" s="51" t="s">
        <v>21</v>
      </c>
      <c r="E1250" s="52">
        <v>6449000000</v>
      </c>
      <c r="F1250" s="52">
        <v>4263200000</v>
      </c>
      <c r="G1250" s="52">
        <v>1334300000</v>
      </c>
      <c r="H1250" s="52">
        <v>119600000</v>
      </c>
      <c r="I1250" s="52" t="s">
        <v>757</v>
      </c>
      <c r="J1250" s="51" t="s">
        <v>14</v>
      </c>
      <c r="K1250" s="51" t="s">
        <v>217</v>
      </c>
      <c r="L1250" s="41">
        <f t="shared" si="95"/>
        <v>2185800000</v>
      </c>
      <c r="M1250" s="41">
        <f t="shared" si="96"/>
        <v>1453900000</v>
      </c>
      <c r="N1250" s="41">
        <f t="shared" si="97"/>
        <v>731900000</v>
      </c>
      <c r="O1250" s="41">
        <f t="shared" si="98"/>
        <v>0.77455419444875173</v>
      </c>
      <c r="P1250" s="41">
        <f t="shared" si="99"/>
        <v>0.11349046363777329</v>
      </c>
    </row>
    <row r="1251" spans="1:16" ht="19.95" customHeight="1">
      <c r="A1251" s="49">
        <v>1296</v>
      </c>
      <c r="B1251" s="50" t="s">
        <v>595</v>
      </c>
      <c r="C1251" s="51" t="s">
        <v>11</v>
      </c>
      <c r="D1251" s="51" t="s">
        <v>12</v>
      </c>
      <c r="E1251" s="52">
        <v>3301804000</v>
      </c>
      <c r="F1251" s="52">
        <v>1879559000</v>
      </c>
      <c r="G1251" s="52">
        <v>166154000</v>
      </c>
      <c r="H1251" s="52" t="s">
        <v>757</v>
      </c>
      <c r="I1251" s="52">
        <v>404336000</v>
      </c>
      <c r="J1251" s="51" t="s">
        <v>70</v>
      </c>
      <c r="K1251" s="51" t="s">
        <v>71</v>
      </c>
      <c r="L1251" s="41">
        <f t="shared" si="95"/>
        <v>1422245000</v>
      </c>
      <c r="M1251" s="41">
        <f t="shared" si="96"/>
        <v>570490000</v>
      </c>
      <c r="N1251" s="41">
        <f t="shared" si="97"/>
        <v>851755000</v>
      </c>
      <c r="O1251" s="41">
        <f t="shared" si="98"/>
        <v>0.82721869620365107</v>
      </c>
      <c r="P1251" s="41">
        <f t="shared" si="99"/>
        <v>0.25796655404136648</v>
      </c>
    </row>
    <row r="1252" spans="1:16" ht="19.95" customHeight="1">
      <c r="A1252" s="49">
        <v>1297</v>
      </c>
      <c r="B1252" s="50" t="s">
        <v>595</v>
      </c>
      <c r="C1252" s="51" t="s">
        <v>16</v>
      </c>
      <c r="D1252" s="51" t="s">
        <v>17</v>
      </c>
      <c r="E1252" s="52">
        <v>3454628000</v>
      </c>
      <c r="F1252" s="52">
        <v>2020436000</v>
      </c>
      <c r="G1252" s="52">
        <v>172161000</v>
      </c>
      <c r="H1252" s="52" t="s">
        <v>757</v>
      </c>
      <c r="I1252" s="52">
        <v>415708000</v>
      </c>
      <c r="J1252" s="51" t="s">
        <v>70</v>
      </c>
      <c r="K1252" s="51" t="s">
        <v>71</v>
      </c>
      <c r="L1252" s="41">
        <f t="shared" si="95"/>
        <v>1434192000</v>
      </c>
      <c r="M1252" s="41">
        <f t="shared" si="96"/>
        <v>587869000</v>
      </c>
      <c r="N1252" s="41">
        <f t="shared" si="97"/>
        <v>846323000</v>
      </c>
      <c r="O1252" s="41">
        <f t="shared" si="98"/>
        <v>0.82983146086930337</v>
      </c>
      <c r="P1252" s="41">
        <f t="shared" si="99"/>
        <v>0.24498238305253128</v>
      </c>
    </row>
    <row r="1253" spans="1:16" ht="19.95" customHeight="1">
      <c r="A1253" s="49">
        <v>1298</v>
      </c>
      <c r="B1253" s="50" t="s">
        <v>595</v>
      </c>
      <c r="C1253" s="51" t="s">
        <v>18</v>
      </c>
      <c r="D1253" s="51" t="s">
        <v>19</v>
      </c>
      <c r="E1253" s="52">
        <v>3491632000</v>
      </c>
      <c r="F1253" s="52">
        <v>2087854000</v>
      </c>
      <c r="G1253" s="52">
        <v>175178000</v>
      </c>
      <c r="H1253" s="52" t="s">
        <v>757</v>
      </c>
      <c r="I1253" s="52">
        <v>417358000</v>
      </c>
      <c r="J1253" s="51" t="s">
        <v>70</v>
      </c>
      <c r="K1253" s="51" t="s">
        <v>71</v>
      </c>
      <c r="L1253" s="41">
        <f t="shared" si="95"/>
        <v>1403778000</v>
      </c>
      <c r="M1253" s="41">
        <f t="shared" si="96"/>
        <v>592536000</v>
      </c>
      <c r="N1253" s="41">
        <f t="shared" si="97"/>
        <v>811242000</v>
      </c>
      <c r="O1253" s="41">
        <f t="shared" si="98"/>
        <v>0.83029826740045909</v>
      </c>
      <c r="P1253" s="41">
        <f t="shared" si="99"/>
        <v>0.23233891773245291</v>
      </c>
    </row>
    <row r="1254" spans="1:16" ht="19.95" customHeight="1">
      <c r="A1254" s="49">
        <v>1299</v>
      </c>
      <c r="B1254" s="50" t="s">
        <v>595</v>
      </c>
      <c r="C1254" s="51" t="s">
        <v>20</v>
      </c>
      <c r="D1254" s="51" t="s">
        <v>21</v>
      </c>
      <c r="E1254" s="52">
        <v>3495443000</v>
      </c>
      <c r="F1254" s="52">
        <v>1969675000</v>
      </c>
      <c r="G1254" s="52">
        <v>176744000</v>
      </c>
      <c r="H1254" s="52" t="s">
        <v>757</v>
      </c>
      <c r="I1254" s="52">
        <v>494422000</v>
      </c>
      <c r="J1254" s="51" t="s">
        <v>70</v>
      </c>
      <c r="K1254" s="51" t="s">
        <v>71</v>
      </c>
      <c r="L1254" s="41">
        <f t="shared" si="95"/>
        <v>1525768000</v>
      </c>
      <c r="M1254" s="41">
        <f t="shared" si="96"/>
        <v>671166000</v>
      </c>
      <c r="N1254" s="41">
        <f t="shared" si="97"/>
        <v>854602000</v>
      </c>
      <c r="O1254" s="41">
        <f t="shared" si="98"/>
        <v>0.80798828646326082</v>
      </c>
      <c r="P1254" s="41">
        <f t="shared" si="99"/>
        <v>0.24449032640497928</v>
      </c>
    </row>
    <row r="1255" spans="1:16" ht="19.95" customHeight="1">
      <c r="A1255" s="49">
        <v>1300</v>
      </c>
      <c r="B1255" s="50" t="s">
        <v>596</v>
      </c>
      <c r="C1255" s="51" t="s">
        <v>11</v>
      </c>
      <c r="D1255" s="51" t="s">
        <v>17</v>
      </c>
      <c r="E1255" s="52">
        <v>14265000000</v>
      </c>
      <c r="F1255" s="52">
        <v>8314000000</v>
      </c>
      <c r="G1255" s="52">
        <v>3486000000</v>
      </c>
      <c r="H1255" s="52">
        <v>463000000</v>
      </c>
      <c r="I1255" s="52">
        <v>452000000</v>
      </c>
      <c r="J1255" s="51" t="s">
        <v>88</v>
      </c>
      <c r="K1255" s="51" t="s">
        <v>279</v>
      </c>
      <c r="L1255" s="41">
        <f t="shared" si="95"/>
        <v>5951000000</v>
      </c>
      <c r="M1255" s="41">
        <f t="shared" si="96"/>
        <v>4401000000</v>
      </c>
      <c r="N1255" s="41">
        <f t="shared" si="97"/>
        <v>1550000000</v>
      </c>
      <c r="O1255" s="41">
        <f t="shared" si="98"/>
        <v>0.69148264984227126</v>
      </c>
      <c r="P1255" s="41">
        <f t="shared" si="99"/>
        <v>0.10865755345250613</v>
      </c>
    </row>
    <row r="1256" spans="1:16" ht="19.95" customHeight="1">
      <c r="A1256" s="49">
        <v>1301</v>
      </c>
      <c r="B1256" s="50" t="s">
        <v>596</v>
      </c>
      <c r="C1256" s="51" t="s">
        <v>16</v>
      </c>
      <c r="D1256" s="51" t="s">
        <v>19</v>
      </c>
      <c r="E1256" s="52">
        <v>14791000000</v>
      </c>
      <c r="F1256" s="52">
        <v>8348000000</v>
      </c>
      <c r="G1256" s="52">
        <v>4013000000</v>
      </c>
      <c r="H1256" s="52">
        <v>483000000</v>
      </c>
      <c r="I1256" s="52">
        <v>450000000</v>
      </c>
      <c r="J1256" s="51" t="s">
        <v>88</v>
      </c>
      <c r="K1256" s="51" t="s">
        <v>279</v>
      </c>
      <c r="L1256" s="41">
        <f t="shared" si="95"/>
        <v>6443000000</v>
      </c>
      <c r="M1256" s="41">
        <f t="shared" si="96"/>
        <v>4946000000</v>
      </c>
      <c r="N1256" s="41">
        <f t="shared" si="97"/>
        <v>1497000000</v>
      </c>
      <c r="O1256" s="41">
        <f t="shared" si="98"/>
        <v>0.66560746399837734</v>
      </c>
      <c r="P1256" s="41">
        <f t="shared" si="99"/>
        <v>0.10121019538908796</v>
      </c>
    </row>
    <row r="1257" spans="1:16" ht="19.95" customHeight="1">
      <c r="A1257" s="49">
        <v>1302</v>
      </c>
      <c r="B1257" s="50" t="s">
        <v>596</v>
      </c>
      <c r="C1257" s="51" t="s">
        <v>18</v>
      </c>
      <c r="D1257" s="51" t="s">
        <v>21</v>
      </c>
      <c r="E1257" s="52">
        <v>14766000000</v>
      </c>
      <c r="F1257" s="52">
        <v>8206000000</v>
      </c>
      <c r="G1257" s="52">
        <v>3624000000</v>
      </c>
      <c r="H1257" s="52">
        <v>476000000</v>
      </c>
      <c r="I1257" s="52">
        <v>471000000</v>
      </c>
      <c r="J1257" s="51" t="s">
        <v>88</v>
      </c>
      <c r="K1257" s="51" t="s">
        <v>279</v>
      </c>
      <c r="L1257" s="41">
        <f t="shared" si="95"/>
        <v>6560000000</v>
      </c>
      <c r="M1257" s="41">
        <f t="shared" si="96"/>
        <v>4571000000</v>
      </c>
      <c r="N1257" s="41">
        <f t="shared" si="97"/>
        <v>1989000000</v>
      </c>
      <c r="O1257" s="41">
        <f t="shared" si="98"/>
        <v>0.69043749153460654</v>
      </c>
      <c r="P1257" s="41">
        <f t="shared" si="99"/>
        <v>0.13470134091832589</v>
      </c>
    </row>
    <row r="1258" spans="1:16" ht="19.95" customHeight="1">
      <c r="A1258" s="49">
        <v>1303</v>
      </c>
      <c r="B1258" s="50" t="s">
        <v>596</v>
      </c>
      <c r="C1258" s="51" t="s">
        <v>20</v>
      </c>
      <c r="D1258" s="51" t="s">
        <v>84</v>
      </c>
      <c r="E1258" s="52">
        <v>14751000000</v>
      </c>
      <c r="F1258" s="52">
        <v>8063000000</v>
      </c>
      <c r="G1258" s="52">
        <v>4630000000</v>
      </c>
      <c r="H1258" s="52">
        <v>466000000</v>
      </c>
      <c r="I1258" s="52">
        <v>462000000</v>
      </c>
      <c r="J1258" s="51" t="s">
        <v>88</v>
      </c>
      <c r="K1258" s="51" t="s">
        <v>279</v>
      </c>
      <c r="L1258" s="41">
        <f t="shared" si="95"/>
        <v>6688000000</v>
      </c>
      <c r="M1258" s="41">
        <f t="shared" si="96"/>
        <v>5558000000</v>
      </c>
      <c r="N1258" s="41">
        <f t="shared" si="97"/>
        <v>1130000000</v>
      </c>
      <c r="O1258" s="41">
        <f t="shared" si="98"/>
        <v>0.62321198562809299</v>
      </c>
      <c r="P1258" s="41">
        <f t="shared" si="99"/>
        <v>7.6604975933835001E-2</v>
      </c>
    </row>
    <row r="1259" spans="1:16" ht="19.95" customHeight="1">
      <c r="A1259" s="49">
        <v>1304</v>
      </c>
      <c r="B1259" s="50" t="s">
        <v>597</v>
      </c>
      <c r="C1259" s="51" t="s">
        <v>11</v>
      </c>
      <c r="D1259" s="51" t="s">
        <v>12</v>
      </c>
      <c r="E1259" s="52">
        <v>12132000000</v>
      </c>
      <c r="F1259" s="52">
        <v>4876000000</v>
      </c>
      <c r="G1259" s="52">
        <v>3143000000</v>
      </c>
      <c r="H1259" s="52" t="s">
        <v>757</v>
      </c>
      <c r="I1259" s="52">
        <v>1087000000</v>
      </c>
      <c r="J1259" s="51" t="s">
        <v>70</v>
      </c>
      <c r="K1259" s="51" t="s">
        <v>73</v>
      </c>
      <c r="L1259" s="41">
        <f t="shared" si="95"/>
        <v>7256000000</v>
      </c>
      <c r="M1259" s="41">
        <f t="shared" si="96"/>
        <v>4230000000</v>
      </c>
      <c r="N1259" s="41">
        <f t="shared" si="97"/>
        <v>3026000000</v>
      </c>
      <c r="O1259" s="41">
        <f t="shared" si="98"/>
        <v>0.6513353115727003</v>
      </c>
      <c r="P1259" s="41">
        <f t="shared" si="99"/>
        <v>0.249423013517969</v>
      </c>
    </row>
    <row r="1260" spans="1:16" ht="19.95" customHeight="1">
      <c r="A1260" s="49">
        <v>1305</v>
      </c>
      <c r="B1260" s="50" t="s">
        <v>597</v>
      </c>
      <c r="C1260" s="51" t="s">
        <v>16</v>
      </c>
      <c r="D1260" s="51" t="s">
        <v>17</v>
      </c>
      <c r="E1260" s="52">
        <v>7263000000</v>
      </c>
      <c r="F1260" s="52">
        <v>1751000000</v>
      </c>
      <c r="G1260" s="52">
        <v>2108000000</v>
      </c>
      <c r="H1260" s="52" t="s">
        <v>757</v>
      </c>
      <c r="I1260" s="52">
        <v>843000000</v>
      </c>
      <c r="J1260" s="51" t="s">
        <v>70</v>
      </c>
      <c r="K1260" s="51" t="s">
        <v>73</v>
      </c>
      <c r="L1260" s="41">
        <f t="shared" si="95"/>
        <v>5512000000</v>
      </c>
      <c r="M1260" s="41">
        <f t="shared" si="96"/>
        <v>2951000000</v>
      </c>
      <c r="N1260" s="41">
        <f t="shared" si="97"/>
        <v>2561000000</v>
      </c>
      <c r="O1260" s="41">
        <f t="shared" si="98"/>
        <v>0.59369406581302497</v>
      </c>
      <c r="P1260" s="41">
        <f t="shared" si="99"/>
        <v>0.35260911469089906</v>
      </c>
    </row>
    <row r="1261" spans="1:16" ht="19.95" customHeight="1">
      <c r="A1261" s="49">
        <v>1306</v>
      </c>
      <c r="B1261" s="50" t="s">
        <v>597</v>
      </c>
      <c r="C1261" s="51" t="s">
        <v>18</v>
      </c>
      <c r="D1261" s="51" t="s">
        <v>19</v>
      </c>
      <c r="E1261" s="52">
        <v>7852000000</v>
      </c>
      <c r="F1261" s="52">
        <v>1889000000</v>
      </c>
      <c r="G1261" s="52">
        <v>2173000000</v>
      </c>
      <c r="H1261" s="52" t="s">
        <v>757</v>
      </c>
      <c r="I1261" s="52">
        <v>923000000</v>
      </c>
      <c r="J1261" s="51" t="s">
        <v>70</v>
      </c>
      <c r="K1261" s="51" t="s">
        <v>73</v>
      </c>
      <c r="L1261" s="41">
        <f t="shared" si="95"/>
        <v>5963000000</v>
      </c>
      <c r="M1261" s="41">
        <f t="shared" si="96"/>
        <v>3096000000</v>
      </c>
      <c r="N1261" s="41">
        <f t="shared" si="97"/>
        <v>2867000000</v>
      </c>
      <c r="O1261" s="41">
        <f t="shared" si="98"/>
        <v>0.60570555272542026</v>
      </c>
      <c r="P1261" s="41">
        <f t="shared" si="99"/>
        <v>0.36512990320937339</v>
      </c>
    </row>
    <row r="1262" spans="1:16" ht="19.95" customHeight="1">
      <c r="A1262" s="49">
        <v>1307</v>
      </c>
      <c r="B1262" s="50" t="s">
        <v>597</v>
      </c>
      <c r="C1262" s="51" t="s">
        <v>20</v>
      </c>
      <c r="D1262" s="51" t="s">
        <v>21</v>
      </c>
      <c r="E1262" s="52">
        <v>7669000000</v>
      </c>
      <c r="F1262" s="52">
        <v>1718000000</v>
      </c>
      <c r="G1262" s="52">
        <v>2237000000</v>
      </c>
      <c r="H1262" s="52" t="s">
        <v>757</v>
      </c>
      <c r="I1262" s="52">
        <v>883000000</v>
      </c>
      <c r="J1262" s="51" t="s">
        <v>70</v>
      </c>
      <c r="K1262" s="51" t="s">
        <v>73</v>
      </c>
      <c r="L1262" s="41">
        <f t="shared" si="95"/>
        <v>5951000000</v>
      </c>
      <c r="M1262" s="41">
        <f t="shared" si="96"/>
        <v>3120000000</v>
      </c>
      <c r="N1262" s="41">
        <f t="shared" si="97"/>
        <v>2831000000</v>
      </c>
      <c r="O1262" s="41">
        <f t="shared" si="98"/>
        <v>0.59316729690963621</v>
      </c>
      <c r="P1262" s="41">
        <f t="shared" si="99"/>
        <v>0.36914852001564741</v>
      </c>
    </row>
    <row r="1263" spans="1:16" ht="19.95" customHeight="1">
      <c r="A1263" s="49">
        <v>1308</v>
      </c>
      <c r="B1263" s="50" t="s">
        <v>598</v>
      </c>
      <c r="C1263" s="51" t="s">
        <v>11</v>
      </c>
      <c r="D1263" s="51" t="s">
        <v>12</v>
      </c>
      <c r="E1263" s="52">
        <v>84847000000</v>
      </c>
      <c r="F1263" s="52">
        <v>66635000000</v>
      </c>
      <c r="G1263" s="52">
        <v>17504000000</v>
      </c>
      <c r="H1263" s="52" t="s">
        <v>757</v>
      </c>
      <c r="I1263" s="52" t="s">
        <v>757</v>
      </c>
      <c r="J1263" s="51" t="s">
        <v>75</v>
      </c>
      <c r="K1263" s="51" t="s">
        <v>511</v>
      </c>
      <c r="L1263" s="41">
        <f t="shared" si="95"/>
        <v>18212000000</v>
      </c>
      <c r="M1263" s="41">
        <f t="shared" si="96"/>
        <v>17504000000</v>
      </c>
      <c r="N1263" s="41">
        <f t="shared" si="97"/>
        <v>708000000</v>
      </c>
      <c r="O1263" s="41">
        <f t="shared" si="98"/>
        <v>0.79369924687967752</v>
      </c>
      <c r="P1263" s="41">
        <f t="shared" si="99"/>
        <v>8.3444317418411972E-3</v>
      </c>
    </row>
    <row r="1264" spans="1:16" ht="19.95" customHeight="1">
      <c r="A1264" s="53">
        <v>1309</v>
      </c>
      <c r="B1264" s="54" t="s">
        <v>598</v>
      </c>
      <c r="C1264" s="55" t="s">
        <v>16</v>
      </c>
      <c r="D1264" s="55" t="s">
        <v>17</v>
      </c>
      <c r="E1264" s="56">
        <v>41461000000</v>
      </c>
      <c r="F1264" s="56">
        <v>26973000000</v>
      </c>
      <c r="G1264" s="56">
        <v>16172000000</v>
      </c>
      <c r="H1264" s="56" t="s">
        <v>757</v>
      </c>
      <c r="I1264" s="56" t="s">
        <v>757</v>
      </c>
      <c r="J1264" s="55" t="s">
        <v>75</v>
      </c>
      <c r="K1264" s="55" t="s">
        <v>511</v>
      </c>
      <c r="L1264" s="57">
        <f t="shared" si="95"/>
        <v>14488000000</v>
      </c>
      <c r="M1264" s="57">
        <f t="shared" si="96"/>
        <v>16172000000</v>
      </c>
      <c r="N1264" s="57">
        <f t="shared" si="97"/>
        <v>-1684000000</v>
      </c>
      <c r="O1264" s="57">
        <f t="shared" si="98"/>
        <v>0.60994669689587799</v>
      </c>
      <c r="P1264" s="57">
        <f t="shared" si="99"/>
        <v>-4.0616482959890017E-2</v>
      </c>
    </row>
    <row r="1265" spans="1:16" ht="19.95" customHeight="1">
      <c r="A1265" s="49">
        <v>1310</v>
      </c>
      <c r="B1265" s="50" t="s">
        <v>598</v>
      </c>
      <c r="C1265" s="51" t="s">
        <v>18</v>
      </c>
      <c r="D1265" s="51" t="s">
        <v>19</v>
      </c>
      <c r="E1265" s="52">
        <v>54105000000</v>
      </c>
      <c r="F1265" s="52">
        <v>33560000000</v>
      </c>
      <c r="G1265" s="52">
        <v>18786000000</v>
      </c>
      <c r="H1265" s="52" t="s">
        <v>757</v>
      </c>
      <c r="I1265" s="52" t="s">
        <v>757</v>
      </c>
      <c r="J1265" s="51" t="s">
        <v>75</v>
      </c>
      <c r="K1265" s="51" t="s">
        <v>511</v>
      </c>
      <c r="L1265" s="41">
        <f t="shared" si="95"/>
        <v>20545000000</v>
      </c>
      <c r="M1265" s="41">
        <f t="shared" si="96"/>
        <v>18786000000</v>
      </c>
      <c r="N1265" s="41">
        <f t="shared" si="97"/>
        <v>1759000000</v>
      </c>
      <c r="O1265" s="41">
        <f t="shared" si="98"/>
        <v>0.65278624896035486</v>
      </c>
      <c r="P1265" s="41">
        <f t="shared" si="99"/>
        <v>3.2510858515848812E-2</v>
      </c>
    </row>
    <row r="1266" spans="1:16" ht="19.95" customHeight="1">
      <c r="A1266" s="49">
        <v>1311</v>
      </c>
      <c r="B1266" s="50" t="s">
        <v>598</v>
      </c>
      <c r="C1266" s="51" t="s">
        <v>20</v>
      </c>
      <c r="D1266" s="51" t="s">
        <v>21</v>
      </c>
      <c r="E1266" s="52">
        <v>57119000000</v>
      </c>
      <c r="F1266" s="52">
        <v>32747000000</v>
      </c>
      <c r="G1266" s="52">
        <v>16603000000</v>
      </c>
      <c r="H1266" s="52" t="s">
        <v>757</v>
      </c>
      <c r="I1266" s="52" t="s">
        <v>757</v>
      </c>
      <c r="J1266" s="51" t="s">
        <v>75</v>
      </c>
      <c r="K1266" s="51" t="s">
        <v>511</v>
      </c>
      <c r="L1266" s="41">
        <f t="shared" si="95"/>
        <v>24372000000</v>
      </c>
      <c r="M1266" s="41">
        <f t="shared" si="96"/>
        <v>16603000000</v>
      </c>
      <c r="N1266" s="41">
        <f t="shared" si="97"/>
        <v>7769000000</v>
      </c>
      <c r="O1266" s="41">
        <f t="shared" si="98"/>
        <v>0.70932614366498015</v>
      </c>
      <c r="P1266" s="41">
        <f t="shared" si="99"/>
        <v>0.13601428596439014</v>
      </c>
    </row>
    <row r="1267" spans="1:16" ht="19.95" customHeight="1">
      <c r="A1267" s="49">
        <v>1312</v>
      </c>
      <c r="B1267" s="50" t="s">
        <v>599</v>
      </c>
      <c r="C1267" s="51" t="s">
        <v>11</v>
      </c>
      <c r="D1267" s="51" t="s">
        <v>12</v>
      </c>
      <c r="E1267" s="52">
        <v>1792900000</v>
      </c>
      <c r="F1267" s="52">
        <v>158446000000</v>
      </c>
      <c r="G1267" s="52">
        <v>15443000000</v>
      </c>
      <c r="H1267" s="52" t="s">
        <v>757</v>
      </c>
      <c r="I1267" s="52">
        <v>931000000</v>
      </c>
      <c r="J1267" s="51" t="s">
        <v>116</v>
      </c>
      <c r="K1267" s="51" t="s">
        <v>462</v>
      </c>
      <c r="L1267" s="41">
        <f t="shared" si="95"/>
        <v>-156653100000</v>
      </c>
      <c r="M1267" s="41">
        <f t="shared" si="96"/>
        <v>16374000000</v>
      </c>
      <c r="N1267" s="41">
        <f t="shared" si="97"/>
        <v>-173027100000</v>
      </c>
      <c r="O1267" s="41">
        <f t="shared" si="98"/>
        <v>-8.1326900552178039</v>
      </c>
      <c r="P1267" s="41">
        <f t="shared" si="99"/>
        <v>-96.506832505995874</v>
      </c>
    </row>
    <row r="1268" spans="1:16" ht="19.95" customHeight="1">
      <c r="A1268" s="53">
        <v>1313</v>
      </c>
      <c r="B1268" s="54" t="s">
        <v>599</v>
      </c>
      <c r="C1268" s="55" t="s">
        <v>16</v>
      </c>
      <c r="D1268" s="55" t="s">
        <v>17</v>
      </c>
      <c r="E1268" s="56">
        <v>1715960000</v>
      </c>
      <c r="F1268" s="56">
        <v>152451000000</v>
      </c>
      <c r="G1268" s="56">
        <v>15597000000</v>
      </c>
      <c r="H1268" s="56" t="s">
        <v>757</v>
      </c>
      <c r="I1268" s="56">
        <v>971000000</v>
      </c>
      <c r="J1268" s="55" t="s">
        <v>116</v>
      </c>
      <c r="K1268" s="55" t="s">
        <v>462</v>
      </c>
      <c r="L1268" s="57">
        <f t="shared" si="95"/>
        <v>-150735040000</v>
      </c>
      <c r="M1268" s="57">
        <f t="shared" si="96"/>
        <v>16568000000</v>
      </c>
      <c r="N1268" s="57">
        <f t="shared" si="97"/>
        <v>-167303040000</v>
      </c>
      <c r="O1268" s="57">
        <f t="shared" si="98"/>
        <v>-8.655236718804634</v>
      </c>
      <c r="P1268" s="57">
        <f t="shared" si="99"/>
        <v>-97.498216741648989</v>
      </c>
    </row>
    <row r="1269" spans="1:16" ht="19.95" customHeight="1">
      <c r="A1269" s="49">
        <v>1314</v>
      </c>
      <c r="B1269" s="50" t="s">
        <v>599</v>
      </c>
      <c r="C1269" s="51" t="s">
        <v>18</v>
      </c>
      <c r="D1269" s="51" t="s">
        <v>19</v>
      </c>
      <c r="E1269" s="52">
        <v>161212000000</v>
      </c>
      <c r="F1269" s="52">
        <v>140183000000</v>
      </c>
      <c r="G1269" s="52">
        <v>16703000000</v>
      </c>
      <c r="H1269" s="52" t="s">
        <v>757</v>
      </c>
      <c r="I1269" s="52">
        <v>1019000000</v>
      </c>
      <c r="J1269" s="51" t="s">
        <v>116</v>
      </c>
      <c r="K1269" s="51" t="s">
        <v>462</v>
      </c>
      <c r="L1269" s="41">
        <f t="shared" si="95"/>
        <v>21029000000</v>
      </c>
      <c r="M1269" s="41">
        <f t="shared" si="96"/>
        <v>17722000000</v>
      </c>
      <c r="N1269" s="41">
        <f t="shared" si="97"/>
        <v>3307000000</v>
      </c>
      <c r="O1269" s="41">
        <f t="shared" si="98"/>
        <v>0.89007021809790832</v>
      </c>
      <c r="P1269" s="41">
        <f t="shared" si="99"/>
        <v>2.051336128824157E-2</v>
      </c>
    </row>
    <row r="1270" spans="1:16" ht="19.95" customHeight="1">
      <c r="A1270" s="49">
        <v>1315</v>
      </c>
      <c r="B1270" s="50" t="s">
        <v>599</v>
      </c>
      <c r="C1270" s="51" t="s">
        <v>20</v>
      </c>
      <c r="D1270" s="51" t="s">
        <v>21</v>
      </c>
      <c r="E1270" s="52">
        <v>98975000000</v>
      </c>
      <c r="F1270" s="52">
        <v>77693000000</v>
      </c>
      <c r="G1270" s="52">
        <v>15747000000</v>
      </c>
      <c r="H1270" s="52" t="s">
        <v>757</v>
      </c>
      <c r="I1270" s="52">
        <v>1099000000</v>
      </c>
      <c r="J1270" s="51" t="s">
        <v>116</v>
      </c>
      <c r="K1270" s="51" t="s">
        <v>462</v>
      </c>
      <c r="L1270" s="41">
        <f t="shared" si="95"/>
        <v>21282000000</v>
      </c>
      <c r="M1270" s="41">
        <f t="shared" si="96"/>
        <v>16846000000</v>
      </c>
      <c r="N1270" s="41">
        <f t="shared" si="97"/>
        <v>4436000000</v>
      </c>
      <c r="O1270" s="41">
        <f t="shared" si="98"/>
        <v>0.82979540287951503</v>
      </c>
      <c r="P1270" s="41">
        <f t="shared" si="99"/>
        <v>4.4819398838090427E-2</v>
      </c>
    </row>
    <row r="1271" spans="1:16" ht="19.95" customHeight="1">
      <c r="A1271" s="49">
        <v>1316</v>
      </c>
      <c r="B1271" s="50" t="s">
        <v>600</v>
      </c>
      <c r="C1271" s="51" t="s">
        <v>11</v>
      </c>
      <c r="D1271" s="51" t="s">
        <v>396</v>
      </c>
      <c r="E1271" s="52">
        <v>6043000000</v>
      </c>
      <c r="F1271" s="52">
        <v>2793800000</v>
      </c>
      <c r="G1271" s="52">
        <v>2594300000</v>
      </c>
      <c r="H1271" s="52" t="s">
        <v>757</v>
      </c>
      <c r="I1271" s="52" t="s">
        <v>757</v>
      </c>
      <c r="J1271" s="51" t="s">
        <v>24</v>
      </c>
      <c r="K1271" s="51" t="s">
        <v>391</v>
      </c>
      <c r="L1271" s="41">
        <f t="shared" si="95"/>
        <v>3249200000</v>
      </c>
      <c r="M1271" s="41">
        <f t="shared" si="96"/>
        <v>2594300000</v>
      </c>
      <c r="N1271" s="41">
        <f t="shared" si="97"/>
        <v>654900000</v>
      </c>
      <c r="O1271" s="41">
        <f t="shared" si="98"/>
        <v>0.57069336422306804</v>
      </c>
      <c r="P1271" s="41">
        <f t="shared" si="99"/>
        <v>0.10837332450769485</v>
      </c>
    </row>
    <row r="1272" spans="1:16" ht="19.95" customHeight="1">
      <c r="A1272" s="49">
        <v>1317</v>
      </c>
      <c r="B1272" s="50" t="s">
        <v>600</v>
      </c>
      <c r="C1272" s="51" t="s">
        <v>16</v>
      </c>
      <c r="D1272" s="51" t="s">
        <v>398</v>
      </c>
      <c r="E1272" s="52">
        <v>8186400000</v>
      </c>
      <c r="F1272" s="52">
        <v>3967100000</v>
      </c>
      <c r="G1272" s="52">
        <v>3673500000</v>
      </c>
      <c r="H1272" s="52" t="s">
        <v>757</v>
      </c>
      <c r="I1272" s="52" t="s">
        <v>757</v>
      </c>
      <c r="J1272" s="51" t="s">
        <v>24</v>
      </c>
      <c r="K1272" s="51" t="s">
        <v>391</v>
      </c>
      <c r="L1272" s="41">
        <f t="shared" si="95"/>
        <v>4219300000</v>
      </c>
      <c r="M1272" s="41">
        <f t="shared" si="96"/>
        <v>3673500000</v>
      </c>
      <c r="N1272" s="41">
        <f t="shared" si="97"/>
        <v>545800000</v>
      </c>
      <c r="O1272" s="41">
        <f t="shared" si="98"/>
        <v>0.5512679566109645</v>
      </c>
      <c r="P1272" s="41">
        <f t="shared" si="99"/>
        <v>6.6671552819310073E-2</v>
      </c>
    </row>
    <row r="1273" spans="1:16" ht="19.95" customHeight="1">
      <c r="A1273" s="49">
        <v>1318</v>
      </c>
      <c r="B1273" s="50" t="s">
        <v>600</v>
      </c>
      <c r="C1273" s="51" t="s">
        <v>18</v>
      </c>
      <c r="D1273" s="51" t="s">
        <v>399</v>
      </c>
      <c r="E1273" s="52">
        <v>8241200000</v>
      </c>
      <c r="F1273" s="52">
        <v>3914500000</v>
      </c>
      <c r="G1273" s="52">
        <v>3713600000</v>
      </c>
      <c r="H1273" s="52" t="s">
        <v>757</v>
      </c>
      <c r="I1273" s="52" t="s">
        <v>757</v>
      </c>
      <c r="J1273" s="51" t="s">
        <v>24</v>
      </c>
      <c r="K1273" s="51" t="s">
        <v>391</v>
      </c>
      <c r="L1273" s="41">
        <f t="shared" si="95"/>
        <v>4326700000</v>
      </c>
      <c r="M1273" s="41">
        <f t="shared" si="96"/>
        <v>3713600000</v>
      </c>
      <c r="N1273" s="41">
        <f t="shared" si="97"/>
        <v>613100000</v>
      </c>
      <c r="O1273" s="41">
        <f t="shared" si="98"/>
        <v>0.54938601174586221</v>
      </c>
      <c r="P1273" s="41">
        <f t="shared" si="99"/>
        <v>7.439450565451633E-2</v>
      </c>
    </row>
    <row r="1274" spans="1:16" ht="19.95" customHeight="1">
      <c r="A1274" s="49">
        <v>1319</v>
      </c>
      <c r="B1274" s="50" t="s">
        <v>600</v>
      </c>
      <c r="C1274" s="51" t="s">
        <v>20</v>
      </c>
      <c r="D1274" s="51" t="s">
        <v>68</v>
      </c>
      <c r="E1274" s="52">
        <v>8020300000</v>
      </c>
      <c r="F1274" s="52">
        <v>3858700000</v>
      </c>
      <c r="G1274" s="52">
        <v>3417700000</v>
      </c>
      <c r="H1274" s="52" t="s">
        <v>757</v>
      </c>
      <c r="I1274" s="52" t="s">
        <v>757</v>
      </c>
      <c r="J1274" s="51" t="s">
        <v>24</v>
      </c>
      <c r="K1274" s="51" t="s">
        <v>391</v>
      </c>
      <c r="L1274" s="41">
        <f t="shared" si="95"/>
        <v>4161600000</v>
      </c>
      <c r="M1274" s="41">
        <f t="shared" si="96"/>
        <v>3417700000</v>
      </c>
      <c r="N1274" s="41">
        <f t="shared" si="97"/>
        <v>743900000</v>
      </c>
      <c r="O1274" s="41">
        <f t="shared" si="98"/>
        <v>0.57386880789995387</v>
      </c>
      <c r="P1274" s="41">
        <f t="shared" si="99"/>
        <v>9.2752141441093228E-2</v>
      </c>
    </row>
    <row r="1275" spans="1:16" ht="19.95" customHeight="1">
      <c r="A1275" s="49">
        <v>1320</v>
      </c>
      <c r="B1275" s="50" t="s">
        <v>601</v>
      </c>
      <c r="C1275" s="51" t="s">
        <v>11</v>
      </c>
      <c r="D1275" s="51" t="s">
        <v>12</v>
      </c>
      <c r="E1275" s="52">
        <v>5920269000</v>
      </c>
      <c r="F1275" s="52">
        <v>4982562000</v>
      </c>
      <c r="G1275" s="52">
        <v>434894000</v>
      </c>
      <c r="H1275" s="52" t="s">
        <v>757</v>
      </c>
      <c r="I1275" s="52">
        <v>37691000</v>
      </c>
      <c r="J1275" s="51" t="s">
        <v>14</v>
      </c>
      <c r="K1275" s="51" t="s">
        <v>224</v>
      </c>
      <c r="L1275" s="41">
        <f t="shared" si="95"/>
        <v>937707000</v>
      </c>
      <c r="M1275" s="41">
        <f t="shared" si="96"/>
        <v>472585000</v>
      </c>
      <c r="N1275" s="41">
        <f t="shared" si="97"/>
        <v>465122000</v>
      </c>
      <c r="O1275" s="41">
        <f t="shared" si="98"/>
        <v>0.92017507988234992</v>
      </c>
      <c r="P1275" s="41">
        <f t="shared" si="99"/>
        <v>7.8564335505700841E-2</v>
      </c>
    </row>
    <row r="1276" spans="1:16" ht="19.95" customHeight="1">
      <c r="A1276" s="49">
        <v>1321</v>
      </c>
      <c r="B1276" s="50" t="s">
        <v>601</v>
      </c>
      <c r="C1276" s="51" t="s">
        <v>16</v>
      </c>
      <c r="D1276" s="51" t="s">
        <v>17</v>
      </c>
      <c r="E1276" s="52">
        <v>6411577000</v>
      </c>
      <c r="F1276" s="52">
        <v>5424644000</v>
      </c>
      <c r="G1276" s="52">
        <v>485069000</v>
      </c>
      <c r="H1276" s="52" t="s">
        <v>757</v>
      </c>
      <c r="I1276" s="52">
        <v>25865000</v>
      </c>
      <c r="J1276" s="51" t="s">
        <v>14</v>
      </c>
      <c r="K1276" s="51" t="s">
        <v>224</v>
      </c>
      <c r="L1276" s="41">
        <f t="shared" si="95"/>
        <v>986933000</v>
      </c>
      <c r="M1276" s="41">
        <f t="shared" si="96"/>
        <v>510934000</v>
      </c>
      <c r="N1276" s="41">
        <f t="shared" si="97"/>
        <v>475999000</v>
      </c>
      <c r="O1276" s="41">
        <f t="shared" si="98"/>
        <v>0.92031071294940392</v>
      </c>
      <c r="P1276" s="41">
        <f t="shared" si="99"/>
        <v>7.4240549555904894E-2</v>
      </c>
    </row>
    <row r="1277" spans="1:16" ht="19.95" customHeight="1">
      <c r="A1277" s="49">
        <v>1322</v>
      </c>
      <c r="B1277" s="50" t="s">
        <v>601</v>
      </c>
      <c r="C1277" s="51" t="s">
        <v>18</v>
      </c>
      <c r="D1277" s="51" t="s">
        <v>19</v>
      </c>
      <c r="E1277" s="52">
        <v>7747229000</v>
      </c>
      <c r="F1277" s="52">
        <v>6578435000</v>
      </c>
      <c r="G1277" s="52">
        <v>705477000</v>
      </c>
      <c r="H1277" s="52" t="s">
        <v>757</v>
      </c>
      <c r="I1277" s="52">
        <v>34257000</v>
      </c>
      <c r="J1277" s="51" t="s">
        <v>14</v>
      </c>
      <c r="K1277" s="51" t="s">
        <v>224</v>
      </c>
      <c r="L1277" s="41">
        <f t="shared" si="95"/>
        <v>1168794000</v>
      </c>
      <c r="M1277" s="41">
        <f t="shared" si="96"/>
        <v>739734000</v>
      </c>
      <c r="N1277" s="41">
        <f t="shared" si="97"/>
        <v>429060000</v>
      </c>
      <c r="O1277" s="41">
        <f t="shared" si="98"/>
        <v>0.9045163115741125</v>
      </c>
      <c r="P1277" s="41">
        <f t="shared" si="99"/>
        <v>5.538238252670729E-2</v>
      </c>
    </row>
    <row r="1278" spans="1:16" ht="19.95" customHeight="1">
      <c r="A1278" s="49">
        <v>1323</v>
      </c>
      <c r="B1278" s="50" t="s">
        <v>601</v>
      </c>
      <c r="C1278" s="51" t="s">
        <v>20</v>
      </c>
      <c r="D1278" s="51" t="s">
        <v>21</v>
      </c>
      <c r="E1278" s="52">
        <v>7572436000</v>
      </c>
      <c r="F1278" s="52">
        <v>6648771000</v>
      </c>
      <c r="G1278" s="52">
        <v>592863000</v>
      </c>
      <c r="H1278" s="52" t="s">
        <v>757</v>
      </c>
      <c r="I1278" s="52">
        <v>34848000</v>
      </c>
      <c r="J1278" s="51" t="s">
        <v>14</v>
      </c>
      <c r="K1278" s="51" t="s">
        <v>224</v>
      </c>
      <c r="L1278" s="41">
        <f t="shared" si="95"/>
        <v>923665000</v>
      </c>
      <c r="M1278" s="41">
        <f t="shared" si="96"/>
        <v>627711000</v>
      </c>
      <c r="N1278" s="41">
        <f t="shared" si="97"/>
        <v>295954000</v>
      </c>
      <c r="O1278" s="41">
        <f t="shared" si="98"/>
        <v>0.91710580320520374</v>
      </c>
      <c r="P1278" s="41">
        <f t="shared" si="99"/>
        <v>3.9083063891196965E-2</v>
      </c>
    </row>
    <row r="1279" spans="1:16" ht="19.95" customHeight="1">
      <c r="A1279" s="49">
        <v>1324</v>
      </c>
      <c r="B1279" s="50" t="s">
        <v>602</v>
      </c>
      <c r="C1279" s="51" t="s">
        <v>11</v>
      </c>
      <c r="D1279" s="51" t="s">
        <v>12</v>
      </c>
      <c r="E1279" s="52">
        <v>11224000000</v>
      </c>
      <c r="F1279" s="52">
        <v>6396000000</v>
      </c>
      <c r="G1279" s="52">
        <v>1227000000</v>
      </c>
      <c r="H1279" s="52">
        <v>98000000</v>
      </c>
      <c r="I1279" s="52">
        <v>1001000000</v>
      </c>
      <c r="J1279" s="51" t="s">
        <v>88</v>
      </c>
      <c r="K1279" s="51" t="s">
        <v>120</v>
      </c>
      <c r="L1279" s="41">
        <f t="shared" si="95"/>
        <v>4828000000</v>
      </c>
      <c r="M1279" s="41">
        <f t="shared" si="96"/>
        <v>2326000000</v>
      </c>
      <c r="N1279" s="41">
        <f t="shared" si="97"/>
        <v>2502000000</v>
      </c>
      <c r="O1279" s="41">
        <f t="shared" si="98"/>
        <v>0.79276550249465427</v>
      </c>
      <c r="P1279" s="41">
        <f t="shared" si="99"/>
        <v>0.22291518175338559</v>
      </c>
    </row>
    <row r="1280" spans="1:16" ht="19.95" customHeight="1">
      <c r="A1280" s="49">
        <v>1325</v>
      </c>
      <c r="B1280" s="50" t="s">
        <v>602</v>
      </c>
      <c r="C1280" s="51" t="s">
        <v>16</v>
      </c>
      <c r="D1280" s="51" t="s">
        <v>17</v>
      </c>
      <c r="E1280" s="52">
        <v>11925000000</v>
      </c>
      <c r="F1280" s="52">
        <v>6744000000</v>
      </c>
      <c r="G1280" s="52">
        <v>1349000000</v>
      </c>
      <c r="H1280" s="52">
        <v>98000000</v>
      </c>
      <c r="I1280" s="52">
        <v>1109000000</v>
      </c>
      <c r="J1280" s="51" t="s">
        <v>88</v>
      </c>
      <c r="K1280" s="51" t="s">
        <v>120</v>
      </c>
      <c r="L1280" s="41">
        <f t="shared" si="95"/>
        <v>5181000000</v>
      </c>
      <c r="M1280" s="41">
        <f t="shared" si="96"/>
        <v>2556000000</v>
      </c>
      <c r="N1280" s="41">
        <f t="shared" si="97"/>
        <v>2625000000</v>
      </c>
      <c r="O1280" s="41">
        <f t="shared" si="98"/>
        <v>0.78566037735849059</v>
      </c>
      <c r="P1280" s="41">
        <f t="shared" si="99"/>
        <v>0.22012578616352202</v>
      </c>
    </row>
    <row r="1281" spans="1:16" ht="19.95" customHeight="1">
      <c r="A1281" s="49">
        <v>1326</v>
      </c>
      <c r="B1281" s="50" t="s">
        <v>602</v>
      </c>
      <c r="C1281" s="51" t="s">
        <v>18</v>
      </c>
      <c r="D1281" s="51" t="s">
        <v>19</v>
      </c>
      <c r="E1281" s="52">
        <v>12273000000</v>
      </c>
      <c r="F1281" s="52">
        <v>6962000000</v>
      </c>
      <c r="G1281" s="52">
        <v>1437000000</v>
      </c>
      <c r="H1281" s="52">
        <v>96000000</v>
      </c>
      <c r="I1281" s="52">
        <v>1170000000</v>
      </c>
      <c r="J1281" s="51" t="s">
        <v>88</v>
      </c>
      <c r="K1281" s="51" t="s">
        <v>120</v>
      </c>
      <c r="L1281" s="41">
        <f t="shared" si="95"/>
        <v>5311000000</v>
      </c>
      <c r="M1281" s="41">
        <f t="shared" si="96"/>
        <v>2703000000</v>
      </c>
      <c r="N1281" s="41">
        <f t="shared" si="97"/>
        <v>2608000000</v>
      </c>
      <c r="O1281" s="41">
        <f t="shared" si="98"/>
        <v>0.77976044976778291</v>
      </c>
      <c r="P1281" s="41">
        <f t="shared" si="99"/>
        <v>0.21249898150411473</v>
      </c>
    </row>
    <row r="1282" spans="1:16" ht="19.95" customHeight="1">
      <c r="A1282" s="49">
        <v>1327</v>
      </c>
      <c r="B1282" s="50" t="s">
        <v>602</v>
      </c>
      <c r="C1282" s="51" t="s">
        <v>20</v>
      </c>
      <c r="D1282" s="51" t="s">
        <v>21</v>
      </c>
      <c r="E1282" s="52">
        <v>10776000000</v>
      </c>
      <c r="F1282" s="52">
        <v>5960000000</v>
      </c>
      <c r="G1282" s="52">
        <v>1296000000</v>
      </c>
      <c r="H1282" s="52">
        <v>93000000</v>
      </c>
      <c r="I1282" s="52">
        <v>1106000000</v>
      </c>
      <c r="J1282" s="51" t="s">
        <v>88</v>
      </c>
      <c r="K1282" s="51" t="s">
        <v>120</v>
      </c>
      <c r="L1282" s="41">
        <f t="shared" si="95"/>
        <v>4816000000</v>
      </c>
      <c r="M1282" s="41">
        <f t="shared" si="96"/>
        <v>2495000000</v>
      </c>
      <c r="N1282" s="41">
        <f t="shared" si="97"/>
        <v>2321000000</v>
      </c>
      <c r="O1282" s="41">
        <f t="shared" si="98"/>
        <v>0.7684669636228656</v>
      </c>
      <c r="P1282" s="41">
        <f t="shared" si="99"/>
        <v>0.21538604305864886</v>
      </c>
    </row>
    <row r="1283" spans="1:16" ht="19.95" customHeight="1">
      <c r="A1283" s="49">
        <v>1331</v>
      </c>
      <c r="B1283" s="50" t="s">
        <v>603</v>
      </c>
      <c r="C1283" s="51" t="s">
        <v>11</v>
      </c>
      <c r="D1283" s="51" t="s">
        <v>604</v>
      </c>
      <c r="E1283" s="52">
        <v>24866000000</v>
      </c>
      <c r="F1283" s="52">
        <v>9820000000</v>
      </c>
      <c r="G1283" s="52">
        <v>2849000000</v>
      </c>
      <c r="H1283" s="52">
        <v>4967000000</v>
      </c>
      <c r="I1283" s="52" t="s">
        <v>757</v>
      </c>
      <c r="J1283" s="51" t="s">
        <v>31</v>
      </c>
      <c r="K1283" s="51" t="s">
        <v>55</v>
      </c>
      <c r="L1283" s="41">
        <f t="shared" ref="L1283:L1346" si="100">Total_Revenue-COGS</f>
        <v>15046000000</v>
      </c>
      <c r="M1283" s="41">
        <f t="shared" ref="M1283:M1346" si="101">SGAA+RandD+OOI</f>
        <v>7816000000</v>
      </c>
      <c r="N1283" s="41">
        <f t="shared" ref="N1283:N1346" si="102">Gross_Profit-Total_Operating_Expenses</f>
        <v>7230000000</v>
      </c>
      <c r="O1283" s="41">
        <f t="shared" ref="O1283:O1346" si="103">1-(Total_Operating_Expenses/Total_Revenue)</f>
        <v>0.68567521917477681</v>
      </c>
      <c r="P1283" s="41">
        <f t="shared" ref="P1283:P1346" si="104">Operating_Profit/Total_Revenue</f>
        <v>0.2907584653744068</v>
      </c>
    </row>
    <row r="1284" spans="1:16" ht="19.95" customHeight="1">
      <c r="A1284" s="49">
        <v>1332</v>
      </c>
      <c r="B1284" s="50" t="s">
        <v>603</v>
      </c>
      <c r="C1284" s="51" t="s">
        <v>16</v>
      </c>
      <c r="D1284" s="51" t="s">
        <v>605</v>
      </c>
      <c r="E1284" s="52">
        <v>26487000000</v>
      </c>
      <c r="F1284" s="52">
        <v>10686000000</v>
      </c>
      <c r="G1284" s="52">
        <v>2774000000</v>
      </c>
      <c r="H1284" s="52">
        <v>5477000000</v>
      </c>
      <c r="I1284" s="52" t="s">
        <v>757</v>
      </c>
      <c r="J1284" s="51" t="s">
        <v>31</v>
      </c>
      <c r="K1284" s="51" t="s">
        <v>55</v>
      </c>
      <c r="L1284" s="41">
        <f t="shared" si="100"/>
        <v>15801000000</v>
      </c>
      <c r="M1284" s="41">
        <f t="shared" si="101"/>
        <v>8251000000</v>
      </c>
      <c r="N1284" s="41">
        <f t="shared" si="102"/>
        <v>7550000000</v>
      </c>
      <c r="O1284" s="41">
        <f t="shared" si="103"/>
        <v>0.68848869256616452</v>
      </c>
      <c r="P1284" s="41">
        <f t="shared" si="104"/>
        <v>0.28504549401593232</v>
      </c>
    </row>
    <row r="1285" spans="1:16" ht="19.95" customHeight="1">
      <c r="A1285" s="49">
        <v>1333</v>
      </c>
      <c r="B1285" s="50" t="s">
        <v>603</v>
      </c>
      <c r="C1285" s="51" t="s">
        <v>18</v>
      </c>
      <c r="D1285" s="51" t="s">
        <v>606</v>
      </c>
      <c r="E1285" s="52">
        <v>25281000000</v>
      </c>
      <c r="F1285" s="52">
        <v>10378000000</v>
      </c>
      <c r="G1285" s="52">
        <v>3637000000</v>
      </c>
      <c r="H1285" s="52">
        <v>5490000000</v>
      </c>
      <c r="I1285" s="52" t="s">
        <v>757</v>
      </c>
      <c r="J1285" s="51" t="s">
        <v>31</v>
      </c>
      <c r="K1285" s="51" t="s">
        <v>55</v>
      </c>
      <c r="L1285" s="41">
        <f t="shared" si="100"/>
        <v>14903000000</v>
      </c>
      <c r="M1285" s="41">
        <f t="shared" si="101"/>
        <v>9127000000</v>
      </c>
      <c r="N1285" s="41">
        <f t="shared" si="102"/>
        <v>5776000000</v>
      </c>
      <c r="O1285" s="41">
        <f t="shared" si="103"/>
        <v>0.63897788853289028</v>
      </c>
      <c r="P1285" s="41">
        <f t="shared" si="104"/>
        <v>0.2284719750009889</v>
      </c>
    </row>
    <row r="1286" spans="1:16" ht="19.95" customHeight="1">
      <c r="A1286" s="49">
        <v>1334</v>
      </c>
      <c r="B1286" s="50" t="s">
        <v>603</v>
      </c>
      <c r="C1286" s="51" t="s">
        <v>20</v>
      </c>
      <c r="D1286" s="51" t="s">
        <v>607</v>
      </c>
      <c r="E1286" s="52">
        <v>23554000000</v>
      </c>
      <c r="F1286" s="52">
        <v>9749000000</v>
      </c>
      <c r="G1286" s="52">
        <v>2159000000</v>
      </c>
      <c r="H1286" s="52">
        <v>5151000000</v>
      </c>
      <c r="I1286" s="52" t="s">
        <v>757</v>
      </c>
      <c r="J1286" s="51" t="s">
        <v>31</v>
      </c>
      <c r="K1286" s="51" t="s">
        <v>55</v>
      </c>
      <c r="L1286" s="41">
        <f t="shared" si="100"/>
        <v>13805000000</v>
      </c>
      <c r="M1286" s="41">
        <f t="shared" si="101"/>
        <v>7310000000</v>
      </c>
      <c r="N1286" s="41">
        <f t="shared" si="102"/>
        <v>6495000000</v>
      </c>
      <c r="O1286" s="41">
        <f t="shared" si="103"/>
        <v>0.68964931646429484</v>
      </c>
      <c r="P1286" s="41">
        <f t="shared" si="104"/>
        <v>0.27574934193767514</v>
      </c>
    </row>
    <row r="1287" spans="1:16" ht="19.95" customHeight="1">
      <c r="A1287" s="49">
        <v>1335</v>
      </c>
      <c r="B1287" s="50" t="s">
        <v>608</v>
      </c>
      <c r="C1287" s="51" t="s">
        <v>11</v>
      </c>
      <c r="D1287" s="51" t="s">
        <v>470</v>
      </c>
      <c r="E1287" s="52">
        <v>1148231000</v>
      </c>
      <c r="F1287" s="52">
        <v>743304000</v>
      </c>
      <c r="G1287" s="52">
        <v>180317000</v>
      </c>
      <c r="H1287" s="52">
        <v>197269000</v>
      </c>
      <c r="I1287" s="52" t="s">
        <v>757</v>
      </c>
      <c r="J1287" s="51" t="s">
        <v>31</v>
      </c>
      <c r="K1287" s="51" t="s">
        <v>55</v>
      </c>
      <c r="L1287" s="41">
        <f t="shared" si="100"/>
        <v>404927000</v>
      </c>
      <c r="M1287" s="41">
        <f t="shared" si="101"/>
        <v>377586000</v>
      </c>
      <c r="N1287" s="41">
        <f t="shared" si="102"/>
        <v>27341000</v>
      </c>
      <c r="O1287" s="41">
        <f t="shared" si="103"/>
        <v>0.67115850382022435</v>
      </c>
      <c r="P1287" s="41">
        <f t="shared" si="104"/>
        <v>2.3811410770132491E-2</v>
      </c>
    </row>
    <row r="1288" spans="1:16" ht="19.95" customHeight="1">
      <c r="A1288" s="49">
        <v>1336</v>
      </c>
      <c r="B1288" s="50" t="s">
        <v>608</v>
      </c>
      <c r="C1288" s="51" t="s">
        <v>16</v>
      </c>
      <c r="D1288" s="51" t="s">
        <v>471</v>
      </c>
      <c r="E1288" s="52">
        <v>1710966000</v>
      </c>
      <c r="F1288" s="52">
        <v>1021658000</v>
      </c>
      <c r="G1288" s="52">
        <v>309348000</v>
      </c>
      <c r="H1288" s="52">
        <v>257494000</v>
      </c>
      <c r="I1288" s="52" t="s">
        <v>757</v>
      </c>
      <c r="J1288" s="51" t="s">
        <v>31</v>
      </c>
      <c r="K1288" s="51" t="s">
        <v>55</v>
      </c>
      <c r="L1288" s="41">
        <f t="shared" si="100"/>
        <v>689308000</v>
      </c>
      <c r="M1288" s="41">
        <f t="shared" si="101"/>
        <v>566842000</v>
      </c>
      <c r="N1288" s="41">
        <f t="shared" si="102"/>
        <v>122466000</v>
      </c>
      <c r="O1288" s="41">
        <f t="shared" si="103"/>
        <v>0.66870060538900244</v>
      </c>
      <c r="P1288" s="41">
        <f t="shared" si="104"/>
        <v>7.1577109071717382E-2</v>
      </c>
    </row>
    <row r="1289" spans="1:16" ht="19.95" customHeight="1">
      <c r="A1289" s="49">
        <v>1337</v>
      </c>
      <c r="B1289" s="50" t="s">
        <v>608</v>
      </c>
      <c r="C1289" s="51" t="s">
        <v>18</v>
      </c>
      <c r="D1289" s="51" t="s">
        <v>472</v>
      </c>
      <c r="E1289" s="52">
        <v>2610726000</v>
      </c>
      <c r="F1289" s="52">
        <v>1561173000</v>
      </c>
      <c r="G1289" s="52">
        <v>588822000</v>
      </c>
      <c r="H1289" s="52">
        <v>448763000</v>
      </c>
      <c r="I1289" s="52" t="s">
        <v>757</v>
      </c>
      <c r="J1289" s="51" t="s">
        <v>31</v>
      </c>
      <c r="K1289" s="51" t="s">
        <v>55</v>
      </c>
      <c r="L1289" s="41">
        <f t="shared" si="100"/>
        <v>1049553000</v>
      </c>
      <c r="M1289" s="41">
        <f t="shared" si="101"/>
        <v>1037585000</v>
      </c>
      <c r="N1289" s="41">
        <f t="shared" si="102"/>
        <v>11968000</v>
      </c>
      <c r="O1289" s="41">
        <f t="shared" si="103"/>
        <v>0.6025684043442322</v>
      </c>
      <c r="P1289" s="41">
        <f t="shared" si="104"/>
        <v>4.5841654773423179E-3</v>
      </c>
    </row>
    <row r="1290" spans="1:16" ht="19.95" customHeight="1">
      <c r="A1290" s="49">
        <v>1338</v>
      </c>
      <c r="B1290" s="50" t="s">
        <v>609</v>
      </c>
      <c r="C1290" s="51" t="s">
        <v>11</v>
      </c>
      <c r="D1290" s="51" t="s">
        <v>17</v>
      </c>
      <c r="E1290" s="52">
        <v>6419285000</v>
      </c>
      <c r="F1290" s="52">
        <v>5099484000</v>
      </c>
      <c r="G1290" s="52">
        <v>922340000</v>
      </c>
      <c r="H1290" s="52" t="s">
        <v>757</v>
      </c>
      <c r="I1290" s="52" t="s">
        <v>757</v>
      </c>
      <c r="J1290" s="51" t="s">
        <v>14</v>
      </c>
      <c r="K1290" s="51" t="s">
        <v>224</v>
      </c>
      <c r="L1290" s="41">
        <f t="shared" si="100"/>
        <v>1319801000</v>
      </c>
      <c r="M1290" s="41">
        <f t="shared" si="101"/>
        <v>922340000</v>
      </c>
      <c r="N1290" s="41">
        <f t="shared" si="102"/>
        <v>397461000</v>
      </c>
      <c r="O1290" s="41">
        <f t="shared" si="103"/>
        <v>0.85631733129156906</v>
      </c>
      <c r="P1290" s="41">
        <f t="shared" si="104"/>
        <v>6.1916708792334352E-2</v>
      </c>
    </row>
    <row r="1291" spans="1:16" ht="19.95" customHeight="1">
      <c r="A1291" s="49">
        <v>1339</v>
      </c>
      <c r="B1291" s="50" t="s">
        <v>609</v>
      </c>
      <c r="C1291" s="51" t="s">
        <v>16</v>
      </c>
      <c r="D1291" s="51" t="s">
        <v>19</v>
      </c>
      <c r="E1291" s="52">
        <v>6638774000</v>
      </c>
      <c r="F1291" s="52">
        <v>5253040000</v>
      </c>
      <c r="G1291" s="52">
        <v>1030014000</v>
      </c>
      <c r="H1291" s="52" t="s">
        <v>757</v>
      </c>
      <c r="I1291" s="52" t="s">
        <v>757</v>
      </c>
      <c r="J1291" s="51" t="s">
        <v>14</v>
      </c>
      <c r="K1291" s="51" t="s">
        <v>224</v>
      </c>
      <c r="L1291" s="41">
        <f t="shared" si="100"/>
        <v>1385734000</v>
      </c>
      <c r="M1291" s="41">
        <f t="shared" si="101"/>
        <v>1030014000</v>
      </c>
      <c r="N1291" s="41">
        <f t="shared" si="102"/>
        <v>355720000</v>
      </c>
      <c r="O1291" s="41">
        <f t="shared" si="103"/>
        <v>0.84484876273842124</v>
      </c>
      <c r="P1291" s="41">
        <f t="shared" si="104"/>
        <v>5.3582182493333859E-2</v>
      </c>
    </row>
    <row r="1292" spans="1:16" ht="19.95" customHeight="1">
      <c r="A1292" s="49">
        <v>1340</v>
      </c>
      <c r="B1292" s="50" t="s">
        <v>609</v>
      </c>
      <c r="C1292" s="51" t="s">
        <v>18</v>
      </c>
      <c r="D1292" s="51" t="s">
        <v>21</v>
      </c>
      <c r="E1292" s="52">
        <v>6571893000</v>
      </c>
      <c r="F1292" s="52">
        <v>5086449000</v>
      </c>
      <c r="G1292" s="52">
        <v>961579000</v>
      </c>
      <c r="H1292" s="52" t="s">
        <v>757</v>
      </c>
      <c r="I1292" s="52" t="s">
        <v>757</v>
      </c>
      <c r="J1292" s="51" t="s">
        <v>14</v>
      </c>
      <c r="K1292" s="51" t="s">
        <v>224</v>
      </c>
      <c r="L1292" s="41">
        <f t="shared" si="100"/>
        <v>1485444000</v>
      </c>
      <c r="M1292" s="41">
        <f t="shared" si="101"/>
        <v>961579000</v>
      </c>
      <c r="N1292" s="41">
        <f t="shared" si="102"/>
        <v>523865000</v>
      </c>
      <c r="O1292" s="41">
        <f t="shared" si="103"/>
        <v>0.85368310165731542</v>
      </c>
      <c r="P1292" s="41">
        <f t="shared" si="104"/>
        <v>7.9712953330189643E-2</v>
      </c>
    </row>
    <row r="1293" spans="1:16" ht="19.95" customHeight="1">
      <c r="A1293" s="49">
        <v>1341</v>
      </c>
      <c r="B1293" s="50" t="s">
        <v>609</v>
      </c>
      <c r="C1293" s="51" t="s">
        <v>20</v>
      </c>
      <c r="D1293" s="51" t="s">
        <v>84</v>
      </c>
      <c r="E1293" s="52">
        <v>6786984000</v>
      </c>
      <c r="F1293" s="52">
        <v>5285568000</v>
      </c>
      <c r="G1293" s="52">
        <v>956158000</v>
      </c>
      <c r="H1293" s="52" t="s">
        <v>757</v>
      </c>
      <c r="I1293" s="52" t="s">
        <v>757</v>
      </c>
      <c r="J1293" s="51" t="s">
        <v>14</v>
      </c>
      <c r="K1293" s="51" t="s">
        <v>224</v>
      </c>
      <c r="L1293" s="41">
        <f t="shared" si="100"/>
        <v>1501416000</v>
      </c>
      <c r="M1293" s="41">
        <f t="shared" si="101"/>
        <v>956158000</v>
      </c>
      <c r="N1293" s="41">
        <f t="shared" si="102"/>
        <v>545258000</v>
      </c>
      <c r="O1293" s="41">
        <f t="shared" si="103"/>
        <v>0.85911886634770318</v>
      </c>
      <c r="P1293" s="41">
        <f t="shared" si="104"/>
        <v>8.0338777872468833E-2</v>
      </c>
    </row>
    <row r="1294" spans="1:16" ht="19.95" customHeight="1">
      <c r="A1294" s="49">
        <v>1342</v>
      </c>
      <c r="B1294" s="50" t="s">
        <v>610</v>
      </c>
      <c r="C1294" s="51" t="s">
        <v>11</v>
      </c>
      <c r="D1294" s="51" t="s">
        <v>12</v>
      </c>
      <c r="E1294" s="52">
        <v>7688024000</v>
      </c>
      <c r="F1294" s="52">
        <v>5157434000</v>
      </c>
      <c r="G1294" s="52">
        <v>1011543000</v>
      </c>
      <c r="H1294" s="52" t="s">
        <v>757</v>
      </c>
      <c r="I1294" s="52">
        <v>730493000</v>
      </c>
      <c r="J1294" s="51" t="s">
        <v>24</v>
      </c>
      <c r="K1294" s="51" t="s">
        <v>190</v>
      </c>
      <c r="L1294" s="41">
        <f t="shared" si="100"/>
        <v>2530590000</v>
      </c>
      <c r="M1294" s="41">
        <f t="shared" si="101"/>
        <v>1742036000</v>
      </c>
      <c r="N1294" s="41">
        <f t="shared" si="102"/>
        <v>788554000</v>
      </c>
      <c r="O1294" s="41">
        <f t="shared" si="103"/>
        <v>0.77340913607970008</v>
      </c>
      <c r="P1294" s="41">
        <f t="shared" si="104"/>
        <v>0.10256913870196034</v>
      </c>
    </row>
    <row r="1295" spans="1:16" ht="19.95" customHeight="1">
      <c r="A1295" s="49">
        <v>1343</v>
      </c>
      <c r="B1295" s="50" t="s">
        <v>610</v>
      </c>
      <c r="C1295" s="51" t="s">
        <v>16</v>
      </c>
      <c r="D1295" s="51" t="s">
        <v>17</v>
      </c>
      <c r="E1295" s="52">
        <v>7959894000</v>
      </c>
      <c r="F1295" s="52">
        <v>5305270000</v>
      </c>
      <c r="G1295" s="52">
        <v>1044819000</v>
      </c>
      <c r="H1295" s="52" t="s">
        <v>757</v>
      </c>
      <c r="I1295" s="52">
        <v>754711000</v>
      </c>
      <c r="J1295" s="51" t="s">
        <v>24</v>
      </c>
      <c r="K1295" s="51" t="s">
        <v>190</v>
      </c>
      <c r="L1295" s="41">
        <f t="shared" si="100"/>
        <v>2654624000</v>
      </c>
      <c r="M1295" s="41">
        <f t="shared" si="101"/>
        <v>1799530000</v>
      </c>
      <c r="N1295" s="41">
        <f t="shared" si="102"/>
        <v>855094000</v>
      </c>
      <c r="O1295" s="41">
        <f t="shared" si="103"/>
        <v>0.77392538141839573</v>
      </c>
      <c r="P1295" s="41">
        <f t="shared" si="104"/>
        <v>0.1074252998846467</v>
      </c>
    </row>
    <row r="1296" spans="1:16" ht="19.95" customHeight="1">
      <c r="A1296" s="49">
        <v>1344</v>
      </c>
      <c r="B1296" s="50" t="s">
        <v>610</v>
      </c>
      <c r="C1296" s="51" t="s">
        <v>18</v>
      </c>
      <c r="D1296" s="51" t="s">
        <v>19</v>
      </c>
      <c r="E1296" s="52">
        <v>8073855000</v>
      </c>
      <c r="F1296" s="52">
        <v>5306281000</v>
      </c>
      <c r="G1296" s="52">
        <v>1048952000</v>
      </c>
      <c r="H1296" s="52" t="s">
        <v>757</v>
      </c>
      <c r="I1296" s="52">
        <v>772445000</v>
      </c>
      <c r="J1296" s="51" t="s">
        <v>24</v>
      </c>
      <c r="K1296" s="51" t="s">
        <v>190</v>
      </c>
      <c r="L1296" s="41">
        <f t="shared" si="100"/>
        <v>2767574000</v>
      </c>
      <c r="M1296" s="41">
        <f t="shared" si="101"/>
        <v>1821397000</v>
      </c>
      <c r="N1296" s="41">
        <f t="shared" si="102"/>
        <v>946177000</v>
      </c>
      <c r="O1296" s="41">
        <f t="shared" si="103"/>
        <v>0.77440801203390452</v>
      </c>
      <c r="P1296" s="41">
        <f t="shared" si="104"/>
        <v>0.11719023935901747</v>
      </c>
    </row>
    <row r="1297" spans="1:16" ht="19.95" customHeight="1">
      <c r="A1297" s="49">
        <v>1345</v>
      </c>
      <c r="B1297" s="50" t="s">
        <v>610</v>
      </c>
      <c r="C1297" s="51" t="s">
        <v>20</v>
      </c>
      <c r="D1297" s="51" t="s">
        <v>21</v>
      </c>
      <c r="E1297" s="52">
        <v>8299074000</v>
      </c>
      <c r="F1297" s="52">
        <v>5099393000</v>
      </c>
      <c r="G1297" s="52">
        <v>1086504000</v>
      </c>
      <c r="H1297" s="52" t="s">
        <v>757</v>
      </c>
      <c r="I1297" s="52">
        <v>827008000</v>
      </c>
      <c r="J1297" s="51" t="s">
        <v>24</v>
      </c>
      <c r="K1297" s="51" t="s">
        <v>190</v>
      </c>
      <c r="L1297" s="41">
        <f t="shared" si="100"/>
        <v>3199681000</v>
      </c>
      <c r="M1297" s="41">
        <f t="shared" si="101"/>
        <v>1913512000</v>
      </c>
      <c r="N1297" s="41">
        <f t="shared" si="102"/>
        <v>1286169000</v>
      </c>
      <c r="O1297" s="41">
        <f t="shared" si="103"/>
        <v>0.76943066178226638</v>
      </c>
      <c r="P1297" s="41">
        <f t="shared" si="104"/>
        <v>0.15497741073281188</v>
      </c>
    </row>
    <row r="1298" spans="1:16" ht="19.95" customHeight="1">
      <c r="A1298" s="49">
        <v>1346</v>
      </c>
      <c r="B1298" s="50" t="s">
        <v>611</v>
      </c>
      <c r="C1298" s="51" t="s">
        <v>11</v>
      </c>
      <c r="D1298" s="51" t="s">
        <v>17</v>
      </c>
      <c r="E1298" s="52">
        <v>2104745000</v>
      </c>
      <c r="F1298" s="52">
        <v>155355000</v>
      </c>
      <c r="G1298" s="52">
        <v>346393000</v>
      </c>
      <c r="H1298" s="52">
        <v>859947000</v>
      </c>
      <c r="I1298" s="52" t="s">
        <v>757</v>
      </c>
      <c r="J1298" s="51" t="s">
        <v>37</v>
      </c>
      <c r="K1298" s="51" t="s">
        <v>95</v>
      </c>
      <c r="L1298" s="41">
        <f t="shared" si="100"/>
        <v>1949390000</v>
      </c>
      <c r="M1298" s="41">
        <f t="shared" si="101"/>
        <v>1206340000</v>
      </c>
      <c r="N1298" s="41">
        <f t="shared" si="102"/>
        <v>743050000</v>
      </c>
      <c r="O1298" s="41">
        <f t="shared" si="103"/>
        <v>0.42684743282440396</v>
      </c>
      <c r="P1298" s="41">
        <f t="shared" si="104"/>
        <v>0.35303564089711581</v>
      </c>
    </row>
    <row r="1299" spans="1:16" ht="19.95" customHeight="1">
      <c r="A1299" s="49">
        <v>1347</v>
      </c>
      <c r="B1299" s="50" t="s">
        <v>611</v>
      </c>
      <c r="C1299" s="51" t="s">
        <v>16</v>
      </c>
      <c r="D1299" s="51" t="s">
        <v>19</v>
      </c>
      <c r="E1299" s="52">
        <v>2819557000</v>
      </c>
      <c r="F1299" s="52">
        <v>205018000</v>
      </c>
      <c r="G1299" s="52">
        <v>519267000</v>
      </c>
      <c r="H1299" s="52">
        <v>1271353000</v>
      </c>
      <c r="I1299" s="52" t="s">
        <v>757</v>
      </c>
      <c r="J1299" s="51" t="s">
        <v>37</v>
      </c>
      <c r="K1299" s="51" t="s">
        <v>95</v>
      </c>
      <c r="L1299" s="41">
        <f t="shared" si="100"/>
        <v>2614539000</v>
      </c>
      <c r="M1299" s="41">
        <f t="shared" si="101"/>
        <v>1790620000</v>
      </c>
      <c r="N1299" s="41">
        <f t="shared" si="102"/>
        <v>823919000</v>
      </c>
      <c r="O1299" s="41">
        <f t="shared" si="103"/>
        <v>0.3649286040324774</v>
      </c>
      <c r="P1299" s="41">
        <f t="shared" si="104"/>
        <v>0.29221576297269392</v>
      </c>
    </row>
    <row r="1300" spans="1:16" ht="19.95" customHeight="1">
      <c r="A1300" s="49">
        <v>1348</v>
      </c>
      <c r="B1300" s="50" t="s">
        <v>611</v>
      </c>
      <c r="C1300" s="51" t="s">
        <v>18</v>
      </c>
      <c r="D1300" s="51" t="s">
        <v>21</v>
      </c>
      <c r="E1300" s="52">
        <v>4103728000</v>
      </c>
      <c r="F1300" s="52">
        <v>392709000</v>
      </c>
      <c r="G1300" s="52">
        <v>838526000</v>
      </c>
      <c r="H1300" s="52">
        <v>1620577000</v>
      </c>
      <c r="I1300" s="52" t="s">
        <v>757</v>
      </c>
      <c r="J1300" s="51" t="s">
        <v>37</v>
      </c>
      <c r="K1300" s="51" t="s">
        <v>95</v>
      </c>
      <c r="L1300" s="41">
        <f t="shared" si="100"/>
        <v>3711019000</v>
      </c>
      <c r="M1300" s="41">
        <f t="shared" si="101"/>
        <v>2459103000</v>
      </c>
      <c r="N1300" s="41">
        <f t="shared" si="102"/>
        <v>1251916000</v>
      </c>
      <c r="O1300" s="41">
        <f t="shared" si="103"/>
        <v>0.4007636471033168</v>
      </c>
      <c r="P1300" s="41">
        <f t="shared" si="104"/>
        <v>0.30506797721486412</v>
      </c>
    </row>
    <row r="1301" spans="1:16" ht="19.95" customHeight="1">
      <c r="A1301" s="49">
        <v>1349</v>
      </c>
      <c r="B1301" s="50" t="s">
        <v>611</v>
      </c>
      <c r="C1301" s="51" t="s">
        <v>20</v>
      </c>
      <c r="D1301" s="51" t="s">
        <v>84</v>
      </c>
      <c r="E1301" s="52">
        <v>4860427000</v>
      </c>
      <c r="F1301" s="52">
        <v>299694000</v>
      </c>
      <c r="G1301" s="52">
        <v>1177697000</v>
      </c>
      <c r="H1301" s="52">
        <v>2052295000</v>
      </c>
      <c r="I1301" s="52" t="s">
        <v>757</v>
      </c>
      <c r="J1301" s="51" t="s">
        <v>37</v>
      </c>
      <c r="K1301" s="51" t="s">
        <v>95</v>
      </c>
      <c r="L1301" s="41">
        <f t="shared" si="100"/>
        <v>4560733000</v>
      </c>
      <c r="M1301" s="41">
        <f t="shared" si="101"/>
        <v>3229992000</v>
      </c>
      <c r="N1301" s="41">
        <f t="shared" si="102"/>
        <v>1330741000</v>
      </c>
      <c r="O1301" s="41">
        <f t="shared" si="103"/>
        <v>0.33545097992419182</v>
      </c>
      <c r="P1301" s="41">
        <f t="shared" si="104"/>
        <v>0.27379096527938801</v>
      </c>
    </row>
    <row r="1302" spans="1:16" ht="19.95" customHeight="1">
      <c r="A1302" s="49">
        <v>1350</v>
      </c>
      <c r="B1302" s="50" t="s">
        <v>612</v>
      </c>
      <c r="C1302" s="51" t="s">
        <v>11</v>
      </c>
      <c r="D1302" s="51" t="s">
        <v>17</v>
      </c>
      <c r="E1302" s="52">
        <v>4245895000</v>
      </c>
      <c r="F1302" s="52">
        <v>2522803000</v>
      </c>
      <c r="G1302" s="52">
        <v>1324815000</v>
      </c>
      <c r="H1302" s="52" t="s">
        <v>757</v>
      </c>
      <c r="I1302" s="52">
        <v>1700000</v>
      </c>
      <c r="J1302" s="51" t="s">
        <v>14</v>
      </c>
      <c r="K1302" s="51" t="s">
        <v>613</v>
      </c>
      <c r="L1302" s="41">
        <f t="shared" si="100"/>
        <v>1723092000</v>
      </c>
      <c r="M1302" s="41">
        <f t="shared" si="101"/>
        <v>1326515000</v>
      </c>
      <c r="N1302" s="41">
        <f t="shared" si="102"/>
        <v>396577000</v>
      </c>
      <c r="O1302" s="41">
        <f t="shared" si="103"/>
        <v>0.68757705972474592</v>
      </c>
      <c r="P1302" s="41">
        <f t="shared" si="104"/>
        <v>9.3402451073330825E-2</v>
      </c>
    </row>
    <row r="1303" spans="1:16" ht="19.95" customHeight="1">
      <c r="A1303" s="49">
        <v>1351</v>
      </c>
      <c r="B1303" s="50" t="s">
        <v>612</v>
      </c>
      <c r="C1303" s="51" t="s">
        <v>16</v>
      </c>
      <c r="D1303" s="51" t="s">
        <v>19</v>
      </c>
      <c r="E1303" s="52">
        <v>4695014000</v>
      </c>
      <c r="F1303" s="52">
        <v>2772098000</v>
      </c>
      <c r="G1303" s="52">
        <v>1425734000</v>
      </c>
      <c r="H1303" s="52" t="s">
        <v>757</v>
      </c>
      <c r="I1303" s="52">
        <v>557000</v>
      </c>
      <c r="J1303" s="51" t="s">
        <v>14</v>
      </c>
      <c r="K1303" s="51" t="s">
        <v>613</v>
      </c>
      <c r="L1303" s="41">
        <f t="shared" si="100"/>
        <v>1922916000</v>
      </c>
      <c r="M1303" s="41">
        <f t="shared" si="101"/>
        <v>1426291000</v>
      </c>
      <c r="N1303" s="41">
        <f t="shared" si="102"/>
        <v>496625000</v>
      </c>
      <c r="O1303" s="41">
        <f t="shared" si="103"/>
        <v>0.69621155549269931</v>
      </c>
      <c r="P1303" s="41">
        <f t="shared" si="104"/>
        <v>0.10577710737390772</v>
      </c>
    </row>
    <row r="1304" spans="1:16" ht="19.95" customHeight="1">
      <c r="A1304" s="49">
        <v>1352</v>
      </c>
      <c r="B1304" s="50" t="s">
        <v>612</v>
      </c>
      <c r="C1304" s="51" t="s">
        <v>18</v>
      </c>
      <c r="D1304" s="51" t="s">
        <v>21</v>
      </c>
      <c r="E1304" s="52">
        <v>5094933000</v>
      </c>
      <c r="F1304" s="52">
        <v>2980462000</v>
      </c>
      <c r="G1304" s="52">
        <v>1533799000</v>
      </c>
      <c r="H1304" s="52" t="s">
        <v>757</v>
      </c>
      <c r="I1304" s="52">
        <v>192000</v>
      </c>
      <c r="J1304" s="51" t="s">
        <v>14</v>
      </c>
      <c r="K1304" s="51" t="s">
        <v>613</v>
      </c>
      <c r="L1304" s="41">
        <f t="shared" si="100"/>
        <v>2114471000</v>
      </c>
      <c r="M1304" s="41">
        <f t="shared" si="101"/>
        <v>1533991000</v>
      </c>
      <c r="N1304" s="41">
        <f t="shared" si="102"/>
        <v>580480000</v>
      </c>
      <c r="O1304" s="41">
        <f t="shared" si="103"/>
        <v>0.69891831747345845</v>
      </c>
      <c r="P1304" s="41">
        <f t="shared" si="104"/>
        <v>0.11393280343431406</v>
      </c>
    </row>
    <row r="1305" spans="1:16" ht="19.95" customHeight="1">
      <c r="A1305" s="49">
        <v>1353</v>
      </c>
      <c r="B1305" s="50" t="s">
        <v>612</v>
      </c>
      <c r="C1305" s="51" t="s">
        <v>20</v>
      </c>
      <c r="D1305" s="51" t="s">
        <v>84</v>
      </c>
      <c r="E1305" s="52">
        <v>5250399000</v>
      </c>
      <c r="F1305" s="52">
        <v>3089723000</v>
      </c>
      <c r="G1305" s="52">
        <v>1606217000</v>
      </c>
      <c r="H1305" s="52" t="s">
        <v>757</v>
      </c>
      <c r="I1305" s="52">
        <v>1237000</v>
      </c>
      <c r="J1305" s="51" t="s">
        <v>14</v>
      </c>
      <c r="K1305" s="51" t="s">
        <v>613</v>
      </c>
      <c r="L1305" s="41">
        <f t="shared" si="100"/>
        <v>2160676000</v>
      </c>
      <c r="M1305" s="41">
        <f t="shared" si="101"/>
        <v>1607454000</v>
      </c>
      <c r="N1305" s="41">
        <f t="shared" si="102"/>
        <v>553222000</v>
      </c>
      <c r="O1305" s="41">
        <f t="shared" si="103"/>
        <v>0.69384155375620027</v>
      </c>
      <c r="P1305" s="41">
        <f t="shared" si="104"/>
        <v>0.10536761110917475</v>
      </c>
    </row>
    <row r="1306" spans="1:16" ht="19.95" customHeight="1">
      <c r="A1306" s="49">
        <v>1354</v>
      </c>
      <c r="B1306" s="50" t="s">
        <v>614</v>
      </c>
      <c r="C1306" s="51" t="s">
        <v>11</v>
      </c>
      <c r="D1306" s="51" t="s">
        <v>464</v>
      </c>
      <c r="E1306" s="52">
        <v>1328817000</v>
      </c>
      <c r="F1306" s="52">
        <v>200600000</v>
      </c>
      <c r="G1306" s="52">
        <v>660887000</v>
      </c>
      <c r="H1306" s="52">
        <v>263150000</v>
      </c>
      <c r="I1306" s="52" t="s">
        <v>757</v>
      </c>
      <c r="J1306" s="51" t="s">
        <v>31</v>
      </c>
      <c r="K1306" s="51" t="s">
        <v>532</v>
      </c>
      <c r="L1306" s="41">
        <f t="shared" si="100"/>
        <v>1128217000</v>
      </c>
      <c r="M1306" s="41">
        <f t="shared" si="101"/>
        <v>924037000</v>
      </c>
      <c r="N1306" s="41">
        <f t="shared" si="102"/>
        <v>204180000</v>
      </c>
      <c r="O1306" s="41">
        <f t="shared" si="103"/>
        <v>0.30461681330085333</v>
      </c>
      <c r="P1306" s="41">
        <f t="shared" si="104"/>
        <v>0.1536554694890267</v>
      </c>
    </row>
    <row r="1307" spans="1:16" ht="19.95" customHeight="1">
      <c r="A1307" s="49">
        <v>1355</v>
      </c>
      <c r="B1307" s="50" t="s">
        <v>614</v>
      </c>
      <c r="C1307" s="51" t="s">
        <v>16</v>
      </c>
      <c r="D1307" s="51" t="s">
        <v>465</v>
      </c>
      <c r="E1307" s="52">
        <v>1534615000</v>
      </c>
      <c r="F1307" s="52">
        <v>232600000</v>
      </c>
      <c r="G1307" s="52">
        <v>750292000</v>
      </c>
      <c r="H1307" s="52">
        <v>317263000</v>
      </c>
      <c r="I1307" s="52" t="s">
        <v>757</v>
      </c>
      <c r="J1307" s="51" t="s">
        <v>31</v>
      </c>
      <c r="K1307" s="51" t="s">
        <v>532</v>
      </c>
      <c r="L1307" s="41">
        <f t="shared" si="100"/>
        <v>1302015000</v>
      </c>
      <c r="M1307" s="41">
        <f t="shared" si="101"/>
        <v>1067555000</v>
      </c>
      <c r="N1307" s="41">
        <f t="shared" si="102"/>
        <v>234460000</v>
      </c>
      <c r="O1307" s="41">
        <f t="shared" si="103"/>
        <v>0.30434995096490003</v>
      </c>
      <c r="P1307" s="41">
        <f t="shared" si="104"/>
        <v>0.15278099067192749</v>
      </c>
    </row>
    <row r="1308" spans="1:16" ht="19.95" customHeight="1">
      <c r="A1308" s="49">
        <v>1356</v>
      </c>
      <c r="B1308" s="50" t="s">
        <v>614</v>
      </c>
      <c r="C1308" s="51" t="s">
        <v>18</v>
      </c>
      <c r="D1308" s="51" t="s">
        <v>151</v>
      </c>
      <c r="E1308" s="52">
        <v>1789489000</v>
      </c>
      <c r="F1308" s="52">
        <v>273199000</v>
      </c>
      <c r="G1308" s="52">
        <v>898440000</v>
      </c>
      <c r="H1308" s="52">
        <v>367856000</v>
      </c>
      <c r="I1308" s="52" t="s">
        <v>757</v>
      </c>
      <c r="J1308" s="51" t="s">
        <v>31</v>
      </c>
      <c r="K1308" s="51" t="s">
        <v>532</v>
      </c>
      <c r="L1308" s="41">
        <f t="shared" si="100"/>
        <v>1516290000</v>
      </c>
      <c r="M1308" s="41">
        <f t="shared" si="101"/>
        <v>1266296000</v>
      </c>
      <c r="N1308" s="41">
        <f t="shared" si="102"/>
        <v>249994000</v>
      </c>
      <c r="O1308" s="41">
        <f t="shared" si="103"/>
        <v>0.29237005647981074</v>
      </c>
      <c r="P1308" s="41">
        <f t="shared" si="104"/>
        <v>0.13970133373270247</v>
      </c>
    </row>
    <row r="1309" spans="1:16" ht="19.95" customHeight="1">
      <c r="A1309" s="49">
        <v>1357</v>
      </c>
      <c r="B1309" s="50" t="s">
        <v>614</v>
      </c>
      <c r="C1309" s="51" t="s">
        <v>20</v>
      </c>
      <c r="D1309" s="51" t="s">
        <v>466</v>
      </c>
      <c r="E1309" s="52">
        <v>2052230000</v>
      </c>
      <c r="F1309" s="52">
        <v>309629000</v>
      </c>
      <c r="G1309" s="52">
        <v>1041231000</v>
      </c>
      <c r="H1309" s="52">
        <v>413322000</v>
      </c>
      <c r="I1309" s="52" t="s">
        <v>757</v>
      </c>
      <c r="J1309" s="51" t="s">
        <v>31</v>
      </c>
      <c r="K1309" s="51" t="s">
        <v>532</v>
      </c>
      <c r="L1309" s="41">
        <f t="shared" si="100"/>
        <v>1742601000</v>
      </c>
      <c r="M1309" s="41">
        <f t="shared" si="101"/>
        <v>1454553000</v>
      </c>
      <c r="N1309" s="41">
        <f t="shared" si="102"/>
        <v>288048000</v>
      </c>
      <c r="O1309" s="41">
        <f t="shared" si="103"/>
        <v>0.29123295147230088</v>
      </c>
      <c r="P1309" s="41">
        <f t="shared" si="104"/>
        <v>0.14035853681117613</v>
      </c>
    </row>
    <row r="1310" spans="1:16" ht="19.95" customHeight="1">
      <c r="A1310" s="49">
        <v>1358</v>
      </c>
      <c r="B1310" s="50" t="s">
        <v>615</v>
      </c>
      <c r="C1310" s="51" t="s">
        <v>11</v>
      </c>
      <c r="D1310" s="51" t="s">
        <v>469</v>
      </c>
      <c r="E1310" s="52">
        <v>6945000000</v>
      </c>
      <c r="F1310" s="52">
        <v>2789000000</v>
      </c>
      <c r="G1310" s="52">
        <v>2971000000</v>
      </c>
      <c r="H1310" s="52" t="s">
        <v>757</v>
      </c>
      <c r="I1310" s="52">
        <v>27000000</v>
      </c>
      <c r="J1310" s="51" t="s">
        <v>24</v>
      </c>
      <c r="K1310" s="51" t="s">
        <v>391</v>
      </c>
      <c r="L1310" s="41">
        <f t="shared" si="100"/>
        <v>4156000000</v>
      </c>
      <c r="M1310" s="41">
        <f t="shared" si="101"/>
        <v>2998000000</v>
      </c>
      <c r="N1310" s="41">
        <f t="shared" si="102"/>
        <v>1158000000</v>
      </c>
      <c r="O1310" s="41">
        <f t="shared" si="103"/>
        <v>0.5683225341972642</v>
      </c>
      <c r="P1310" s="41">
        <f t="shared" si="104"/>
        <v>0.16673866090712744</v>
      </c>
    </row>
    <row r="1311" spans="1:16" ht="19.95" customHeight="1">
      <c r="A1311" s="49">
        <v>1359</v>
      </c>
      <c r="B1311" s="50" t="s">
        <v>615</v>
      </c>
      <c r="C1311" s="51" t="s">
        <v>16</v>
      </c>
      <c r="D1311" s="51" t="s">
        <v>470</v>
      </c>
      <c r="E1311" s="52">
        <v>7450000000</v>
      </c>
      <c r="F1311" s="52">
        <v>3140000000</v>
      </c>
      <c r="G1311" s="52">
        <v>3142000000</v>
      </c>
      <c r="H1311" s="52" t="s">
        <v>757</v>
      </c>
      <c r="I1311" s="52">
        <v>35000000</v>
      </c>
      <c r="J1311" s="51" t="s">
        <v>24</v>
      </c>
      <c r="K1311" s="51" t="s">
        <v>391</v>
      </c>
      <c r="L1311" s="41">
        <f t="shared" si="100"/>
        <v>4310000000</v>
      </c>
      <c r="M1311" s="41">
        <f t="shared" si="101"/>
        <v>3177000000</v>
      </c>
      <c r="N1311" s="41">
        <f t="shared" si="102"/>
        <v>1133000000</v>
      </c>
      <c r="O1311" s="41">
        <f t="shared" si="103"/>
        <v>0.57355704697986576</v>
      </c>
      <c r="P1311" s="41">
        <f t="shared" si="104"/>
        <v>0.15208053691275167</v>
      </c>
    </row>
    <row r="1312" spans="1:16" ht="19.95" customHeight="1">
      <c r="A1312" s="49">
        <v>1360</v>
      </c>
      <c r="B1312" s="50" t="s">
        <v>615</v>
      </c>
      <c r="C1312" s="51" t="s">
        <v>18</v>
      </c>
      <c r="D1312" s="51" t="s">
        <v>471</v>
      </c>
      <c r="E1312" s="52">
        <v>7620000000</v>
      </c>
      <c r="F1312" s="52">
        <v>3242000000</v>
      </c>
      <c r="G1312" s="52">
        <v>3301000000</v>
      </c>
      <c r="H1312" s="52" t="s">
        <v>757</v>
      </c>
      <c r="I1312" s="52">
        <v>25000000</v>
      </c>
      <c r="J1312" s="51" t="s">
        <v>24</v>
      </c>
      <c r="K1312" s="51" t="s">
        <v>391</v>
      </c>
      <c r="L1312" s="41">
        <f t="shared" si="100"/>
        <v>4378000000</v>
      </c>
      <c r="M1312" s="41">
        <f t="shared" si="101"/>
        <v>3326000000</v>
      </c>
      <c r="N1312" s="41">
        <f t="shared" si="102"/>
        <v>1052000000</v>
      </c>
      <c r="O1312" s="41">
        <f t="shared" si="103"/>
        <v>0.56351706036745408</v>
      </c>
      <c r="P1312" s="41">
        <f t="shared" si="104"/>
        <v>0.13805774278215224</v>
      </c>
    </row>
    <row r="1313" spans="1:16" ht="19.95" customHeight="1">
      <c r="A1313" s="49">
        <v>1361</v>
      </c>
      <c r="B1313" s="50" t="s">
        <v>615</v>
      </c>
      <c r="C1313" s="51" t="s">
        <v>20</v>
      </c>
      <c r="D1313" s="51" t="s">
        <v>472</v>
      </c>
      <c r="E1313" s="52">
        <v>7405000000</v>
      </c>
      <c r="F1313" s="52">
        <v>3218000000</v>
      </c>
      <c r="G1313" s="52">
        <v>3389000000</v>
      </c>
      <c r="H1313" s="52" t="s">
        <v>757</v>
      </c>
      <c r="I1313" s="52">
        <v>24000000</v>
      </c>
      <c r="J1313" s="51" t="s">
        <v>24</v>
      </c>
      <c r="K1313" s="51" t="s">
        <v>391</v>
      </c>
      <c r="L1313" s="41">
        <f t="shared" si="100"/>
        <v>4187000000</v>
      </c>
      <c r="M1313" s="41">
        <f t="shared" si="101"/>
        <v>3413000000</v>
      </c>
      <c r="N1313" s="41">
        <f t="shared" si="102"/>
        <v>774000000</v>
      </c>
      <c r="O1313" s="41">
        <f t="shared" si="103"/>
        <v>0.53909520594193117</v>
      </c>
      <c r="P1313" s="41">
        <f t="shared" si="104"/>
        <v>0.10452397029034437</v>
      </c>
    </row>
    <row r="1314" spans="1:16" ht="19.95" customHeight="1">
      <c r="A1314" s="49">
        <v>1362</v>
      </c>
      <c r="B1314" s="50" t="s">
        <v>616</v>
      </c>
      <c r="C1314" s="51" t="s">
        <v>11</v>
      </c>
      <c r="D1314" s="51" t="s">
        <v>40</v>
      </c>
      <c r="E1314" s="52">
        <v>6351900000</v>
      </c>
      <c r="F1314" s="52">
        <v>3778100000</v>
      </c>
      <c r="G1314" s="52">
        <v>1537700000</v>
      </c>
      <c r="H1314" s="52" t="s">
        <v>757</v>
      </c>
      <c r="I1314" s="52" t="s">
        <v>757</v>
      </c>
      <c r="J1314" s="51" t="s">
        <v>14</v>
      </c>
      <c r="K1314" s="51" t="s">
        <v>224</v>
      </c>
      <c r="L1314" s="41">
        <f t="shared" si="100"/>
        <v>2573800000</v>
      </c>
      <c r="M1314" s="41">
        <f t="shared" si="101"/>
        <v>1537700000</v>
      </c>
      <c r="N1314" s="41">
        <f t="shared" si="102"/>
        <v>1036100000</v>
      </c>
      <c r="O1314" s="41">
        <f t="shared" si="103"/>
        <v>0.75791495458051927</v>
      </c>
      <c r="P1314" s="41">
        <f t="shared" si="104"/>
        <v>0.16311654780459389</v>
      </c>
    </row>
    <row r="1315" spans="1:16" ht="19.95" customHeight="1">
      <c r="A1315" s="49">
        <v>1363</v>
      </c>
      <c r="B1315" s="50" t="s">
        <v>616</v>
      </c>
      <c r="C1315" s="51" t="s">
        <v>16</v>
      </c>
      <c r="D1315" s="51" t="s">
        <v>42</v>
      </c>
      <c r="E1315" s="52">
        <v>6623500000</v>
      </c>
      <c r="F1315" s="52">
        <v>3869600000</v>
      </c>
      <c r="G1315" s="52">
        <v>1570100000</v>
      </c>
      <c r="H1315" s="52" t="s">
        <v>757</v>
      </c>
      <c r="I1315" s="52" t="s">
        <v>757</v>
      </c>
      <c r="J1315" s="51" t="s">
        <v>14</v>
      </c>
      <c r="K1315" s="51" t="s">
        <v>224</v>
      </c>
      <c r="L1315" s="41">
        <f t="shared" si="100"/>
        <v>2753900000</v>
      </c>
      <c r="M1315" s="41">
        <f t="shared" si="101"/>
        <v>1570100000</v>
      </c>
      <c r="N1315" s="41">
        <f t="shared" si="102"/>
        <v>1183800000</v>
      </c>
      <c r="O1315" s="41">
        <f t="shared" si="103"/>
        <v>0.76295010190986634</v>
      </c>
      <c r="P1315" s="41">
        <f t="shared" si="104"/>
        <v>0.1787272590020382</v>
      </c>
    </row>
    <row r="1316" spans="1:16" ht="19.95" customHeight="1">
      <c r="A1316" s="49">
        <v>1364</v>
      </c>
      <c r="B1316" s="50" t="s">
        <v>616</v>
      </c>
      <c r="C1316" s="51" t="s">
        <v>18</v>
      </c>
      <c r="D1316" s="51" t="s">
        <v>43</v>
      </c>
      <c r="E1316" s="52">
        <v>6307900000</v>
      </c>
      <c r="F1316" s="52">
        <v>3604800000</v>
      </c>
      <c r="G1316" s="52">
        <v>1506400000</v>
      </c>
      <c r="H1316" s="52" t="s">
        <v>757</v>
      </c>
      <c r="I1316" s="52" t="s">
        <v>757</v>
      </c>
      <c r="J1316" s="51" t="s">
        <v>14</v>
      </c>
      <c r="K1316" s="51" t="s">
        <v>224</v>
      </c>
      <c r="L1316" s="41">
        <f t="shared" si="100"/>
        <v>2703100000</v>
      </c>
      <c r="M1316" s="41">
        <f t="shared" si="101"/>
        <v>1506400000</v>
      </c>
      <c r="N1316" s="41">
        <f t="shared" si="102"/>
        <v>1196700000</v>
      </c>
      <c r="O1316" s="41">
        <f t="shared" si="103"/>
        <v>0.76118835111526817</v>
      </c>
      <c r="P1316" s="41">
        <f t="shared" si="104"/>
        <v>0.18971448501085938</v>
      </c>
    </row>
    <row r="1317" spans="1:16" ht="19.95" customHeight="1">
      <c r="A1317" s="49">
        <v>1365</v>
      </c>
      <c r="B1317" s="50" t="s">
        <v>616</v>
      </c>
      <c r="C1317" s="51" t="s">
        <v>20</v>
      </c>
      <c r="D1317" s="51" t="s">
        <v>44</v>
      </c>
      <c r="E1317" s="52">
        <v>5879500000</v>
      </c>
      <c r="F1317" s="52">
        <v>3404000000</v>
      </c>
      <c r="G1317" s="52">
        <v>1467400000</v>
      </c>
      <c r="H1317" s="52" t="s">
        <v>757</v>
      </c>
      <c r="I1317" s="52" t="s">
        <v>757</v>
      </c>
      <c r="J1317" s="51" t="s">
        <v>14</v>
      </c>
      <c r="K1317" s="51" t="s">
        <v>224</v>
      </c>
      <c r="L1317" s="41">
        <f t="shared" si="100"/>
        <v>2475500000</v>
      </c>
      <c r="M1317" s="41">
        <f t="shared" si="101"/>
        <v>1467400000</v>
      </c>
      <c r="N1317" s="41">
        <f t="shared" si="102"/>
        <v>1008100000</v>
      </c>
      <c r="O1317" s="41">
        <f t="shared" si="103"/>
        <v>0.75042095416276888</v>
      </c>
      <c r="P1317" s="41">
        <f t="shared" si="104"/>
        <v>0.1714601581767157</v>
      </c>
    </row>
    <row r="1318" spans="1:16" ht="19.95" customHeight="1">
      <c r="A1318" s="49">
        <v>1366</v>
      </c>
      <c r="B1318" s="50" t="s">
        <v>617</v>
      </c>
      <c r="C1318" s="51" t="s">
        <v>11</v>
      </c>
      <c r="D1318" s="51" t="s">
        <v>12</v>
      </c>
      <c r="E1318" s="52">
        <v>2993489000</v>
      </c>
      <c r="F1318" s="52">
        <v>1321772000</v>
      </c>
      <c r="G1318" s="52">
        <v>914130000</v>
      </c>
      <c r="H1318" s="52" t="s">
        <v>757</v>
      </c>
      <c r="I1318" s="52" t="s">
        <v>757</v>
      </c>
      <c r="J1318" s="51" t="s">
        <v>14</v>
      </c>
      <c r="K1318" s="51" t="s">
        <v>224</v>
      </c>
      <c r="L1318" s="41">
        <f t="shared" si="100"/>
        <v>1671717000</v>
      </c>
      <c r="M1318" s="41">
        <f t="shared" si="101"/>
        <v>914130000</v>
      </c>
      <c r="N1318" s="41">
        <f t="shared" si="102"/>
        <v>757587000</v>
      </c>
      <c r="O1318" s="41">
        <f t="shared" si="103"/>
        <v>0.69462723931840076</v>
      </c>
      <c r="P1318" s="41">
        <f t="shared" si="104"/>
        <v>0.25307826419271962</v>
      </c>
    </row>
    <row r="1319" spans="1:16" ht="19.95" customHeight="1">
      <c r="A1319" s="49">
        <v>1367</v>
      </c>
      <c r="B1319" s="50" t="s">
        <v>617</v>
      </c>
      <c r="C1319" s="51" t="s">
        <v>16</v>
      </c>
      <c r="D1319" s="51" t="s">
        <v>17</v>
      </c>
      <c r="E1319" s="52">
        <v>3238128000</v>
      </c>
      <c r="F1319" s="52">
        <v>1355200000</v>
      </c>
      <c r="G1319" s="52">
        <v>1040567000</v>
      </c>
      <c r="H1319" s="52" t="s">
        <v>757</v>
      </c>
      <c r="I1319" s="52" t="s">
        <v>757</v>
      </c>
      <c r="J1319" s="51" t="s">
        <v>14</v>
      </c>
      <c r="K1319" s="51" t="s">
        <v>224</v>
      </c>
      <c r="L1319" s="41">
        <f t="shared" si="100"/>
        <v>1882928000</v>
      </c>
      <c r="M1319" s="41">
        <f t="shared" si="101"/>
        <v>1040567000</v>
      </c>
      <c r="N1319" s="41">
        <f t="shared" si="102"/>
        <v>842361000</v>
      </c>
      <c r="O1319" s="41">
        <f t="shared" si="103"/>
        <v>0.67865167775949553</v>
      </c>
      <c r="P1319" s="41">
        <f t="shared" si="104"/>
        <v>0.26013826507167104</v>
      </c>
    </row>
    <row r="1320" spans="1:16" ht="19.95" customHeight="1">
      <c r="A1320" s="49">
        <v>1368</v>
      </c>
      <c r="B1320" s="50" t="s">
        <v>617</v>
      </c>
      <c r="C1320" s="51" t="s">
        <v>18</v>
      </c>
      <c r="D1320" s="51" t="s">
        <v>19</v>
      </c>
      <c r="E1320" s="52">
        <v>3549494000</v>
      </c>
      <c r="F1320" s="52">
        <v>1447595000</v>
      </c>
      <c r="G1320" s="52">
        <v>1102426000</v>
      </c>
      <c r="H1320" s="52" t="s">
        <v>757</v>
      </c>
      <c r="I1320" s="52" t="s">
        <v>757</v>
      </c>
      <c r="J1320" s="51" t="s">
        <v>14</v>
      </c>
      <c r="K1320" s="51" t="s">
        <v>224</v>
      </c>
      <c r="L1320" s="41">
        <f t="shared" si="100"/>
        <v>2101899000</v>
      </c>
      <c r="M1320" s="41">
        <f t="shared" si="101"/>
        <v>1102426000</v>
      </c>
      <c r="N1320" s="41">
        <f t="shared" si="102"/>
        <v>999473000</v>
      </c>
      <c r="O1320" s="41">
        <f t="shared" si="103"/>
        <v>0.6894131952328979</v>
      </c>
      <c r="P1320" s="41">
        <f t="shared" si="104"/>
        <v>0.28158182546582694</v>
      </c>
    </row>
    <row r="1321" spans="1:16" ht="19.95" customHeight="1">
      <c r="A1321" s="49">
        <v>1369</v>
      </c>
      <c r="B1321" s="50" t="s">
        <v>617</v>
      </c>
      <c r="C1321" s="51" t="s">
        <v>20</v>
      </c>
      <c r="D1321" s="51" t="s">
        <v>21</v>
      </c>
      <c r="E1321" s="52">
        <v>3582395000</v>
      </c>
      <c r="F1321" s="52">
        <v>1417749000</v>
      </c>
      <c r="G1321" s="52">
        <v>1136728000</v>
      </c>
      <c r="H1321" s="52" t="s">
        <v>757</v>
      </c>
      <c r="I1321" s="52" t="s">
        <v>757</v>
      </c>
      <c r="J1321" s="51" t="s">
        <v>14</v>
      </c>
      <c r="K1321" s="51" t="s">
        <v>224</v>
      </c>
      <c r="L1321" s="41">
        <f t="shared" si="100"/>
        <v>2164646000</v>
      </c>
      <c r="M1321" s="41">
        <f t="shared" si="101"/>
        <v>1136728000</v>
      </c>
      <c r="N1321" s="41">
        <f t="shared" si="102"/>
        <v>1027918000</v>
      </c>
      <c r="O1321" s="41">
        <f t="shared" si="103"/>
        <v>0.68269049057962627</v>
      </c>
      <c r="P1321" s="41">
        <f t="shared" si="104"/>
        <v>0.28693597439701651</v>
      </c>
    </row>
    <row r="1322" spans="1:16" ht="19.95" customHeight="1">
      <c r="A1322" s="49">
        <v>1370</v>
      </c>
      <c r="B1322" s="50" t="s">
        <v>618</v>
      </c>
      <c r="C1322" s="51" t="s">
        <v>11</v>
      </c>
      <c r="D1322" s="51" t="s">
        <v>302</v>
      </c>
      <c r="E1322" s="52">
        <v>9721065000</v>
      </c>
      <c r="F1322" s="52">
        <v>7011428000</v>
      </c>
      <c r="G1322" s="52">
        <v>1437886000</v>
      </c>
      <c r="H1322" s="52" t="s">
        <v>757</v>
      </c>
      <c r="I1322" s="52" t="s">
        <v>757</v>
      </c>
      <c r="J1322" s="51" t="s">
        <v>24</v>
      </c>
      <c r="K1322" s="51" t="s">
        <v>354</v>
      </c>
      <c r="L1322" s="41">
        <f t="shared" si="100"/>
        <v>2709637000</v>
      </c>
      <c r="M1322" s="41">
        <f t="shared" si="101"/>
        <v>1437886000</v>
      </c>
      <c r="N1322" s="41">
        <f t="shared" si="102"/>
        <v>1271751000</v>
      </c>
      <c r="O1322" s="41">
        <f t="shared" si="103"/>
        <v>0.85208554823982763</v>
      </c>
      <c r="P1322" s="41">
        <f t="shared" si="104"/>
        <v>0.13082424610883683</v>
      </c>
    </row>
    <row r="1323" spans="1:16" ht="19.95" customHeight="1">
      <c r="A1323" s="49">
        <v>1371</v>
      </c>
      <c r="B1323" s="50" t="s">
        <v>618</v>
      </c>
      <c r="C1323" s="51" t="s">
        <v>16</v>
      </c>
      <c r="D1323" s="51" t="s">
        <v>157</v>
      </c>
      <c r="E1323" s="52">
        <v>10230353000</v>
      </c>
      <c r="F1323" s="52">
        <v>7360924000</v>
      </c>
      <c r="G1323" s="52">
        <v>1526366000</v>
      </c>
      <c r="H1323" s="52" t="s">
        <v>757</v>
      </c>
      <c r="I1323" s="52" t="s">
        <v>757</v>
      </c>
      <c r="J1323" s="51" t="s">
        <v>24</v>
      </c>
      <c r="K1323" s="51" t="s">
        <v>354</v>
      </c>
      <c r="L1323" s="41">
        <f t="shared" si="100"/>
        <v>2869429000</v>
      </c>
      <c r="M1323" s="41">
        <f t="shared" si="101"/>
        <v>1526366000</v>
      </c>
      <c r="N1323" s="41">
        <f t="shared" si="102"/>
        <v>1343063000</v>
      </c>
      <c r="O1323" s="41">
        <f t="shared" si="103"/>
        <v>0.85080026075346571</v>
      </c>
      <c r="P1323" s="41">
        <f t="shared" si="104"/>
        <v>0.13128217569814063</v>
      </c>
    </row>
    <row r="1324" spans="1:16" ht="19.95" customHeight="1">
      <c r="A1324" s="49">
        <v>1372</v>
      </c>
      <c r="B1324" s="50" t="s">
        <v>618</v>
      </c>
      <c r="C1324" s="51" t="s">
        <v>18</v>
      </c>
      <c r="D1324" s="51" t="s">
        <v>67</v>
      </c>
      <c r="E1324" s="52">
        <v>11041677000</v>
      </c>
      <c r="F1324" s="52">
        <v>7937956000</v>
      </c>
      <c r="G1324" s="52">
        <v>1615371000</v>
      </c>
      <c r="H1324" s="52" t="s">
        <v>757</v>
      </c>
      <c r="I1324" s="52" t="s">
        <v>757</v>
      </c>
      <c r="J1324" s="51" t="s">
        <v>24</v>
      </c>
      <c r="K1324" s="51" t="s">
        <v>354</v>
      </c>
      <c r="L1324" s="41">
        <f t="shared" si="100"/>
        <v>3103721000</v>
      </c>
      <c r="M1324" s="41">
        <f t="shared" si="101"/>
        <v>1615371000</v>
      </c>
      <c r="N1324" s="41">
        <f t="shared" si="102"/>
        <v>1488350000</v>
      </c>
      <c r="O1324" s="41">
        <f t="shared" si="103"/>
        <v>0.85370238596908787</v>
      </c>
      <c r="P1324" s="41">
        <f t="shared" si="104"/>
        <v>0.13479383611746656</v>
      </c>
    </row>
    <row r="1325" spans="1:16" ht="19.95" customHeight="1">
      <c r="A1325" s="49">
        <v>1373</v>
      </c>
      <c r="B1325" s="50" t="s">
        <v>618</v>
      </c>
      <c r="C1325" s="51" t="s">
        <v>20</v>
      </c>
      <c r="D1325" s="51" t="s">
        <v>158</v>
      </c>
      <c r="E1325" s="52">
        <v>11939999000</v>
      </c>
      <c r="F1325" s="52">
        <v>8576873000</v>
      </c>
      <c r="G1325" s="52">
        <v>1738755000</v>
      </c>
      <c r="H1325" s="52" t="s">
        <v>757</v>
      </c>
      <c r="I1325" s="52" t="s">
        <v>757</v>
      </c>
      <c r="J1325" s="51" t="s">
        <v>24</v>
      </c>
      <c r="K1325" s="51" t="s">
        <v>354</v>
      </c>
      <c r="L1325" s="41">
        <f t="shared" si="100"/>
        <v>3363126000</v>
      </c>
      <c r="M1325" s="41">
        <f t="shared" si="101"/>
        <v>1738755000</v>
      </c>
      <c r="N1325" s="41">
        <f t="shared" si="102"/>
        <v>1624371000</v>
      </c>
      <c r="O1325" s="41">
        <f t="shared" si="103"/>
        <v>0.8543756159443564</v>
      </c>
      <c r="P1325" s="41">
        <f t="shared" si="104"/>
        <v>0.1360444837558194</v>
      </c>
    </row>
    <row r="1326" spans="1:16" ht="19.95" customHeight="1">
      <c r="A1326" s="49">
        <v>1374</v>
      </c>
      <c r="B1326" s="50" t="s">
        <v>619</v>
      </c>
      <c r="C1326" s="51" t="s">
        <v>11</v>
      </c>
      <c r="D1326" s="51" t="s">
        <v>12</v>
      </c>
      <c r="E1326" s="52">
        <v>1367135000</v>
      </c>
      <c r="F1326" s="52">
        <v>328784000</v>
      </c>
      <c r="G1326" s="52">
        <v>248136000</v>
      </c>
      <c r="H1326" s="52" t="s">
        <v>757</v>
      </c>
      <c r="I1326" s="52">
        <v>445228000</v>
      </c>
      <c r="J1326" s="51" t="s">
        <v>116</v>
      </c>
      <c r="K1326" s="51" t="s">
        <v>117</v>
      </c>
      <c r="L1326" s="41">
        <f t="shared" si="100"/>
        <v>1038351000</v>
      </c>
      <c r="M1326" s="41">
        <f t="shared" si="101"/>
        <v>693364000</v>
      </c>
      <c r="N1326" s="41">
        <f t="shared" si="102"/>
        <v>344987000</v>
      </c>
      <c r="O1326" s="41">
        <f t="shared" si="103"/>
        <v>0.49283428483653768</v>
      </c>
      <c r="P1326" s="41">
        <f t="shared" si="104"/>
        <v>0.25234303854410867</v>
      </c>
    </row>
    <row r="1327" spans="1:16" ht="19.95" customHeight="1">
      <c r="A1327" s="53">
        <v>1375</v>
      </c>
      <c r="B1327" s="54" t="s">
        <v>619</v>
      </c>
      <c r="C1327" s="55" t="s">
        <v>16</v>
      </c>
      <c r="D1327" s="55" t="s">
        <v>17</v>
      </c>
      <c r="E1327" s="56">
        <v>1832253000</v>
      </c>
      <c r="F1327" s="56">
        <v>516119000</v>
      </c>
      <c r="G1327" s="56">
        <v>391707000</v>
      </c>
      <c r="H1327" s="56" t="s">
        <v>757</v>
      </c>
      <c r="I1327" s="56">
        <v>492397000</v>
      </c>
      <c r="J1327" s="55" t="s">
        <v>116</v>
      </c>
      <c r="K1327" s="55" t="s">
        <v>117</v>
      </c>
      <c r="L1327" s="57">
        <f t="shared" si="100"/>
        <v>1316134000</v>
      </c>
      <c r="M1327" s="57">
        <f t="shared" si="101"/>
        <v>884104000</v>
      </c>
      <c r="N1327" s="57">
        <f t="shared" si="102"/>
        <v>432030000</v>
      </c>
      <c r="O1327" s="57">
        <f t="shared" si="103"/>
        <v>0.51747711697020016</v>
      </c>
      <c r="P1327" s="57">
        <f t="shared" si="104"/>
        <v>0.23579167287487043</v>
      </c>
    </row>
    <row r="1328" spans="1:16" ht="19.95" customHeight="1">
      <c r="A1328" s="49">
        <v>1376</v>
      </c>
      <c r="B1328" s="50" t="s">
        <v>619</v>
      </c>
      <c r="C1328" s="51" t="s">
        <v>18</v>
      </c>
      <c r="D1328" s="51" t="s">
        <v>19</v>
      </c>
      <c r="E1328" s="52">
        <v>2042537000</v>
      </c>
      <c r="F1328" s="52">
        <v>605752000</v>
      </c>
      <c r="G1328" s="52">
        <v>191802000</v>
      </c>
      <c r="H1328" s="52" t="s">
        <v>757</v>
      </c>
      <c r="I1328" s="52">
        <v>551032000</v>
      </c>
      <c r="J1328" s="51" t="s">
        <v>116</v>
      </c>
      <c r="K1328" s="51" t="s">
        <v>117</v>
      </c>
      <c r="L1328" s="41">
        <f t="shared" si="100"/>
        <v>1436785000</v>
      </c>
      <c r="M1328" s="41">
        <f t="shared" si="101"/>
        <v>742834000</v>
      </c>
      <c r="N1328" s="41">
        <f t="shared" si="102"/>
        <v>693951000</v>
      </c>
      <c r="O1328" s="41">
        <f t="shared" si="103"/>
        <v>0.63631797122891776</v>
      </c>
      <c r="P1328" s="41">
        <f t="shared" si="104"/>
        <v>0.33974953697289206</v>
      </c>
    </row>
    <row r="1329" spans="1:16" ht="19.95" customHeight="1">
      <c r="A1329" s="49">
        <v>1377</v>
      </c>
      <c r="B1329" s="50" t="s">
        <v>619</v>
      </c>
      <c r="C1329" s="51" t="s">
        <v>20</v>
      </c>
      <c r="D1329" s="51" t="s">
        <v>21</v>
      </c>
      <c r="E1329" s="52">
        <v>1181704000</v>
      </c>
      <c r="F1329" s="52">
        <v>648968000</v>
      </c>
      <c r="G1329" s="52">
        <v>165318000</v>
      </c>
      <c r="H1329" s="52" t="s">
        <v>757</v>
      </c>
      <c r="I1329" s="52">
        <v>581155000</v>
      </c>
      <c r="J1329" s="51" t="s">
        <v>116</v>
      </c>
      <c r="K1329" s="51" t="s">
        <v>117</v>
      </c>
      <c r="L1329" s="41">
        <f t="shared" si="100"/>
        <v>532736000</v>
      </c>
      <c r="M1329" s="41">
        <f t="shared" si="101"/>
        <v>746473000</v>
      </c>
      <c r="N1329" s="41">
        <f t="shared" si="102"/>
        <v>-213737000</v>
      </c>
      <c r="O1329" s="41">
        <f t="shared" si="103"/>
        <v>0.36830796883145023</v>
      </c>
      <c r="P1329" s="41">
        <f t="shared" si="104"/>
        <v>-0.18087185961966787</v>
      </c>
    </row>
    <row r="1330" spans="1:16" ht="19.95" customHeight="1">
      <c r="A1330" s="49">
        <v>1378</v>
      </c>
      <c r="B1330" s="50" t="s">
        <v>620</v>
      </c>
      <c r="C1330" s="51" t="s">
        <v>11</v>
      </c>
      <c r="D1330" s="51" t="s">
        <v>17</v>
      </c>
      <c r="E1330" s="52">
        <v>8417200000</v>
      </c>
      <c r="F1330" s="52">
        <v>5234700000</v>
      </c>
      <c r="G1330" s="52">
        <v>1088100000</v>
      </c>
      <c r="H1330" s="52" t="s">
        <v>757</v>
      </c>
      <c r="I1330" s="52">
        <v>877400000</v>
      </c>
      <c r="J1330" s="51" t="s">
        <v>14</v>
      </c>
      <c r="K1330" s="51" t="s">
        <v>224</v>
      </c>
      <c r="L1330" s="41">
        <f t="shared" si="100"/>
        <v>3182500000</v>
      </c>
      <c r="M1330" s="41">
        <f t="shared" si="101"/>
        <v>1965500000</v>
      </c>
      <c r="N1330" s="41">
        <f t="shared" si="102"/>
        <v>1217000000</v>
      </c>
      <c r="O1330" s="41">
        <f t="shared" si="103"/>
        <v>0.76649004419521938</v>
      </c>
      <c r="P1330" s="41">
        <f t="shared" si="104"/>
        <v>0.14458489759064772</v>
      </c>
    </row>
    <row r="1331" spans="1:16" ht="19.95" customHeight="1">
      <c r="A1331" s="49">
        <v>1379</v>
      </c>
      <c r="B1331" s="50" t="s">
        <v>620</v>
      </c>
      <c r="C1331" s="51" t="s">
        <v>16</v>
      </c>
      <c r="D1331" s="51" t="s">
        <v>19</v>
      </c>
      <c r="E1331" s="52">
        <v>8803300000</v>
      </c>
      <c r="F1331" s="52">
        <v>5643100000</v>
      </c>
      <c r="G1331" s="52">
        <v>998400000</v>
      </c>
      <c r="H1331" s="52" t="s">
        <v>757</v>
      </c>
      <c r="I1331" s="52">
        <v>906900000</v>
      </c>
      <c r="J1331" s="51" t="s">
        <v>14</v>
      </c>
      <c r="K1331" s="51" t="s">
        <v>224</v>
      </c>
      <c r="L1331" s="41">
        <f t="shared" si="100"/>
        <v>3160200000</v>
      </c>
      <c r="M1331" s="41">
        <f t="shared" si="101"/>
        <v>1905300000</v>
      </c>
      <c r="N1331" s="41">
        <f t="shared" si="102"/>
        <v>1254900000</v>
      </c>
      <c r="O1331" s="41">
        <f t="shared" si="103"/>
        <v>0.78356979768950286</v>
      </c>
      <c r="P1331" s="41">
        <f t="shared" si="104"/>
        <v>0.14254881692092738</v>
      </c>
    </row>
    <row r="1332" spans="1:16" ht="19.95" customHeight="1">
      <c r="A1332" s="49">
        <v>1380</v>
      </c>
      <c r="B1332" s="50" t="s">
        <v>620</v>
      </c>
      <c r="C1332" s="51" t="s">
        <v>18</v>
      </c>
      <c r="D1332" s="51" t="s">
        <v>21</v>
      </c>
      <c r="E1332" s="52">
        <v>9115000000</v>
      </c>
      <c r="F1332" s="52">
        <v>5518600000</v>
      </c>
      <c r="G1332" s="52">
        <v>1067000000</v>
      </c>
      <c r="H1332" s="52" t="s">
        <v>757</v>
      </c>
      <c r="I1332" s="52">
        <v>970600000</v>
      </c>
      <c r="J1332" s="51" t="s">
        <v>14</v>
      </c>
      <c r="K1332" s="51" t="s">
        <v>224</v>
      </c>
      <c r="L1332" s="41">
        <f t="shared" si="100"/>
        <v>3596400000</v>
      </c>
      <c r="M1332" s="41">
        <f t="shared" si="101"/>
        <v>2037600000</v>
      </c>
      <c r="N1332" s="41">
        <f t="shared" si="102"/>
        <v>1558800000</v>
      </c>
      <c r="O1332" s="41">
        <f t="shared" si="103"/>
        <v>0.77645639056500271</v>
      </c>
      <c r="P1332" s="41">
        <f t="shared" si="104"/>
        <v>0.17101481075150851</v>
      </c>
    </row>
    <row r="1333" spans="1:16" ht="19.95" customHeight="1">
      <c r="A1333" s="49">
        <v>1381</v>
      </c>
      <c r="B1333" s="50" t="s">
        <v>620</v>
      </c>
      <c r="C1333" s="51" t="s">
        <v>20</v>
      </c>
      <c r="D1333" s="51" t="s">
        <v>84</v>
      </c>
      <c r="E1333" s="52">
        <v>9387700000</v>
      </c>
      <c r="F1333" s="52">
        <v>5764000000</v>
      </c>
      <c r="G1333" s="52">
        <v>1054500000</v>
      </c>
      <c r="H1333" s="52" t="s">
        <v>757</v>
      </c>
      <c r="I1333" s="52">
        <v>991100000</v>
      </c>
      <c r="J1333" s="51" t="s">
        <v>14</v>
      </c>
      <c r="K1333" s="51" t="s">
        <v>224</v>
      </c>
      <c r="L1333" s="41">
        <f t="shared" si="100"/>
        <v>3623700000</v>
      </c>
      <c r="M1333" s="41">
        <f t="shared" si="101"/>
        <v>2045600000</v>
      </c>
      <c r="N1333" s="41">
        <f t="shared" si="102"/>
        <v>1578100000</v>
      </c>
      <c r="O1333" s="41">
        <f t="shared" si="103"/>
        <v>0.78209785144391064</v>
      </c>
      <c r="P1333" s="41">
        <f t="shared" si="104"/>
        <v>0.16810294321292754</v>
      </c>
    </row>
    <row r="1334" spans="1:16" ht="19.95" customHeight="1">
      <c r="A1334" s="49">
        <v>1382</v>
      </c>
      <c r="B1334" s="50" t="s">
        <v>621</v>
      </c>
      <c r="C1334" s="51" t="s">
        <v>11</v>
      </c>
      <c r="D1334" s="51" t="s">
        <v>604</v>
      </c>
      <c r="E1334" s="52">
        <v>14866800000</v>
      </c>
      <c r="F1334" s="52">
        <v>6382300000</v>
      </c>
      <c r="G1334" s="52">
        <v>5655800000</v>
      </c>
      <c r="H1334" s="52" t="s">
        <v>757</v>
      </c>
      <c r="I1334" s="52">
        <v>621400000</v>
      </c>
      <c r="J1334" s="51" t="s">
        <v>24</v>
      </c>
      <c r="K1334" s="51" t="s">
        <v>215</v>
      </c>
      <c r="L1334" s="41">
        <f t="shared" si="100"/>
        <v>8484500000</v>
      </c>
      <c r="M1334" s="41">
        <f t="shared" si="101"/>
        <v>6277200000</v>
      </c>
      <c r="N1334" s="41">
        <f t="shared" si="102"/>
        <v>2207300000</v>
      </c>
      <c r="O1334" s="41">
        <f t="shared" si="103"/>
        <v>0.57777060295423355</v>
      </c>
      <c r="P1334" s="41">
        <f t="shared" si="104"/>
        <v>0.14847176258508893</v>
      </c>
    </row>
    <row r="1335" spans="1:16" ht="19.95" customHeight="1">
      <c r="A1335" s="49">
        <v>1383</v>
      </c>
      <c r="B1335" s="50" t="s">
        <v>621</v>
      </c>
      <c r="C1335" s="51" t="s">
        <v>16</v>
      </c>
      <c r="D1335" s="51" t="s">
        <v>605</v>
      </c>
      <c r="E1335" s="52">
        <v>16447800000</v>
      </c>
      <c r="F1335" s="52">
        <v>6858800000</v>
      </c>
      <c r="G1335" s="52">
        <v>6086800000</v>
      </c>
      <c r="H1335" s="52" t="s">
        <v>757</v>
      </c>
      <c r="I1335" s="52">
        <v>709600000</v>
      </c>
      <c r="J1335" s="51" t="s">
        <v>24</v>
      </c>
      <c r="K1335" s="51" t="s">
        <v>215</v>
      </c>
      <c r="L1335" s="41">
        <f t="shared" si="100"/>
        <v>9589000000</v>
      </c>
      <c r="M1335" s="41">
        <f t="shared" si="101"/>
        <v>6796400000</v>
      </c>
      <c r="N1335" s="41">
        <f t="shared" si="102"/>
        <v>2792600000</v>
      </c>
      <c r="O1335" s="41">
        <f t="shared" si="103"/>
        <v>0.58678972263767792</v>
      </c>
      <c r="P1335" s="41">
        <f t="shared" si="104"/>
        <v>0.1697856248252046</v>
      </c>
    </row>
    <row r="1336" spans="1:16" ht="19.95" customHeight="1">
      <c r="A1336" s="49">
        <v>1384</v>
      </c>
      <c r="B1336" s="50" t="s">
        <v>621</v>
      </c>
      <c r="C1336" s="51" t="s">
        <v>18</v>
      </c>
      <c r="D1336" s="51" t="s">
        <v>606</v>
      </c>
      <c r="E1336" s="52">
        <v>19162700000</v>
      </c>
      <c r="F1336" s="52">
        <v>7787500000</v>
      </c>
      <c r="G1336" s="52">
        <v>7130200000</v>
      </c>
      <c r="H1336" s="52" t="s">
        <v>757</v>
      </c>
      <c r="I1336" s="52">
        <v>893900000</v>
      </c>
      <c r="J1336" s="51" t="s">
        <v>24</v>
      </c>
      <c r="K1336" s="51" t="s">
        <v>215</v>
      </c>
      <c r="L1336" s="41">
        <f t="shared" si="100"/>
        <v>11375200000</v>
      </c>
      <c r="M1336" s="41">
        <f t="shared" si="101"/>
        <v>8024100000</v>
      </c>
      <c r="N1336" s="41">
        <f t="shared" si="102"/>
        <v>3351100000</v>
      </c>
      <c r="O1336" s="41">
        <f t="shared" si="103"/>
        <v>0.5812646443350884</v>
      </c>
      <c r="P1336" s="41">
        <f t="shared" si="104"/>
        <v>0.17487619176838337</v>
      </c>
    </row>
    <row r="1337" spans="1:16" ht="19.95" customHeight="1">
      <c r="A1337" s="49">
        <v>1385</v>
      </c>
      <c r="B1337" s="50" t="s">
        <v>621</v>
      </c>
      <c r="C1337" s="51" t="s">
        <v>20</v>
      </c>
      <c r="D1337" s="51" t="s">
        <v>622</v>
      </c>
      <c r="E1337" s="52">
        <v>21315900000</v>
      </c>
      <c r="F1337" s="52">
        <v>8511100000</v>
      </c>
      <c r="G1337" s="52">
        <v>7970300000</v>
      </c>
      <c r="H1337" s="52" t="s">
        <v>757</v>
      </c>
      <c r="I1337" s="52">
        <v>980800000</v>
      </c>
      <c r="J1337" s="51" t="s">
        <v>24</v>
      </c>
      <c r="K1337" s="51" t="s">
        <v>215</v>
      </c>
      <c r="L1337" s="41">
        <f t="shared" si="100"/>
        <v>12804800000</v>
      </c>
      <c r="M1337" s="41">
        <f t="shared" si="101"/>
        <v>8951100000</v>
      </c>
      <c r="N1337" s="41">
        <f t="shared" si="102"/>
        <v>3853700000</v>
      </c>
      <c r="O1337" s="41">
        <f t="shared" si="103"/>
        <v>0.58007402924577423</v>
      </c>
      <c r="P1337" s="41">
        <f t="shared" si="104"/>
        <v>0.18078992676828096</v>
      </c>
    </row>
    <row r="1338" spans="1:16" ht="19.95" customHeight="1">
      <c r="A1338" s="49">
        <v>1386</v>
      </c>
      <c r="B1338" s="50" t="s">
        <v>623</v>
      </c>
      <c r="C1338" s="51" t="s">
        <v>11</v>
      </c>
      <c r="D1338" s="51" t="s">
        <v>12</v>
      </c>
      <c r="E1338" s="52">
        <v>4176000000</v>
      </c>
      <c r="F1338" s="52">
        <v>2754000000</v>
      </c>
      <c r="G1338" s="52">
        <v>207000000</v>
      </c>
      <c r="H1338" s="52" t="s">
        <v>757</v>
      </c>
      <c r="I1338" s="52">
        <v>356000000</v>
      </c>
      <c r="J1338" s="51" t="s">
        <v>70</v>
      </c>
      <c r="K1338" s="51" t="s">
        <v>71</v>
      </c>
      <c r="L1338" s="41">
        <f t="shared" si="100"/>
        <v>1422000000</v>
      </c>
      <c r="M1338" s="41">
        <f t="shared" si="101"/>
        <v>563000000</v>
      </c>
      <c r="N1338" s="41">
        <f t="shared" si="102"/>
        <v>859000000</v>
      </c>
      <c r="O1338" s="41">
        <f t="shared" si="103"/>
        <v>0.86518199233716475</v>
      </c>
      <c r="P1338" s="41">
        <f t="shared" si="104"/>
        <v>0.20569923371647508</v>
      </c>
    </row>
    <row r="1339" spans="1:16" ht="19.95" customHeight="1">
      <c r="A1339" s="49">
        <v>1387</v>
      </c>
      <c r="B1339" s="50" t="s">
        <v>623</v>
      </c>
      <c r="C1339" s="51" t="s">
        <v>16</v>
      </c>
      <c r="D1339" s="51" t="s">
        <v>17</v>
      </c>
      <c r="E1339" s="52">
        <v>4495000000</v>
      </c>
      <c r="F1339" s="52">
        <v>2987000000</v>
      </c>
      <c r="G1339" s="52">
        <v>220000000</v>
      </c>
      <c r="H1339" s="52" t="s">
        <v>757</v>
      </c>
      <c r="I1339" s="52">
        <v>378000000</v>
      </c>
      <c r="J1339" s="51" t="s">
        <v>70</v>
      </c>
      <c r="K1339" s="51" t="s">
        <v>71</v>
      </c>
      <c r="L1339" s="41">
        <f t="shared" si="100"/>
        <v>1508000000</v>
      </c>
      <c r="M1339" s="41">
        <f t="shared" si="101"/>
        <v>598000000</v>
      </c>
      <c r="N1339" s="41">
        <f t="shared" si="102"/>
        <v>910000000</v>
      </c>
      <c r="O1339" s="41">
        <f t="shared" si="103"/>
        <v>0.86696329254727478</v>
      </c>
      <c r="P1339" s="41">
        <f t="shared" si="104"/>
        <v>0.20244716351501668</v>
      </c>
    </row>
    <row r="1340" spans="1:16" ht="19.95" customHeight="1">
      <c r="A1340" s="49">
        <v>1388</v>
      </c>
      <c r="B1340" s="50" t="s">
        <v>623</v>
      </c>
      <c r="C1340" s="51" t="s">
        <v>18</v>
      </c>
      <c r="D1340" s="51" t="s">
        <v>19</v>
      </c>
      <c r="E1340" s="52">
        <v>4951000000</v>
      </c>
      <c r="F1340" s="52">
        <v>3331000000</v>
      </c>
      <c r="G1340" s="52">
        <v>229000000</v>
      </c>
      <c r="H1340" s="52" t="s">
        <v>757</v>
      </c>
      <c r="I1340" s="52">
        <v>384000000</v>
      </c>
      <c r="J1340" s="51" t="s">
        <v>70</v>
      </c>
      <c r="K1340" s="51" t="s">
        <v>71</v>
      </c>
      <c r="L1340" s="41">
        <f t="shared" si="100"/>
        <v>1620000000</v>
      </c>
      <c r="M1340" s="41">
        <f t="shared" si="101"/>
        <v>613000000</v>
      </c>
      <c r="N1340" s="41">
        <f t="shared" si="102"/>
        <v>1007000000</v>
      </c>
      <c r="O1340" s="41">
        <f t="shared" si="103"/>
        <v>0.87618662896384569</v>
      </c>
      <c r="P1340" s="41">
        <f t="shared" si="104"/>
        <v>0.20339325388810342</v>
      </c>
    </row>
    <row r="1341" spans="1:16" ht="19.95" customHeight="1">
      <c r="A1341" s="49">
        <v>1389</v>
      </c>
      <c r="B1341" s="50" t="s">
        <v>623</v>
      </c>
      <c r="C1341" s="51" t="s">
        <v>20</v>
      </c>
      <c r="D1341" s="51" t="s">
        <v>21</v>
      </c>
      <c r="E1341" s="52">
        <v>4380000000</v>
      </c>
      <c r="F1341" s="52">
        <v>2714000000</v>
      </c>
      <c r="G1341" s="52">
        <v>234000000</v>
      </c>
      <c r="H1341" s="52" t="s">
        <v>757</v>
      </c>
      <c r="I1341" s="52">
        <v>358000000</v>
      </c>
      <c r="J1341" s="51" t="s">
        <v>70</v>
      </c>
      <c r="K1341" s="51" t="s">
        <v>71</v>
      </c>
      <c r="L1341" s="41">
        <f t="shared" si="100"/>
        <v>1666000000</v>
      </c>
      <c r="M1341" s="41">
        <f t="shared" si="101"/>
        <v>592000000</v>
      </c>
      <c r="N1341" s="41">
        <f t="shared" si="102"/>
        <v>1074000000</v>
      </c>
      <c r="O1341" s="41">
        <f t="shared" si="103"/>
        <v>0.86484018264840179</v>
      </c>
      <c r="P1341" s="41">
        <f t="shared" si="104"/>
        <v>0.24520547945205479</v>
      </c>
    </row>
    <row r="1342" spans="1:16" ht="19.95" customHeight="1">
      <c r="A1342" s="49">
        <v>1394</v>
      </c>
      <c r="B1342" s="50" t="s">
        <v>624</v>
      </c>
      <c r="C1342" s="51" t="s">
        <v>11</v>
      </c>
      <c r="D1342" s="51" t="s">
        <v>12</v>
      </c>
      <c r="E1342" s="52">
        <v>5075000000</v>
      </c>
      <c r="F1342" s="52">
        <v>2417000000</v>
      </c>
      <c r="G1342" s="52">
        <v>337000000</v>
      </c>
      <c r="H1342" s="52" t="s">
        <v>757</v>
      </c>
      <c r="I1342" s="52">
        <v>746000000</v>
      </c>
      <c r="J1342" s="51" t="s">
        <v>116</v>
      </c>
      <c r="K1342" s="51" t="s">
        <v>462</v>
      </c>
      <c r="L1342" s="41">
        <f t="shared" si="100"/>
        <v>2658000000</v>
      </c>
      <c r="M1342" s="41">
        <f t="shared" si="101"/>
        <v>1083000000</v>
      </c>
      <c r="N1342" s="41">
        <f t="shared" si="102"/>
        <v>1575000000</v>
      </c>
      <c r="O1342" s="41">
        <f t="shared" si="103"/>
        <v>0.78660098522167488</v>
      </c>
      <c r="P1342" s="41">
        <f t="shared" si="104"/>
        <v>0.31034482758620691</v>
      </c>
    </row>
    <row r="1343" spans="1:16" ht="19.95" customHeight="1">
      <c r="A1343" s="53">
        <v>1395</v>
      </c>
      <c r="B1343" s="54" t="s">
        <v>624</v>
      </c>
      <c r="C1343" s="55" t="s">
        <v>16</v>
      </c>
      <c r="D1343" s="55" t="s">
        <v>17</v>
      </c>
      <c r="E1343" s="56">
        <v>5518000000</v>
      </c>
      <c r="F1343" s="56">
        <v>2707000000</v>
      </c>
      <c r="G1343" s="56">
        <v>373000000</v>
      </c>
      <c r="H1343" s="56" t="s">
        <v>757</v>
      </c>
      <c r="I1343" s="56">
        <v>772000000</v>
      </c>
      <c r="J1343" s="55" t="s">
        <v>116</v>
      </c>
      <c r="K1343" s="55" t="s">
        <v>462</v>
      </c>
      <c r="L1343" s="57">
        <f t="shared" si="100"/>
        <v>2811000000</v>
      </c>
      <c r="M1343" s="57">
        <f t="shared" si="101"/>
        <v>1145000000</v>
      </c>
      <c r="N1343" s="57">
        <f t="shared" si="102"/>
        <v>1666000000</v>
      </c>
      <c r="O1343" s="57">
        <f t="shared" si="103"/>
        <v>0.79249728162377675</v>
      </c>
      <c r="P1343" s="57">
        <f t="shared" si="104"/>
        <v>0.30192098586444366</v>
      </c>
    </row>
    <row r="1344" spans="1:16" ht="19.95" customHeight="1">
      <c r="A1344" s="49">
        <v>1396</v>
      </c>
      <c r="B1344" s="50" t="s">
        <v>624</v>
      </c>
      <c r="C1344" s="51" t="s">
        <v>18</v>
      </c>
      <c r="D1344" s="51" t="s">
        <v>19</v>
      </c>
      <c r="E1344" s="52">
        <v>5903000000</v>
      </c>
      <c r="F1344" s="52">
        <v>2790000000</v>
      </c>
      <c r="G1344" s="52">
        <v>393000000</v>
      </c>
      <c r="H1344" s="52" t="s">
        <v>757</v>
      </c>
      <c r="I1344" s="52">
        <v>796000000</v>
      </c>
      <c r="J1344" s="51" t="s">
        <v>116</v>
      </c>
      <c r="K1344" s="51" t="s">
        <v>462</v>
      </c>
      <c r="L1344" s="41">
        <f t="shared" si="100"/>
        <v>3113000000</v>
      </c>
      <c r="M1344" s="41">
        <f t="shared" si="101"/>
        <v>1189000000</v>
      </c>
      <c r="N1344" s="41">
        <f t="shared" si="102"/>
        <v>1924000000</v>
      </c>
      <c r="O1344" s="41">
        <f t="shared" si="103"/>
        <v>0.79857699474843302</v>
      </c>
      <c r="P1344" s="41">
        <f t="shared" si="104"/>
        <v>0.32593596476367948</v>
      </c>
    </row>
    <row r="1345" spans="1:16" ht="19.95" customHeight="1">
      <c r="A1345" s="49">
        <v>1397</v>
      </c>
      <c r="B1345" s="50" t="s">
        <v>624</v>
      </c>
      <c r="C1345" s="51" t="s">
        <v>20</v>
      </c>
      <c r="D1345" s="51" t="s">
        <v>21</v>
      </c>
      <c r="E1345" s="52">
        <v>5234000000</v>
      </c>
      <c r="F1345" s="52">
        <v>2335000000</v>
      </c>
      <c r="G1345" s="52">
        <v>353000000</v>
      </c>
      <c r="H1345" s="52" t="s">
        <v>757</v>
      </c>
      <c r="I1345" s="52">
        <v>764000000</v>
      </c>
      <c r="J1345" s="51" t="s">
        <v>116</v>
      </c>
      <c r="K1345" s="51" t="s">
        <v>462</v>
      </c>
      <c r="L1345" s="41">
        <f t="shared" si="100"/>
        <v>2899000000</v>
      </c>
      <c r="M1345" s="41">
        <f t="shared" si="101"/>
        <v>1117000000</v>
      </c>
      <c r="N1345" s="41">
        <f t="shared" si="102"/>
        <v>1782000000</v>
      </c>
      <c r="O1345" s="41">
        <f t="shared" si="103"/>
        <v>0.78658769583492549</v>
      </c>
      <c r="P1345" s="41">
        <f t="shared" si="104"/>
        <v>0.34046618265189149</v>
      </c>
    </row>
    <row r="1346" spans="1:16" ht="19.95" customHeight="1">
      <c r="A1346" s="49">
        <v>1398</v>
      </c>
      <c r="B1346" s="50" t="s">
        <v>625</v>
      </c>
      <c r="C1346" s="51" t="s">
        <v>11</v>
      </c>
      <c r="D1346" s="51" t="s">
        <v>17</v>
      </c>
      <c r="E1346" s="52">
        <v>7690800000</v>
      </c>
      <c r="F1346" s="52">
        <v>5100900000</v>
      </c>
      <c r="G1346" s="52">
        <v>1788300000</v>
      </c>
      <c r="H1346" s="52" t="s">
        <v>757</v>
      </c>
      <c r="I1346" s="52">
        <v>123200000</v>
      </c>
      <c r="J1346" s="51" t="s">
        <v>88</v>
      </c>
      <c r="K1346" s="51" t="s">
        <v>130</v>
      </c>
      <c r="L1346" s="41">
        <f t="shared" si="100"/>
        <v>2589900000</v>
      </c>
      <c r="M1346" s="41">
        <f t="shared" si="101"/>
        <v>1911500000</v>
      </c>
      <c r="N1346" s="41">
        <f t="shared" si="102"/>
        <v>678400000</v>
      </c>
      <c r="O1346" s="41">
        <f t="shared" si="103"/>
        <v>0.75145628543194465</v>
      </c>
      <c r="P1346" s="41">
        <f t="shared" si="104"/>
        <v>8.8209289020648049E-2</v>
      </c>
    </row>
    <row r="1347" spans="1:16" ht="19.95" customHeight="1">
      <c r="A1347" s="49">
        <v>1399</v>
      </c>
      <c r="B1347" s="50" t="s">
        <v>625</v>
      </c>
      <c r="C1347" s="51" t="s">
        <v>16</v>
      </c>
      <c r="D1347" s="51" t="s">
        <v>19</v>
      </c>
      <c r="E1347" s="52">
        <v>7750500000</v>
      </c>
      <c r="F1347" s="52">
        <v>5062900000</v>
      </c>
      <c r="G1347" s="52">
        <v>1849400000</v>
      </c>
      <c r="H1347" s="52" t="s">
        <v>757</v>
      </c>
      <c r="I1347" s="52">
        <v>118900000</v>
      </c>
      <c r="J1347" s="51" t="s">
        <v>88</v>
      </c>
      <c r="K1347" s="51" t="s">
        <v>130</v>
      </c>
      <c r="L1347" s="41">
        <f t="shared" ref="L1347:L1410" si="105">Total_Revenue-COGS</f>
        <v>2687600000</v>
      </c>
      <c r="M1347" s="41">
        <f t="shared" ref="M1347:M1410" si="106">SGAA+RandD+OOI</f>
        <v>1968300000</v>
      </c>
      <c r="N1347" s="41">
        <f t="shared" ref="N1347:N1410" si="107">Gross_Profit-Total_Operating_Expenses</f>
        <v>719300000</v>
      </c>
      <c r="O1347" s="41">
        <f t="shared" ref="O1347:O1410" si="108">1-(Total_Operating_Expenses/Total_Revenue)</f>
        <v>0.74604219082639833</v>
      </c>
      <c r="P1347" s="41">
        <f t="shared" ref="P1347:P1410" si="109">Operating_Profit/Total_Revenue</f>
        <v>9.2806915682859176E-2</v>
      </c>
    </row>
    <row r="1348" spans="1:16" ht="19.95" customHeight="1">
      <c r="A1348" s="49">
        <v>1400</v>
      </c>
      <c r="B1348" s="50" t="s">
        <v>625</v>
      </c>
      <c r="C1348" s="51" t="s">
        <v>18</v>
      </c>
      <c r="D1348" s="51" t="s">
        <v>21</v>
      </c>
      <c r="E1348" s="52">
        <v>7031500000</v>
      </c>
      <c r="F1348" s="52">
        <v>4444900000</v>
      </c>
      <c r="G1348" s="52">
        <v>1656200000</v>
      </c>
      <c r="H1348" s="52" t="s">
        <v>757</v>
      </c>
      <c r="I1348" s="52">
        <v>88700000</v>
      </c>
      <c r="J1348" s="51" t="s">
        <v>88</v>
      </c>
      <c r="K1348" s="51" t="s">
        <v>130</v>
      </c>
      <c r="L1348" s="41">
        <f t="shared" si="105"/>
        <v>2586600000</v>
      </c>
      <c r="M1348" s="41">
        <f t="shared" si="106"/>
        <v>1744900000</v>
      </c>
      <c r="N1348" s="41">
        <f t="shared" si="107"/>
        <v>841700000</v>
      </c>
      <c r="O1348" s="41">
        <f t="shared" si="108"/>
        <v>0.75184526772381433</v>
      </c>
      <c r="P1348" s="41">
        <f t="shared" si="109"/>
        <v>0.11970418829552727</v>
      </c>
    </row>
    <row r="1349" spans="1:16" ht="19.95" customHeight="1">
      <c r="A1349" s="49">
        <v>1401</v>
      </c>
      <c r="B1349" s="50" t="s">
        <v>625</v>
      </c>
      <c r="C1349" s="51" t="s">
        <v>20</v>
      </c>
      <c r="D1349" s="51" t="s">
        <v>84</v>
      </c>
      <c r="E1349" s="52">
        <v>6778300000</v>
      </c>
      <c r="F1349" s="52">
        <v>4246700000</v>
      </c>
      <c r="G1349" s="52">
        <v>1604400000</v>
      </c>
      <c r="H1349" s="52" t="s">
        <v>757</v>
      </c>
      <c r="I1349" s="52">
        <v>94900000</v>
      </c>
      <c r="J1349" s="51" t="s">
        <v>88</v>
      </c>
      <c r="K1349" s="51" t="s">
        <v>130</v>
      </c>
      <c r="L1349" s="41">
        <f t="shared" si="105"/>
        <v>2531600000</v>
      </c>
      <c r="M1349" s="41">
        <f t="shared" si="106"/>
        <v>1699300000</v>
      </c>
      <c r="N1349" s="41">
        <f t="shared" si="107"/>
        <v>832300000</v>
      </c>
      <c r="O1349" s="41">
        <f t="shared" si="108"/>
        <v>0.74930292256170428</v>
      </c>
      <c r="P1349" s="41">
        <f t="shared" si="109"/>
        <v>0.12278889987164923</v>
      </c>
    </row>
    <row r="1350" spans="1:16" ht="19.95" customHeight="1">
      <c r="A1350" s="49">
        <v>1402</v>
      </c>
      <c r="B1350" s="50" t="s">
        <v>626</v>
      </c>
      <c r="C1350" s="51" t="s">
        <v>11</v>
      </c>
      <c r="D1350" s="51" t="s">
        <v>12</v>
      </c>
      <c r="E1350" s="52">
        <v>9534462000</v>
      </c>
      <c r="F1350" s="52">
        <v>5328236000</v>
      </c>
      <c r="G1350" s="52">
        <v>3264896000</v>
      </c>
      <c r="H1350" s="52" t="s">
        <v>757</v>
      </c>
      <c r="I1350" s="52" t="s">
        <v>757</v>
      </c>
      <c r="J1350" s="51" t="s">
        <v>88</v>
      </c>
      <c r="K1350" s="51" t="s">
        <v>89</v>
      </c>
      <c r="L1350" s="41">
        <f t="shared" si="105"/>
        <v>4206226000</v>
      </c>
      <c r="M1350" s="41">
        <f t="shared" si="106"/>
        <v>3264896000</v>
      </c>
      <c r="N1350" s="41">
        <f t="shared" si="107"/>
        <v>941330000</v>
      </c>
      <c r="O1350" s="41">
        <f t="shared" si="108"/>
        <v>0.65756893257322746</v>
      </c>
      <c r="P1350" s="41">
        <f t="shared" si="109"/>
        <v>9.8729220379713087E-2</v>
      </c>
    </row>
    <row r="1351" spans="1:16" ht="19.95" customHeight="1">
      <c r="A1351" s="49">
        <v>1403</v>
      </c>
      <c r="B1351" s="50" t="s">
        <v>626</v>
      </c>
      <c r="C1351" s="51" t="s">
        <v>16</v>
      </c>
      <c r="D1351" s="51" t="s">
        <v>17</v>
      </c>
      <c r="E1351" s="52">
        <v>10185532000</v>
      </c>
      <c r="F1351" s="52">
        <v>5568966000</v>
      </c>
      <c r="G1351" s="52">
        <v>3470200000</v>
      </c>
      <c r="H1351" s="52" t="s">
        <v>757</v>
      </c>
      <c r="I1351" s="52" t="s">
        <v>757</v>
      </c>
      <c r="J1351" s="51" t="s">
        <v>88</v>
      </c>
      <c r="K1351" s="51" t="s">
        <v>89</v>
      </c>
      <c r="L1351" s="41">
        <f t="shared" si="105"/>
        <v>4616566000</v>
      </c>
      <c r="M1351" s="41">
        <f t="shared" si="106"/>
        <v>3470200000</v>
      </c>
      <c r="N1351" s="41">
        <f t="shared" si="107"/>
        <v>1146366000</v>
      </c>
      <c r="O1351" s="41">
        <f t="shared" si="108"/>
        <v>0.6593010556542358</v>
      </c>
      <c r="P1351" s="41">
        <f t="shared" si="109"/>
        <v>0.11254846580424076</v>
      </c>
    </row>
    <row r="1352" spans="1:16" ht="19.95" customHeight="1">
      <c r="A1352" s="49">
        <v>1404</v>
      </c>
      <c r="B1352" s="50" t="s">
        <v>626</v>
      </c>
      <c r="C1352" s="51" t="s">
        <v>18</v>
      </c>
      <c r="D1352" s="51" t="s">
        <v>19</v>
      </c>
      <c r="E1352" s="52">
        <v>11129533000</v>
      </c>
      <c r="F1352" s="52">
        <v>5965049000</v>
      </c>
      <c r="G1352" s="52">
        <v>3860448000</v>
      </c>
      <c r="H1352" s="52" t="s">
        <v>757</v>
      </c>
      <c r="I1352" s="52" t="s">
        <v>757</v>
      </c>
      <c r="J1352" s="51" t="s">
        <v>88</v>
      </c>
      <c r="K1352" s="51" t="s">
        <v>89</v>
      </c>
      <c r="L1352" s="41">
        <f t="shared" si="105"/>
        <v>5164484000</v>
      </c>
      <c r="M1352" s="41">
        <f t="shared" si="106"/>
        <v>3860448000</v>
      </c>
      <c r="N1352" s="41">
        <f t="shared" si="107"/>
        <v>1304036000</v>
      </c>
      <c r="O1352" s="41">
        <f t="shared" si="108"/>
        <v>0.65313477214183202</v>
      </c>
      <c r="P1352" s="41">
        <f t="shared" si="109"/>
        <v>0.11716897735062198</v>
      </c>
    </row>
    <row r="1353" spans="1:16" ht="19.95" customHeight="1">
      <c r="A1353" s="49">
        <v>1405</v>
      </c>
      <c r="B1353" s="50" t="s">
        <v>626</v>
      </c>
      <c r="C1353" s="51" t="s">
        <v>20</v>
      </c>
      <c r="D1353" s="51" t="s">
        <v>21</v>
      </c>
      <c r="E1353" s="52">
        <v>11339304000</v>
      </c>
      <c r="F1353" s="52">
        <v>5780078000</v>
      </c>
      <c r="G1353" s="52">
        <v>3943786000</v>
      </c>
      <c r="H1353" s="52" t="s">
        <v>757</v>
      </c>
      <c r="I1353" s="52" t="s">
        <v>757</v>
      </c>
      <c r="J1353" s="51" t="s">
        <v>88</v>
      </c>
      <c r="K1353" s="51" t="s">
        <v>89</v>
      </c>
      <c r="L1353" s="41">
        <f t="shared" si="105"/>
        <v>5559226000</v>
      </c>
      <c r="M1353" s="41">
        <f t="shared" si="106"/>
        <v>3943786000</v>
      </c>
      <c r="N1353" s="41">
        <f t="shared" si="107"/>
        <v>1615440000</v>
      </c>
      <c r="O1353" s="41">
        <f t="shared" si="108"/>
        <v>0.65220211046462817</v>
      </c>
      <c r="P1353" s="41">
        <f t="shared" si="109"/>
        <v>0.14246377026314844</v>
      </c>
    </row>
    <row r="1354" spans="1:16" ht="19.95" customHeight="1">
      <c r="A1354" s="49">
        <v>1406</v>
      </c>
      <c r="B1354" s="50" t="s">
        <v>627</v>
      </c>
      <c r="C1354" s="51" t="s">
        <v>11</v>
      </c>
      <c r="D1354" s="51" t="s">
        <v>302</v>
      </c>
      <c r="E1354" s="52">
        <v>3983400000</v>
      </c>
      <c r="F1354" s="52">
        <v>2446000000</v>
      </c>
      <c r="G1354" s="52">
        <v>976900000</v>
      </c>
      <c r="H1354" s="52" t="s">
        <v>757</v>
      </c>
      <c r="I1354" s="52" t="s">
        <v>757</v>
      </c>
      <c r="J1354" s="51" t="s">
        <v>24</v>
      </c>
      <c r="K1354" s="51" t="s">
        <v>112</v>
      </c>
      <c r="L1354" s="41">
        <f t="shared" si="105"/>
        <v>1537400000</v>
      </c>
      <c r="M1354" s="41">
        <f t="shared" si="106"/>
        <v>976900000</v>
      </c>
      <c r="N1354" s="41">
        <f t="shared" si="107"/>
        <v>560500000</v>
      </c>
      <c r="O1354" s="41">
        <f t="shared" si="108"/>
        <v>0.75475724255660992</v>
      </c>
      <c r="P1354" s="41">
        <f t="shared" si="109"/>
        <v>0.14070894210975549</v>
      </c>
    </row>
    <row r="1355" spans="1:16" ht="19.95" customHeight="1">
      <c r="A1355" s="49">
        <v>1407</v>
      </c>
      <c r="B1355" s="50" t="s">
        <v>627</v>
      </c>
      <c r="C1355" s="51" t="s">
        <v>16</v>
      </c>
      <c r="D1355" s="51" t="s">
        <v>157</v>
      </c>
      <c r="E1355" s="52">
        <v>4209200000</v>
      </c>
      <c r="F1355" s="52">
        <v>2628700000</v>
      </c>
      <c r="G1355" s="52">
        <v>1010000000</v>
      </c>
      <c r="H1355" s="52" t="s">
        <v>757</v>
      </c>
      <c r="I1355" s="52" t="s">
        <v>757</v>
      </c>
      <c r="J1355" s="51" t="s">
        <v>24</v>
      </c>
      <c r="K1355" s="51" t="s">
        <v>112</v>
      </c>
      <c r="L1355" s="41">
        <f t="shared" si="105"/>
        <v>1580500000</v>
      </c>
      <c r="M1355" s="41">
        <f t="shared" si="106"/>
        <v>1010000000</v>
      </c>
      <c r="N1355" s="41">
        <f t="shared" si="107"/>
        <v>570500000</v>
      </c>
      <c r="O1355" s="41">
        <f t="shared" si="108"/>
        <v>0.76004941556590322</v>
      </c>
      <c r="P1355" s="41">
        <f t="shared" si="109"/>
        <v>0.13553644397985365</v>
      </c>
    </row>
    <row r="1356" spans="1:16" ht="19.95" customHeight="1">
      <c r="A1356" s="49">
        <v>1408</v>
      </c>
      <c r="B1356" s="50" t="s">
        <v>627</v>
      </c>
      <c r="C1356" s="51" t="s">
        <v>18</v>
      </c>
      <c r="D1356" s="51" t="s">
        <v>628</v>
      </c>
      <c r="E1356" s="52">
        <v>5736300000</v>
      </c>
      <c r="F1356" s="52">
        <v>3662100000</v>
      </c>
      <c r="G1356" s="52">
        <v>1497600000</v>
      </c>
      <c r="H1356" s="52" t="s">
        <v>757</v>
      </c>
      <c r="I1356" s="52" t="s">
        <v>757</v>
      </c>
      <c r="J1356" s="51" t="s">
        <v>24</v>
      </c>
      <c r="K1356" s="51" t="s">
        <v>112</v>
      </c>
      <c r="L1356" s="41">
        <f t="shared" si="105"/>
        <v>2074200000</v>
      </c>
      <c r="M1356" s="41">
        <f t="shared" si="106"/>
        <v>1497600000</v>
      </c>
      <c r="N1356" s="41">
        <f t="shared" si="107"/>
        <v>576600000</v>
      </c>
      <c r="O1356" s="41">
        <f t="shared" si="108"/>
        <v>0.7389257884001883</v>
      </c>
      <c r="P1356" s="41">
        <f t="shared" si="109"/>
        <v>0.10051775534752366</v>
      </c>
    </row>
    <row r="1357" spans="1:16" ht="19.95" customHeight="1">
      <c r="A1357" s="49">
        <v>1409</v>
      </c>
      <c r="B1357" s="50" t="s">
        <v>627</v>
      </c>
      <c r="C1357" s="51" t="s">
        <v>20</v>
      </c>
      <c r="D1357" s="51" t="s">
        <v>158</v>
      </c>
      <c r="E1357" s="52">
        <v>6550200000</v>
      </c>
      <c r="F1357" s="52">
        <v>4109800000</v>
      </c>
      <c r="G1357" s="52">
        <v>1736700000</v>
      </c>
      <c r="H1357" s="52" t="s">
        <v>757</v>
      </c>
      <c r="I1357" s="52" t="s">
        <v>757</v>
      </c>
      <c r="J1357" s="51" t="s">
        <v>24</v>
      </c>
      <c r="K1357" s="51" t="s">
        <v>112</v>
      </c>
      <c r="L1357" s="41">
        <f t="shared" si="105"/>
        <v>2440400000</v>
      </c>
      <c r="M1357" s="41">
        <f t="shared" si="106"/>
        <v>1736700000</v>
      </c>
      <c r="N1357" s="41">
        <f t="shared" si="107"/>
        <v>703700000</v>
      </c>
      <c r="O1357" s="41">
        <f t="shared" si="108"/>
        <v>0.73486305761656134</v>
      </c>
      <c r="P1357" s="41">
        <f t="shared" si="109"/>
        <v>0.10743183414246893</v>
      </c>
    </row>
    <row r="1358" spans="1:16" ht="19.95" customHeight="1">
      <c r="A1358" s="49">
        <v>1410</v>
      </c>
      <c r="B1358" s="50" t="s">
        <v>629</v>
      </c>
      <c r="C1358" s="51" t="s">
        <v>11</v>
      </c>
      <c r="D1358" s="51" t="s">
        <v>412</v>
      </c>
      <c r="E1358" s="52">
        <v>5897700000</v>
      </c>
      <c r="F1358" s="52">
        <v>3870100000</v>
      </c>
      <c r="G1358" s="52">
        <v>1020400000</v>
      </c>
      <c r="H1358" s="52" t="s">
        <v>757</v>
      </c>
      <c r="I1358" s="52">
        <v>96800000</v>
      </c>
      <c r="J1358" s="51" t="s">
        <v>60</v>
      </c>
      <c r="K1358" s="51" t="s">
        <v>173</v>
      </c>
      <c r="L1358" s="41">
        <f t="shared" si="105"/>
        <v>2027600000</v>
      </c>
      <c r="M1358" s="41">
        <f t="shared" si="106"/>
        <v>1117200000</v>
      </c>
      <c r="N1358" s="41">
        <f t="shared" si="107"/>
        <v>910400000</v>
      </c>
      <c r="O1358" s="41">
        <f t="shared" si="108"/>
        <v>0.81057022229004527</v>
      </c>
      <c r="P1358" s="41">
        <f t="shared" si="109"/>
        <v>0.15436526103396239</v>
      </c>
    </row>
    <row r="1359" spans="1:16" ht="19.95" customHeight="1">
      <c r="A1359" s="49">
        <v>1411</v>
      </c>
      <c r="B1359" s="50" t="s">
        <v>629</v>
      </c>
      <c r="C1359" s="51" t="s">
        <v>16</v>
      </c>
      <c r="D1359" s="51" t="s">
        <v>413</v>
      </c>
      <c r="E1359" s="52">
        <v>5610600000</v>
      </c>
      <c r="F1359" s="52">
        <v>3579600000</v>
      </c>
      <c r="G1359" s="52">
        <v>1013100000</v>
      </c>
      <c r="H1359" s="52" t="s">
        <v>757</v>
      </c>
      <c r="I1359" s="52">
        <v>98900000</v>
      </c>
      <c r="J1359" s="51" t="s">
        <v>60</v>
      </c>
      <c r="K1359" s="51" t="s">
        <v>173</v>
      </c>
      <c r="L1359" s="41">
        <f t="shared" si="105"/>
        <v>2031000000</v>
      </c>
      <c r="M1359" s="41">
        <f t="shared" si="106"/>
        <v>1112000000</v>
      </c>
      <c r="N1359" s="41">
        <f t="shared" si="107"/>
        <v>919000000</v>
      </c>
      <c r="O1359" s="41">
        <f t="shared" si="108"/>
        <v>0.80180372865647165</v>
      </c>
      <c r="P1359" s="41">
        <f t="shared" si="109"/>
        <v>0.16379709834955264</v>
      </c>
    </row>
    <row r="1360" spans="1:16" ht="19.95" customHeight="1">
      <c r="A1360" s="49">
        <v>1412</v>
      </c>
      <c r="B1360" s="50" t="s">
        <v>629</v>
      </c>
      <c r="C1360" s="51" t="s">
        <v>18</v>
      </c>
      <c r="D1360" s="51" t="s">
        <v>414</v>
      </c>
      <c r="E1360" s="52">
        <v>5692700000</v>
      </c>
      <c r="F1360" s="52">
        <v>3724000000</v>
      </c>
      <c r="G1360" s="52">
        <v>1085800000</v>
      </c>
      <c r="H1360" s="52" t="s">
        <v>757</v>
      </c>
      <c r="I1360" s="52">
        <v>110900000</v>
      </c>
      <c r="J1360" s="51" t="s">
        <v>60</v>
      </c>
      <c r="K1360" s="51" t="s">
        <v>173</v>
      </c>
      <c r="L1360" s="41">
        <f t="shared" si="105"/>
        <v>1968700000</v>
      </c>
      <c r="M1360" s="41">
        <f t="shared" si="106"/>
        <v>1196700000</v>
      </c>
      <c r="N1360" s="41">
        <f t="shared" si="107"/>
        <v>772000000</v>
      </c>
      <c r="O1360" s="41">
        <f t="shared" si="108"/>
        <v>0.78978340681925974</v>
      </c>
      <c r="P1360" s="41">
        <f t="shared" si="109"/>
        <v>0.13561227537021098</v>
      </c>
    </row>
    <row r="1361" spans="1:16" ht="19.95" customHeight="1">
      <c r="A1361" s="49">
        <v>1413</v>
      </c>
      <c r="B1361" s="50" t="s">
        <v>629</v>
      </c>
      <c r="C1361" s="51" t="s">
        <v>20</v>
      </c>
      <c r="D1361" s="51" t="s">
        <v>415</v>
      </c>
      <c r="E1361" s="52">
        <v>7811200000</v>
      </c>
      <c r="F1361" s="52">
        <v>4843400000</v>
      </c>
      <c r="G1361" s="52">
        <v>1614100000</v>
      </c>
      <c r="H1361" s="52" t="s">
        <v>757</v>
      </c>
      <c r="I1361" s="52">
        <v>208400000</v>
      </c>
      <c r="J1361" s="51" t="s">
        <v>60</v>
      </c>
      <c r="K1361" s="51" t="s">
        <v>173</v>
      </c>
      <c r="L1361" s="41">
        <f t="shared" si="105"/>
        <v>2967800000</v>
      </c>
      <c r="M1361" s="41">
        <f t="shared" si="106"/>
        <v>1822500000</v>
      </c>
      <c r="N1361" s="41">
        <f t="shared" si="107"/>
        <v>1145300000</v>
      </c>
      <c r="O1361" s="41">
        <f t="shared" si="108"/>
        <v>0.76668117574764438</v>
      </c>
      <c r="P1361" s="41">
        <f t="shared" si="109"/>
        <v>0.14662279803359279</v>
      </c>
    </row>
    <row r="1362" spans="1:16" ht="19.95" customHeight="1">
      <c r="A1362" s="49">
        <v>1414</v>
      </c>
      <c r="B1362" s="50" t="s">
        <v>630</v>
      </c>
      <c r="C1362" s="51" t="s">
        <v>11</v>
      </c>
      <c r="D1362" s="51" t="s">
        <v>12</v>
      </c>
      <c r="E1362" s="52">
        <v>1290052000</v>
      </c>
      <c r="F1362" s="52">
        <v>470243000</v>
      </c>
      <c r="G1362" s="52">
        <v>120310000</v>
      </c>
      <c r="H1362" s="52" t="s">
        <v>757</v>
      </c>
      <c r="I1362" s="52">
        <v>330418000</v>
      </c>
      <c r="J1362" s="51" t="s">
        <v>80</v>
      </c>
      <c r="K1362" s="51" t="s">
        <v>631</v>
      </c>
      <c r="L1362" s="41">
        <f t="shared" si="105"/>
        <v>819809000</v>
      </c>
      <c r="M1362" s="41">
        <f t="shared" si="106"/>
        <v>450728000</v>
      </c>
      <c r="N1362" s="41">
        <f t="shared" si="107"/>
        <v>369081000</v>
      </c>
      <c r="O1362" s="41">
        <f t="shared" si="108"/>
        <v>0.65061253344826409</v>
      </c>
      <c r="P1362" s="41">
        <f t="shared" si="109"/>
        <v>0.28609776970230655</v>
      </c>
    </row>
    <row r="1363" spans="1:16" ht="19.95" customHeight="1">
      <c r="A1363" s="49">
        <v>1415</v>
      </c>
      <c r="B1363" s="50" t="s">
        <v>630</v>
      </c>
      <c r="C1363" s="51" t="s">
        <v>16</v>
      </c>
      <c r="D1363" s="51" t="s">
        <v>17</v>
      </c>
      <c r="E1363" s="52">
        <v>1371065000</v>
      </c>
      <c r="F1363" s="52">
        <v>479665000</v>
      </c>
      <c r="G1363" s="52">
        <v>122128000</v>
      </c>
      <c r="H1363" s="52" t="s">
        <v>757</v>
      </c>
      <c r="I1363" s="52">
        <v>340316000</v>
      </c>
      <c r="J1363" s="51" t="s">
        <v>80</v>
      </c>
      <c r="K1363" s="51" t="s">
        <v>631</v>
      </c>
      <c r="L1363" s="41">
        <f t="shared" si="105"/>
        <v>891400000</v>
      </c>
      <c r="M1363" s="41">
        <f t="shared" si="106"/>
        <v>462444000</v>
      </c>
      <c r="N1363" s="41">
        <f t="shared" si="107"/>
        <v>428956000</v>
      </c>
      <c r="O1363" s="41">
        <f t="shared" si="108"/>
        <v>0.66271183350169394</v>
      </c>
      <c r="P1363" s="41">
        <f t="shared" si="109"/>
        <v>0.31286335804648213</v>
      </c>
    </row>
    <row r="1364" spans="1:16" ht="19.95" customHeight="1">
      <c r="A1364" s="49">
        <v>1416</v>
      </c>
      <c r="B1364" s="50" t="s">
        <v>630</v>
      </c>
      <c r="C1364" s="51" t="s">
        <v>18</v>
      </c>
      <c r="D1364" s="51" t="s">
        <v>19</v>
      </c>
      <c r="E1364" s="52">
        <v>1519978000</v>
      </c>
      <c r="F1364" s="52">
        <v>500126000</v>
      </c>
      <c r="G1364" s="52">
        <v>133502000</v>
      </c>
      <c r="H1364" s="52" t="s">
        <v>757</v>
      </c>
      <c r="I1364" s="52">
        <v>393987000</v>
      </c>
      <c r="J1364" s="51" t="s">
        <v>80</v>
      </c>
      <c r="K1364" s="51" t="s">
        <v>631</v>
      </c>
      <c r="L1364" s="41">
        <f t="shared" si="105"/>
        <v>1019852000</v>
      </c>
      <c r="M1364" s="41">
        <f t="shared" si="106"/>
        <v>527489000</v>
      </c>
      <c r="N1364" s="41">
        <f t="shared" si="107"/>
        <v>492363000</v>
      </c>
      <c r="O1364" s="41">
        <f t="shared" si="108"/>
        <v>0.65296274025018786</v>
      </c>
      <c r="P1364" s="41">
        <f t="shared" si="109"/>
        <v>0.32392771474323973</v>
      </c>
    </row>
    <row r="1365" spans="1:16" ht="19.95" customHeight="1">
      <c r="A1365" s="49">
        <v>1417</v>
      </c>
      <c r="B1365" s="50" t="s">
        <v>630</v>
      </c>
      <c r="C1365" s="51" t="s">
        <v>20</v>
      </c>
      <c r="D1365" s="51" t="s">
        <v>21</v>
      </c>
      <c r="E1365" s="52">
        <v>1662829000</v>
      </c>
      <c r="F1365" s="52">
        <v>534326000</v>
      </c>
      <c r="G1365" s="52">
        <v>139137000</v>
      </c>
      <c r="H1365" s="52" t="s">
        <v>757</v>
      </c>
      <c r="I1365" s="52">
        <v>588235000</v>
      </c>
      <c r="J1365" s="51" t="s">
        <v>80</v>
      </c>
      <c r="K1365" s="51" t="s">
        <v>631</v>
      </c>
      <c r="L1365" s="41">
        <f t="shared" si="105"/>
        <v>1128503000</v>
      </c>
      <c r="M1365" s="41">
        <f t="shared" si="106"/>
        <v>727372000</v>
      </c>
      <c r="N1365" s="41">
        <f t="shared" si="107"/>
        <v>401131000</v>
      </c>
      <c r="O1365" s="41">
        <f t="shared" si="108"/>
        <v>0.5625695726980946</v>
      </c>
      <c r="P1365" s="41">
        <f t="shared" si="109"/>
        <v>0.24123406555935697</v>
      </c>
    </row>
    <row r="1366" spans="1:16" ht="19.95" customHeight="1">
      <c r="A1366" s="49">
        <v>1418</v>
      </c>
      <c r="B1366" s="50" t="s">
        <v>632</v>
      </c>
      <c r="C1366" s="51" t="s">
        <v>11</v>
      </c>
      <c r="D1366" s="51" t="s">
        <v>17</v>
      </c>
      <c r="E1366" s="52">
        <v>3237500000</v>
      </c>
      <c r="F1366" s="52">
        <v>1638900000</v>
      </c>
      <c r="G1366" s="52">
        <v>1012400000</v>
      </c>
      <c r="H1366" s="52" t="s">
        <v>757</v>
      </c>
      <c r="I1366" s="52" t="s">
        <v>757</v>
      </c>
      <c r="J1366" s="51" t="s">
        <v>24</v>
      </c>
      <c r="K1366" s="51" t="s">
        <v>633</v>
      </c>
      <c r="L1366" s="41">
        <f t="shared" si="105"/>
        <v>1598600000</v>
      </c>
      <c r="M1366" s="41">
        <f t="shared" si="106"/>
        <v>1012400000</v>
      </c>
      <c r="N1366" s="41">
        <f t="shared" si="107"/>
        <v>586200000</v>
      </c>
      <c r="O1366" s="41">
        <f t="shared" si="108"/>
        <v>0.68728957528957535</v>
      </c>
      <c r="P1366" s="41">
        <f t="shared" si="109"/>
        <v>0.18106563706563705</v>
      </c>
    </row>
    <row r="1367" spans="1:16" ht="19.95" customHeight="1">
      <c r="A1367" s="49">
        <v>1419</v>
      </c>
      <c r="B1367" s="50" t="s">
        <v>632</v>
      </c>
      <c r="C1367" s="51" t="s">
        <v>16</v>
      </c>
      <c r="D1367" s="51" t="s">
        <v>27</v>
      </c>
      <c r="E1367" s="52">
        <v>3492600000</v>
      </c>
      <c r="F1367" s="52">
        <v>1759200000</v>
      </c>
      <c r="G1367" s="52">
        <v>1048700000</v>
      </c>
      <c r="H1367" s="52" t="s">
        <v>757</v>
      </c>
      <c r="I1367" s="52" t="s">
        <v>757</v>
      </c>
      <c r="J1367" s="51" t="s">
        <v>24</v>
      </c>
      <c r="K1367" s="51" t="s">
        <v>633</v>
      </c>
      <c r="L1367" s="41">
        <f t="shared" si="105"/>
        <v>1733400000</v>
      </c>
      <c r="M1367" s="41">
        <f t="shared" si="106"/>
        <v>1048700000</v>
      </c>
      <c r="N1367" s="41">
        <f t="shared" si="107"/>
        <v>684700000</v>
      </c>
      <c r="O1367" s="41">
        <f t="shared" si="108"/>
        <v>0.69973658592452614</v>
      </c>
      <c r="P1367" s="41">
        <f t="shared" si="109"/>
        <v>0.19604306247494704</v>
      </c>
    </row>
    <row r="1368" spans="1:16" ht="19.95" customHeight="1">
      <c r="A1368" s="49">
        <v>1420</v>
      </c>
      <c r="B1368" s="50" t="s">
        <v>632</v>
      </c>
      <c r="C1368" s="51" t="s">
        <v>18</v>
      </c>
      <c r="D1368" s="51" t="s">
        <v>28</v>
      </c>
      <c r="E1368" s="52">
        <v>3593100000</v>
      </c>
      <c r="F1368" s="52">
        <v>1774600000</v>
      </c>
      <c r="G1368" s="52">
        <v>1053700000</v>
      </c>
      <c r="H1368" s="52" t="s">
        <v>757</v>
      </c>
      <c r="I1368" s="52" t="s">
        <v>757</v>
      </c>
      <c r="J1368" s="51" t="s">
        <v>24</v>
      </c>
      <c r="K1368" s="51" t="s">
        <v>633</v>
      </c>
      <c r="L1368" s="41">
        <f t="shared" si="105"/>
        <v>1818500000</v>
      </c>
      <c r="M1368" s="41">
        <f t="shared" si="106"/>
        <v>1053700000</v>
      </c>
      <c r="N1368" s="41">
        <f t="shared" si="107"/>
        <v>764800000</v>
      </c>
      <c r="O1368" s="41">
        <f t="shared" si="108"/>
        <v>0.70674348055996217</v>
      </c>
      <c r="P1368" s="41">
        <f t="shared" si="109"/>
        <v>0.21285241156661378</v>
      </c>
    </row>
    <row r="1369" spans="1:16" ht="19.95" customHeight="1">
      <c r="A1369" s="49">
        <v>1421</v>
      </c>
      <c r="B1369" s="50" t="s">
        <v>632</v>
      </c>
      <c r="C1369" s="51" t="s">
        <v>20</v>
      </c>
      <c r="D1369" s="51" t="s">
        <v>84</v>
      </c>
      <c r="E1369" s="52">
        <v>3711800000</v>
      </c>
      <c r="F1369" s="52">
        <v>1803500000</v>
      </c>
      <c r="G1369" s="52">
        <v>1054100000</v>
      </c>
      <c r="H1369" s="52" t="s">
        <v>757</v>
      </c>
      <c r="I1369" s="52" t="s">
        <v>757</v>
      </c>
      <c r="J1369" s="51" t="s">
        <v>24</v>
      </c>
      <c r="K1369" s="51" t="s">
        <v>633</v>
      </c>
      <c r="L1369" s="41">
        <f t="shared" si="105"/>
        <v>1908300000</v>
      </c>
      <c r="M1369" s="41">
        <f t="shared" si="106"/>
        <v>1054100000</v>
      </c>
      <c r="N1369" s="41">
        <f t="shared" si="107"/>
        <v>854200000</v>
      </c>
      <c r="O1369" s="41">
        <f t="shared" si="108"/>
        <v>0.7160137938466512</v>
      </c>
      <c r="P1369" s="41">
        <f t="shared" si="109"/>
        <v>0.23013093377875962</v>
      </c>
    </row>
    <row r="1370" spans="1:16" ht="19.95" customHeight="1">
      <c r="A1370" s="49">
        <v>1422</v>
      </c>
      <c r="B1370" s="50" t="s">
        <v>634</v>
      </c>
      <c r="C1370" s="51" t="s">
        <v>11</v>
      </c>
      <c r="D1370" s="51" t="s">
        <v>12</v>
      </c>
      <c r="E1370" s="52">
        <v>2307182000</v>
      </c>
      <c r="F1370" s="52">
        <v>610836000</v>
      </c>
      <c r="G1370" s="52">
        <v>655473000</v>
      </c>
      <c r="H1370" s="52" t="s">
        <v>757</v>
      </c>
      <c r="I1370" s="52">
        <v>107591000</v>
      </c>
      <c r="J1370" s="51" t="s">
        <v>24</v>
      </c>
      <c r="K1370" s="51" t="s">
        <v>294</v>
      </c>
      <c r="L1370" s="41">
        <f t="shared" si="105"/>
        <v>1696346000</v>
      </c>
      <c r="M1370" s="41">
        <f t="shared" si="106"/>
        <v>763064000</v>
      </c>
      <c r="N1370" s="41">
        <f t="shared" si="107"/>
        <v>933282000</v>
      </c>
      <c r="O1370" s="41">
        <f t="shared" si="108"/>
        <v>0.6692657969765714</v>
      </c>
      <c r="P1370" s="41">
        <f t="shared" si="109"/>
        <v>0.40451165100975994</v>
      </c>
    </row>
    <row r="1371" spans="1:16" ht="19.95" customHeight="1">
      <c r="A1371" s="49">
        <v>1423</v>
      </c>
      <c r="B1371" s="50" t="s">
        <v>634</v>
      </c>
      <c r="C1371" s="51" t="s">
        <v>16</v>
      </c>
      <c r="D1371" s="51" t="s">
        <v>17</v>
      </c>
      <c r="E1371" s="52">
        <v>2530809000</v>
      </c>
      <c r="F1371" s="52">
        <v>699294000</v>
      </c>
      <c r="G1371" s="52">
        <v>729055000</v>
      </c>
      <c r="H1371" s="52" t="s">
        <v>757</v>
      </c>
      <c r="I1371" s="52">
        <v>117580000</v>
      </c>
      <c r="J1371" s="51" t="s">
        <v>24</v>
      </c>
      <c r="K1371" s="51" t="s">
        <v>294</v>
      </c>
      <c r="L1371" s="41">
        <f t="shared" si="105"/>
        <v>1831515000</v>
      </c>
      <c r="M1371" s="41">
        <f t="shared" si="106"/>
        <v>846635000</v>
      </c>
      <c r="N1371" s="41">
        <f t="shared" si="107"/>
        <v>984880000</v>
      </c>
      <c r="O1371" s="41">
        <f t="shared" si="108"/>
        <v>0.6654686307816986</v>
      </c>
      <c r="P1371" s="41">
        <f t="shared" si="109"/>
        <v>0.38915619471876384</v>
      </c>
    </row>
    <row r="1372" spans="1:16" ht="19.95" customHeight="1">
      <c r="A1372" s="49">
        <v>1424</v>
      </c>
      <c r="B1372" s="50" t="s">
        <v>634</v>
      </c>
      <c r="C1372" s="51" t="s">
        <v>18</v>
      </c>
      <c r="D1372" s="51" t="s">
        <v>19</v>
      </c>
      <c r="E1372" s="52">
        <v>2665456000</v>
      </c>
      <c r="F1372" s="52">
        <v>778896000</v>
      </c>
      <c r="G1372" s="52">
        <v>764799000</v>
      </c>
      <c r="H1372" s="52" t="s">
        <v>757</v>
      </c>
      <c r="I1372" s="52">
        <v>128582000</v>
      </c>
      <c r="J1372" s="51" t="s">
        <v>24</v>
      </c>
      <c r="K1372" s="51" t="s">
        <v>294</v>
      </c>
      <c r="L1372" s="41">
        <f t="shared" si="105"/>
        <v>1886560000</v>
      </c>
      <c r="M1372" s="41">
        <f t="shared" si="106"/>
        <v>893381000</v>
      </c>
      <c r="N1372" s="41">
        <f t="shared" si="107"/>
        <v>993179000</v>
      </c>
      <c r="O1372" s="41">
        <f t="shared" si="108"/>
        <v>0.66482995780084164</v>
      </c>
      <c r="P1372" s="41">
        <f t="shared" si="109"/>
        <v>0.37261129052589875</v>
      </c>
    </row>
    <row r="1373" spans="1:16" ht="19.95" customHeight="1">
      <c r="A1373" s="49">
        <v>1425</v>
      </c>
      <c r="B1373" s="50" t="s">
        <v>634</v>
      </c>
      <c r="C1373" s="51" t="s">
        <v>20</v>
      </c>
      <c r="D1373" s="51" t="s">
        <v>21</v>
      </c>
      <c r="E1373" s="52">
        <v>3018227000</v>
      </c>
      <c r="F1373" s="52">
        <v>987357000</v>
      </c>
      <c r="G1373" s="52">
        <v>785179000</v>
      </c>
      <c r="H1373" s="52" t="s">
        <v>757</v>
      </c>
      <c r="I1373" s="52">
        <v>137596000</v>
      </c>
      <c r="J1373" s="51" t="s">
        <v>24</v>
      </c>
      <c r="K1373" s="51" t="s">
        <v>294</v>
      </c>
      <c r="L1373" s="41">
        <f t="shared" si="105"/>
        <v>2030870000</v>
      </c>
      <c r="M1373" s="41">
        <f t="shared" si="106"/>
        <v>922775000</v>
      </c>
      <c r="N1373" s="41">
        <f t="shared" si="107"/>
        <v>1108095000</v>
      </c>
      <c r="O1373" s="41">
        <f t="shared" si="108"/>
        <v>0.69426587198378387</v>
      </c>
      <c r="P1373" s="41">
        <f t="shared" si="109"/>
        <v>0.3671344136806145</v>
      </c>
    </row>
    <row r="1374" spans="1:16" ht="19.95" customHeight="1">
      <c r="A1374" s="49">
        <v>1426</v>
      </c>
      <c r="B1374" s="50" t="s">
        <v>635</v>
      </c>
      <c r="C1374" s="51" t="s">
        <v>11</v>
      </c>
      <c r="D1374" s="51" t="s">
        <v>12</v>
      </c>
      <c r="E1374" s="52">
        <v>16537000000</v>
      </c>
      <c r="F1374" s="52">
        <v>9373000000</v>
      </c>
      <c r="G1374" s="52">
        <v>914000000</v>
      </c>
      <c r="H1374" s="52" t="s">
        <v>757</v>
      </c>
      <c r="I1374" s="52">
        <v>1787000000</v>
      </c>
      <c r="J1374" s="51" t="s">
        <v>70</v>
      </c>
      <c r="K1374" s="51" t="s">
        <v>73</v>
      </c>
      <c r="L1374" s="41">
        <f t="shared" si="105"/>
        <v>7164000000</v>
      </c>
      <c r="M1374" s="41">
        <f t="shared" si="106"/>
        <v>2701000000</v>
      </c>
      <c r="N1374" s="41">
        <f t="shared" si="107"/>
        <v>4463000000</v>
      </c>
      <c r="O1374" s="41">
        <f t="shared" si="108"/>
        <v>0.83666928705327448</v>
      </c>
      <c r="P1374" s="41">
        <f t="shared" si="109"/>
        <v>0.26987966378424139</v>
      </c>
    </row>
    <row r="1375" spans="1:16" ht="19.95" customHeight="1">
      <c r="A1375" s="49">
        <v>1427</v>
      </c>
      <c r="B1375" s="50" t="s">
        <v>635</v>
      </c>
      <c r="C1375" s="51" t="s">
        <v>16</v>
      </c>
      <c r="D1375" s="51" t="s">
        <v>17</v>
      </c>
      <c r="E1375" s="52">
        <v>17087000000</v>
      </c>
      <c r="F1375" s="52">
        <v>9817000000</v>
      </c>
      <c r="G1375" s="52">
        <v>934000000</v>
      </c>
      <c r="H1375" s="52" t="s">
        <v>757</v>
      </c>
      <c r="I1375" s="52">
        <v>1901000000</v>
      </c>
      <c r="J1375" s="51" t="s">
        <v>70</v>
      </c>
      <c r="K1375" s="51" t="s">
        <v>73</v>
      </c>
      <c r="L1375" s="41">
        <f t="shared" si="105"/>
        <v>7270000000</v>
      </c>
      <c r="M1375" s="41">
        <f t="shared" si="106"/>
        <v>2835000000</v>
      </c>
      <c r="N1375" s="41">
        <f t="shared" si="107"/>
        <v>4435000000</v>
      </c>
      <c r="O1375" s="41">
        <f t="shared" si="108"/>
        <v>0.83408439164276937</v>
      </c>
      <c r="P1375" s="41">
        <f t="shared" si="109"/>
        <v>0.25955404693626732</v>
      </c>
    </row>
    <row r="1376" spans="1:16" ht="19.95" customHeight="1">
      <c r="A1376" s="49">
        <v>1428</v>
      </c>
      <c r="B1376" s="50" t="s">
        <v>635</v>
      </c>
      <c r="C1376" s="51" t="s">
        <v>18</v>
      </c>
      <c r="D1376" s="51" t="s">
        <v>19</v>
      </c>
      <c r="E1376" s="52">
        <v>18467000000</v>
      </c>
      <c r="F1376" s="52">
        <v>11031000000</v>
      </c>
      <c r="G1376" s="52">
        <v>981000000</v>
      </c>
      <c r="H1376" s="52" t="s">
        <v>757</v>
      </c>
      <c r="I1376" s="52">
        <v>1945000000</v>
      </c>
      <c r="J1376" s="51" t="s">
        <v>70</v>
      </c>
      <c r="K1376" s="51" t="s">
        <v>73</v>
      </c>
      <c r="L1376" s="41">
        <f t="shared" si="105"/>
        <v>7436000000</v>
      </c>
      <c r="M1376" s="41">
        <f t="shared" si="106"/>
        <v>2926000000</v>
      </c>
      <c r="N1376" s="41">
        <f t="shared" si="107"/>
        <v>4510000000</v>
      </c>
      <c r="O1376" s="41">
        <f t="shared" si="108"/>
        <v>0.84155520658471872</v>
      </c>
      <c r="P1376" s="41">
        <f t="shared" si="109"/>
        <v>0.24421941842205014</v>
      </c>
    </row>
    <row r="1377" spans="1:16" ht="19.95" customHeight="1">
      <c r="A1377" s="49">
        <v>1429</v>
      </c>
      <c r="B1377" s="50" t="s">
        <v>635</v>
      </c>
      <c r="C1377" s="51" t="s">
        <v>20</v>
      </c>
      <c r="D1377" s="51" t="s">
        <v>21</v>
      </c>
      <c r="E1377" s="52">
        <v>17489000000</v>
      </c>
      <c r="F1377" s="52">
        <v>9811000000</v>
      </c>
      <c r="G1377" s="52">
        <v>997000000</v>
      </c>
      <c r="H1377" s="52" t="s">
        <v>757</v>
      </c>
      <c r="I1377" s="52">
        <v>2034000000</v>
      </c>
      <c r="J1377" s="51" t="s">
        <v>70</v>
      </c>
      <c r="K1377" s="51" t="s">
        <v>73</v>
      </c>
      <c r="L1377" s="41">
        <f t="shared" si="105"/>
        <v>7678000000</v>
      </c>
      <c r="M1377" s="41">
        <f t="shared" si="106"/>
        <v>3031000000</v>
      </c>
      <c r="N1377" s="41">
        <f t="shared" si="107"/>
        <v>4647000000</v>
      </c>
      <c r="O1377" s="41">
        <f t="shared" si="108"/>
        <v>0.82669106295385675</v>
      </c>
      <c r="P1377" s="41">
        <f t="shared" si="109"/>
        <v>0.26570987477843216</v>
      </c>
    </row>
    <row r="1378" spans="1:16" ht="19.95" customHeight="1">
      <c r="A1378" s="49">
        <v>1430</v>
      </c>
      <c r="B1378" s="50" t="s">
        <v>636</v>
      </c>
      <c r="C1378" s="51" t="s">
        <v>11</v>
      </c>
      <c r="D1378" s="51" t="s">
        <v>12</v>
      </c>
      <c r="E1378" s="52">
        <v>4256157000</v>
      </c>
      <c r="F1378" s="52">
        <v>800380000</v>
      </c>
      <c r="G1378" s="52">
        <v>376687000</v>
      </c>
      <c r="H1378" s="52" t="s">
        <v>757</v>
      </c>
      <c r="I1378" s="52">
        <v>1068382000</v>
      </c>
      <c r="J1378" s="51" t="s">
        <v>80</v>
      </c>
      <c r="K1378" s="51" t="s">
        <v>81</v>
      </c>
      <c r="L1378" s="41">
        <f t="shared" si="105"/>
        <v>3455777000</v>
      </c>
      <c r="M1378" s="41">
        <f t="shared" si="106"/>
        <v>1445069000</v>
      </c>
      <c r="N1378" s="41">
        <f t="shared" si="107"/>
        <v>2010708000</v>
      </c>
      <c r="O1378" s="41">
        <f t="shared" si="108"/>
        <v>0.66047563564971878</v>
      </c>
      <c r="P1378" s="41">
        <f t="shared" si="109"/>
        <v>0.47242336220209924</v>
      </c>
    </row>
    <row r="1379" spans="1:16" ht="19.95" customHeight="1">
      <c r="A1379" s="49">
        <v>1431</v>
      </c>
      <c r="B1379" s="50" t="s">
        <v>636</v>
      </c>
      <c r="C1379" s="51" t="s">
        <v>16</v>
      </c>
      <c r="D1379" s="51" t="s">
        <v>17</v>
      </c>
      <c r="E1379" s="52">
        <v>4543849000</v>
      </c>
      <c r="F1379" s="52">
        <v>837946000</v>
      </c>
      <c r="G1379" s="52">
        <v>402369000</v>
      </c>
      <c r="H1379" s="52" t="s">
        <v>757</v>
      </c>
      <c r="I1379" s="52">
        <v>1107700000</v>
      </c>
      <c r="J1379" s="51" t="s">
        <v>80</v>
      </c>
      <c r="K1379" s="51" t="s">
        <v>81</v>
      </c>
      <c r="L1379" s="41">
        <f t="shared" si="105"/>
        <v>3705903000</v>
      </c>
      <c r="M1379" s="41">
        <f t="shared" si="106"/>
        <v>1510069000</v>
      </c>
      <c r="N1379" s="41">
        <f t="shared" si="107"/>
        <v>2195834000</v>
      </c>
      <c r="O1379" s="41">
        <f t="shared" si="108"/>
        <v>0.66766743349085766</v>
      </c>
      <c r="P1379" s="41">
        <f t="shared" si="109"/>
        <v>0.48325417503970752</v>
      </c>
    </row>
    <row r="1380" spans="1:16" ht="19.95" customHeight="1">
      <c r="A1380" s="49">
        <v>1432</v>
      </c>
      <c r="B1380" s="50" t="s">
        <v>636</v>
      </c>
      <c r="C1380" s="51" t="s">
        <v>18</v>
      </c>
      <c r="D1380" s="51" t="s">
        <v>19</v>
      </c>
      <c r="E1380" s="52">
        <v>4870818000</v>
      </c>
      <c r="F1380" s="52">
        <v>882803000</v>
      </c>
      <c r="G1380" s="52">
        <v>446845000</v>
      </c>
      <c r="H1380" s="52" t="s">
        <v>757</v>
      </c>
      <c r="I1380" s="52">
        <v>1143827000</v>
      </c>
      <c r="J1380" s="51" t="s">
        <v>80</v>
      </c>
      <c r="K1380" s="51" t="s">
        <v>81</v>
      </c>
      <c r="L1380" s="41">
        <f t="shared" si="105"/>
        <v>3988015000</v>
      </c>
      <c r="M1380" s="41">
        <f t="shared" si="106"/>
        <v>1590672000</v>
      </c>
      <c r="N1380" s="41">
        <f t="shared" si="107"/>
        <v>2397343000</v>
      </c>
      <c r="O1380" s="41">
        <f t="shared" si="108"/>
        <v>0.67342815929480426</v>
      </c>
      <c r="P1380" s="41">
        <f t="shared" si="109"/>
        <v>0.49218488557774076</v>
      </c>
    </row>
    <row r="1381" spans="1:16" ht="19.95" customHeight="1">
      <c r="A1381" s="49">
        <v>1433</v>
      </c>
      <c r="B1381" s="50" t="s">
        <v>636</v>
      </c>
      <c r="C1381" s="51" t="s">
        <v>20</v>
      </c>
      <c r="D1381" s="51" t="s">
        <v>21</v>
      </c>
      <c r="E1381" s="52">
        <v>5266103000</v>
      </c>
      <c r="F1381" s="52">
        <v>960192000</v>
      </c>
      <c r="G1381" s="52">
        <v>452835000</v>
      </c>
      <c r="H1381" s="52" t="s">
        <v>757</v>
      </c>
      <c r="I1381" s="52">
        <v>1177568000</v>
      </c>
      <c r="J1381" s="51" t="s">
        <v>80</v>
      </c>
      <c r="K1381" s="51" t="s">
        <v>81</v>
      </c>
      <c r="L1381" s="41">
        <f t="shared" si="105"/>
        <v>4305911000</v>
      </c>
      <c r="M1381" s="41">
        <f t="shared" si="106"/>
        <v>1630403000</v>
      </c>
      <c r="N1381" s="41">
        <f t="shared" si="107"/>
        <v>2675508000</v>
      </c>
      <c r="O1381" s="41">
        <f t="shared" si="108"/>
        <v>0.69039667473271982</v>
      </c>
      <c r="P1381" s="41">
        <f t="shared" si="109"/>
        <v>0.50806222362152809</v>
      </c>
    </row>
    <row r="1382" spans="1:16" ht="19.95" customHeight="1">
      <c r="A1382" s="49">
        <v>1438</v>
      </c>
      <c r="B1382" s="50" t="s">
        <v>637</v>
      </c>
      <c r="C1382" s="51" t="s">
        <v>11</v>
      </c>
      <c r="D1382" s="51" t="s">
        <v>302</v>
      </c>
      <c r="E1382" s="52">
        <v>24380510000</v>
      </c>
      <c r="F1382" s="52">
        <v>17889249000</v>
      </c>
      <c r="G1382" s="52">
        <v>4884284000</v>
      </c>
      <c r="H1382" s="52" t="s">
        <v>757</v>
      </c>
      <c r="I1382" s="52">
        <v>78900000</v>
      </c>
      <c r="J1382" s="51" t="s">
        <v>24</v>
      </c>
      <c r="K1382" s="51" t="s">
        <v>112</v>
      </c>
      <c r="L1382" s="41">
        <f t="shared" si="105"/>
        <v>6491261000</v>
      </c>
      <c r="M1382" s="41">
        <f t="shared" si="106"/>
        <v>4963184000</v>
      </c>
      <c r="N1382" s="41">
        <f t="shared" si="107"/>
        <v>1528077000</v>
      </c>
      <c r="O1382" s="41">
        <f t="shared" si="108"/>
        <v>0.7964282125353408</v>
      </c>
      <c r="P1382" s="41">
        <f t="shared" si="109"/>
        <v>6.2676170432858044E-2</v>
      </c>
    </row>
    <row r="1383" spans="1:16" ht="19.95" customHeight="1">
      <c r="A1383" s="49">
        <v>1439</v>
      </c>
      <c r="B1383" s="50" t="s">
        <v>637</v>
      </c>
      <c r="C1383" s="51" t="s">
        <v>16</v>
      </c>
      <c r="D1383" s="51" t="s">
        <v>157</v>
      </c>
      <c r="E1383" s="52">
        <v>23114000000</v>
      </c>
      <c r="F1383" s="52">
        <v>17082000000</v>
      </c>
      <c r="G1383" s="52">
        <v>4735000000</v>
      </c>
      <c r="H1383" s="52" t="s">
        <v>757</v>
      </c>
      <c r="I1383" s="52">
        <v>55000000</v>
      </c>
      <c r="J1383" s="51" t="s">
        <v>24</v>
      </c>
      <c r="K1383" s="51" t="s">
        <v>112</v>
      </c>
      <c r="L1383" s="41">
        <f t="shared" si="105"/>
        <v>6032000000</v>
      </c>
      <c r="M1383" s="41">
        <f t="shared" si="106"/>
        <v>4790000000</v>
      </c>
      <c r="N1383" s="41">
        <f t="shared" si="107"/>
        <v>1242000000</v>
      </c>
      <c r="O1383" s="41">
        <f t="shared" si="108"/>
        <v>0.79276628882928102</v>
      </c>
      <c r="P1383" s="41">
        <f t="shared" si="109"/>
        <v>5.3733667906896251E-2</v>
      </c>
    </row>
    <row r="1384" spans="1:16" ht="19.95" customHeight="1">
      <c r="A1384" s="49">
        <v>1440</v>
      </c>
      <c r="B1384" s="50" t="s">
        <v>637</v>
      </c>
      <c r="C1384" s="51" t="s">
        <v>18</v>
      </c>
      <c r="D1384" s="51" t="s">
        <v>67</v>
      </c>
      <c r="E1384" s="52">
        <v>22492000000</v>
      </c>
      <c r="F1384" s="52">
        <v>16691000000</v>
      </c>
      <c r="G1384" s="52">
        <v>4816000000</v>
      </c>
      <c r="H1384" s="52" t="s">
        <v>757</v>
      </c>
      <c r="I1384" s="52">
        <v>62000000</v>
      </c>
      <c r="J1384" s="51" t="s">
        <v>24</v>
      </c>
      <c r="K1384" s="51" t="s">
        <v>112</v>
      </c>
      <c r="L1384" s="41">
        <f t="shared" si="105"/>
        <v>5801000000</v>
      </c>
      <c r="M1384" s="41">
        <f t="shared" si="106"/>
        <v>4878000000</v>
      </c>
      <c r="N1384" s="41">
        <f t="shared" si="107"/>
        <v>923000000</v>
      </c>
      <c r="O1384" s="41">
        <f t="shared" si="108"/>
        <v>0.78312288813800457</v>
      </c>
      <c r="P1384" s="41">
        <f t="shared" si="109"/>
        <v>4.1036813089098345E-2</v>
      </c>
    </row>
    <row r="1385" spans="1:16" ht="19.95" customHeight="1">
      <c r="A1385" s="49">
        <v>1441</v>
      </c>
      <c r="B1385" s="50" t="s">
        <v>637</v>
      </c>
      <c r="C1385" s="51" t="s">
        <v>20</v>
      </c>
      <c r="D1385" s="51" t="s">
        <v>158</v>
      </c>
      <c r="E1385" s="52">
        <v>21059000000</v>
      </c>
      <c r="F1385" s="52">
        <v>15545000000</v>
      </c>
      <c r="G1385" s="52">
        <v>4600000000</v>
      </c>
      <c r="H1385" s="52" t="s">
        <v>757</v>
      </c>
      <c r="I1385" s="52">
        <v>67000000</v>
      </c>
      <c r="J1385" s="51" t="s">
        <v>24</v>
      </c>
      <c r="K1385" s="51" t="s">
        <v>112</v>
      </c>
      <c r="L1385" s="41">
        <f t="shared" si="105"/>
        <v>5514000000</v>
      </c>
      <c r="M1385" s="41">
        <f t="shared" si="106"/>
        <v>4667000000</v>
      </c>
      <c r="N1385" s="41">
        <f t="shared" si="107"/>
        <v>847000000</v>
      </c>
      <c r="O1385" s="41">
        <f t="shared" si="108"/>
        <v>0.77838453867705015</v>
      </c>
      <c r="P1385" s="41">
        <f t="shared" si="109"/>
        <v>4.0220333349161877E-2</v>
      </c>
    </row>
    <row r="1386" spans="1:16" ht="19.95" customHeight="1">
      <c r="A1386" s="49">
        <v>1442</v>
      </c>
      <c r="B1386" s="50" t="s">
        <v>638</v>
      </c>
      <c r="C1386" s="51" t="s">
        <v>11</v>
      </c>
      <c r="D1386" s="51" t="s">
        <v>12</v>
      </c>
      <c r="E1386" s="52">
        <v>1913149000</v>
      </c>
      <c r="F1386" s="52">
        <v>1055844000</v>
      </c>
      <c r="G1386" s="52">
        <v>356817000</v>
      </c>
      <c r="H1386" s="52" t="s">
        <v>757</v>
      </c>
      <c r="I1386" s="52">
        <v>31652000</v>
      </c>
      <c r="J1386" s="51" t="s">
        <v>14</v>
      </c>
      <c r="K1386" s="51" t="s">
        <v>224</v>
      </c>
      <c r="L1386" s="41">
        <f t="shared" si="105"/>
        <v>857305000</v>
      </c>
      <c r="M1386" s="41">
        <f t="shared" si="106"/>
        <v>388469000</v>
      </c>
      <c r="N1386" s="41">
        <f t="shared" si="107"/>
        <v>468836000</v>
      </c>
      <c r="O1386" s="41">
        <f t="shared" si="108"/>
        <v>0.79694785926239931</v>
      </c>
      <c r="P1386" s="41">
        <f t="shared" si="109"/>
        <v>0.24505984635802019</v>
      </c>
    </row>
    <row r="1387" spans="1:16" ht="19.95" customHeight="1">
      <c r="A1387" s="49">
        <v>1443</v>
      </c>
      <c r="B1387" s="50" t="s">
        <v>638</v>
      </c>
      <c r="C1387" s="51" t="s">
        <v>16</v>
      </c>
      <c r="D1387" s="51" t="s">
        <v>17</v>
      </c>
      <c r="E1387" s="52">
        <v>2142807000</v>
      </c>
      <c r="F1387" s="52">
        <v>1178173000</v>
      </c>
      <c r="G1387" s="52">
        <v>390610000</v>
      </c>
      <c r="H1387" s="52" t="s">
        <v>757</v>
      </c>
      <c r="I1387" s="52">
        <v>38405000</v>
      </c>
      <c r="J1387" s="51" t="s">
        <v>14</v>
      </c>
      <c r="K1387" s="51" t="s">
        <v>224</v>
      </c>
      <c r="L1387" s="41">
        <f t="shared" si="105"/>
        <v>964634000</v>
      </c>
      <c r="M1387" s="41">
        <f t="shared" si="106"/>
        <v>429015000</v>
      </c>
      <c r="N1387" s="41">
        <f t="shared" si="107"/>
        <v>535619000</v>
      </c>
      <c r="O1387" s="41">
        <f t="shared" si="108"/>
        <v>0.79978831504657211</v>
      </c>
      <c r="P1387" s="41">
        <f t="shared" si="109"/>
        <v>0.24996138242968219</v>
      </c>
    </row>
    <row r="1388" spans="1:16" ht="19.95" customHeight="1">
      <c r="A1388" s="49">
        <v>1444</v>
      </c>
      <c r="B1388" s="50" t="s">
        <v>638</v>
      </c>
      <c r="C1388" s="51" t="s">
        <v>18</v>
      </c>
      <c r="D1388" s="51" t="s">
        <v>19</v>
      </c>
      <c r="E1388" s="52">
        <v>2555601000</v>
      </c>
      <c r="F1388" s="52">
        <v>1461190000</v>
      </c>
      <c r="G1388" s="52">
        <v>489937000</v>
      </c>
      <c r="H1388" s="52" t="s">
        <v>757</v>
      </c>
      <c r="I1388" s="52">
        <v>48138000</v>
      </c>
      <c r="J1388" s="51" t="s">
        <v>14</v>
      </c>
      <c r="K1388" s="51" t="s">
        <v>224</v>
      </c>
      <c r="L1388" s="41">
        <f t="shared" si="105"/>
        <v>1094411000</v>
      </c>
      <c r="M1388" s="41">
        <f t="shared" si="106"/>
        <v>538075000</v>
      </c>
      <c r="N1388" s="41">
        <f t="shared" si="107"/>
        <v>556336000</v>
      </c>
      <c r="O1388" s="41">
        <f t="shared" si="108"/>
        <v>0.78945265712448853</v>
      </c>
      <c r="P1388" s="41">
        <f t="shared" si="109"/>
        <v>0.21769282450585986</v>
      </c>
    </row>
    <row r="1389" spans="1:16" ht="19.95" customHeight="1">
      <c r="A1389" s="49">
        <v>1445</v>
      </c>
      <c r="B1389" s="50" t="s">
        <v>638</v>
      </c>
      <c r="C1389" s="51" t="s">
        <v>20</v>
      </c>
      <c r="D1389" s="51" t="s">
        <v>21</v>
      </c>
      <c r="E1389" s="52">
        <v>2985908000</v>
      </c>
      <c r="F1389" s="52">
        <v>1719723000</v>
      </c>
      <c r="G1389" s="52">
        <v>712803000</v>
      </c>
      <c r="H1389" s="52" t="s">
        <v>757</v>
      </c>
      <c r="I1389" s="52">
        <v>65770000</v>
      </c>
      <c r="J1389" s="51" t="s">
        <v>14</v>
      </c>
      <c r="K1389" s="51" t="s">
        <v>224</v>
      </c>
      <c r="L1389" s="41">
        <f t="shared" si="105"/>
        <v>1266185000</v>
      </c>
      <c r="M1389" s="41">
        <f t="shared" si="106"/>
        <v>778573000</v>
      </c>
      <c r="N1389" s="41">
        <f t="shared" si="107"/>
        <v>487612000</v>
      </c>
      <c r="O1389" s="41">
        <f t="shared" si="108"/>
        <v>0.73925084095022353</v>
      </c>
      <c r="P1389" s="41">
        <f t="shared" si="109"/>
        <v>0.16330442866960401</v>
      </c>
    </row>
    <row r="1390" spans="1:16" ht="19.95" customHeight="1">
      <c r="A1390" s="49">
        <v>1446</v>
      </c>
      <c r="B1390" s="50" t="s">
        <v>639</v>
      </c>
      <c r="C1390" s="51" t="s">
        <v>11</v>
      </c>
      <c r="D1390" s="51" t="s">
        <v>12</v>
      </c>
      <c r="E1390" s="52">
        <v>9647000000</v>
      </c>
      <c r="F1390" s="52">
        <v>6646000000</v>
      </c>
      <c r="G1390" s="52">
        <v>359000000</v>
      </c>
      <c r="H1390" s="52" t="s">
        <v>757</v>
      </c>
      <c r="I1390" s="52">
        <v>1090000000</v>
      </c>
      <c r="J1390" s="51" t="s">
        <v>70</v>
      </c>
      <c r="K1390" s="51" t="s">
        <v>71</v>
      </c>
      <c r="L1390" s="41">
        <f t="shared" si="105"/>
        <v>3001000000</v>
      </c>
      <c r="M1390" s="41">
        <f t="shared" si="106"/>
        <v>1449000000</v>
      </c>
      <c r="N1390" s="41">
        <f t="shared" si="107"/>
        <v>1552000000</v>
      </c>
      <c r="O1390" s="41">
        <f t="shared" si="108"/>
        <v>0.84979786462112572</v>
      </c>
      <c r="P1390" s="41">
        <f t="shared" si="109"/>
        <v>0.1608790297501814</v>
      </c>
    </row>
    <row r="1391" spans="1:16" ht="19.95" customHeight="1">
      <c r="A1391" s="49">
        <v>1447</v>
      </c>
      <c r="B1391" s="50" t="s">
        <v>639</v>
      </c>
      <c r="C1391" s="51" t="s">
        <v>16</v>
      </c>
      <c r="D1391" s="51" t="s">
        <v>17</v>
      </c>
      <c r="E1391" s="52">
        <v>10557000000</v>
      </c>
      <c r="F1391" s="52">
        <v>7186000000</v>
      </c>
      <c r="G1391" s="52">
        <v>574000000</v>
      </c>
      <c r="H1391" s="52" t="s">
        <v>757</v>
      </c>
      <c r="I1391" s="52">
        <v>1113000000</v>
      </c>
      <c r="J1391" s="51" t="s">
        <v>70</v>
      </c>
      <c r="K1391" s="51" t="s">
        <v>71</v>
      </c>
      <c r="L1391" s="41">
        <f t="shared" si="105"/>
        <v>3371000000</v>
      </c>
      <c r="M1391" s="41">
        <f t="shared" si="106"/>
        <v>1687000000</v>
      </c>
      <c r="N1391" s="41">
        <f t="shared" si="107"/>
        <v>1684000000</v>
      </c>
      <c r="O1391" s="41">
        <f t="shared" si="108"/>
        <v>0.840200814625367</v>
      </c>
      <c r="P1391" s="41">
        <f t="shared" si="109"/>
        <v>0.15951501373496257</v>
      </c>
    </row>
    <row r="1392" spans="1:16" ht="19.95" customHeight="1">
      <c r="A1392" s="49">
        <v>1448</v>
      </c>
      <c r="B1392" s="50" t="s">
        <v>639</v>
      </c>
      <c r="C1392" s="51" t="s">
        <v>18</v>
      </c>
      <c r="D1392" s="51" t="s">
        <v>19</v>
      </c>
      <c r="E1392" s="52">
        <v>11035000000</v>
      </c>
      <c r="F1392" s="52">
        <v>7689000000</v>
      </c>
      <c r="G1392" s="52">
        <v>414000000</v>
      </c>
      <c r="H1392" s="52" t="s">
        <v>757</v>
      </c>
      <c r="I1392" s="52">
        <v>1156000000</v>
      </c>
      <c r="J1392" s="51" t="s">
        <v>70</v>
      </c>
      <c r="K1392" s="51" t="s">
        <v>71</v>
      </c>
      <c r="L1392" s="41">
        <f t="shared" si="105"/>
        <v>3346000000</v>
      </c>
      <c r="M1392" s="41">
        <f t="shared" si="106"/>
        <v>1570000000</v>
      </c>
      <c r="N1392" s="41">
        <f t="shared" si="107"/>
        <v>1776000000</v>
      </c>
      <c r="O1392" s="41">
        <f t="shared" si="108"/>
        <v>0.85772541912097866</v>
      </c>
      <c r="P1392" s="41">
        <f t="shared" si="109"/>
        <v>0.16094245582238331</v>
      </c>
    </row>
    <row r="1393" spans="1:16" ht="19.95" customHeight="1">
      <c r="A1393" s="49">
        <v>1449</v>
      </c>
      <c r="B1393" s="50" t="s">
        <v>639</v>
      </c>
      <c r="C1393" s="51" t="s">
        <v>20</v>
      </c>
      <c r="D1393" s="51" t="s">
        <v>21</v>
      </c>
      <c r="E1393" s="52">
        <v>10231000000</v>
      </c>
      <c r="F1393" s="52">
        <v>6648000000</v>
      </c>
      <c r="G1393" s="52">
        <v>397000000</v>
      </c>
      <c r="H1393" s="52" t="s">
        <v>757</v>
      </c>
      <c r="I1393" s="52">
        <v>1250000000</v>
      </c>
      <c r="J1393" s="51" t="s">
        <v>70</v>
      </c>
      <c r="K1393" s="51" t="s">
        <v>71</v>
      </c>
      <c r="L1393" s="41">
        <f t="shared" si="105"/>
        <v>3583000000</v>
      </c>
      <c r="M1393" s="41">
        <f t="shared" si="106"/>
        <v>1647000000</v>
      </c>
      <c r="N1393" s="41">
        <f t="shared" si="107"/>
        <v>1936000000</v>
      </c>
      <c r="O1393" s="41">
        <f t="shared" si="108"/>
        <v>0.83901866875183262</v>
      </c>
      <c r="P1393" s="41">
        <f t="shared" si="109"/>
        <v>0.18922881438764538</v>
      </c>
    </row>
    <row r="1394" spans="1:16" ht="19.95" customHeight="1">
      <c r="A1394" s="49">
        <v>1450</v>
      </c>
      <c r="B1394" s="50" t="s">
        <v>640</v>
      </c>
      <c r="C1394" s="51" t="s">
        <v>11</v>
      </c>
      <c r="D1394" s="51" t="s">
        <v>12</v>
      </c>
      <c r="E1394" s="52">
        <v>11240000000</v>
      </c>
      <c r="F1394" s="52">
        <v>429000000</v>
      </c>
      <c r="G1394" s="52">
        <v>6073000000</v>
      </c>
      <c r="H1394" s="52" t="s">
        <v>757</v>
      </c>
      <c r="I1394" s="52">
        <v>1441000000</v>
      </c>
      <c r="J1394" s="51" t="s">
        <v>75</v>
      </c>
      <c r="K1394" s="51" t="s">
        <v>146</v>
      </c>
      <c r="L1394" s="41">
        <f t="shared" si="105"/>
        <v>10811000000</v>
      </c>
      <c r="M1394" s="41">
        <f t="shared" si="106"/>
        <v>7514000000</v>
      </c>
      <c r="N1394" s="41">
        <f t="shared" si="107"/>
        <v>3297000000</v>
      </c>
      <c r="O1394" s="41">
        <f t="shared" si="108"/>
        <v>0.33149466192170818</v>
      </c>
      <c r="P1394" s="41">
        <f t="shared" si="109"/>
        <v>0.29332740213523134</v>
      </c>
    </row>
    <row r="1395" spans="1:16" ht="19.95" customHeight="1">
      <c r="A1395" s="53">
        <v>1451</v>
      </c>
      <c r="B1395" s="54" t="s">
        <v>640</v>
      </c>
      <c r="C1395" s="55" t="s">
        <v>16</v>
      </c>
      <c r="D1395" s="55" t="s">
        <v>17</v>
      </c>
      <c r="E1395" s="56">
        <v>8602000000</v>
      </c>
      <c r="F1395" s="56">
        <v>291000000</v>
      </c>
      <c r="G1395" s="56">
        <v>5808000000</v>
      </c>
      <c r="H1395" s="56" t="s">
        <v>757</v>
      </c>
      <c r="I1395" s="56">
        <v>576000000</v>
      </c>
      <c r="J1395" s="55" t="s">
        <v>75</v>
      </c>
      <c r="K1395" s="55" t="s">
        <v>146</v>
      </c>
      <c r="L1395" s="57">
        <f t="shared" si="105"/>
        <v>8311000000</v>
      </c>
      <c r="M1395" s="57">
        <f t="shared" si="106"/>
        <v>6384000000</v>
      </c>
      <c r="N1395" s="57">
        <f t="shared" si="107"/>
        <v>1927000000</v>
      </c>
      <c r="O1395" s="57">
        <f t="shared" si="108"/>
        <v>0.25784701232271567</v>
      </c>
      <c r="P1395" s="57">
        <f t="shared" si="109"/>
        <v>0.22401767030923042</v>
      </c>
    </row>
    <row r="1396" spans="1:16" ht="19.95" customHeight="1">
      <c r="A1396" s="49">
        <v>1452</v>
      </c>
      <c r="B1396" s="50" t="s">
        <v>640</v>
      </c>
      <c r="C1396" s="51" t="s">
        <v>18</v>
      </c>
      <c r="D1396" s="51" t="s">
        <v>19</v>
      </c>
      <c r="E1396" s="52">
        <v>8707000000</v>
      </c>
      <c r="F1396" s="52">
        <v>235000000</v>
      </c>
      <c r="G1396" s="52">
        <v>5518000000</v>
      </c>
      <c r="H1396" s="52" t="s">
        <v>757</v>
      </c>
      <c r="I1396" s="52">
        <v>367000000</v>
      </c>
      <c r="J1396" s="51" t="s">
        <v>75</v>
      </c>
      <c r="K1396" s="51" t="s">
        <v>146</v>
      </c>
      <c r="L1396" s="41">
        <f t="shared" si="105"/>
        <v>8472000000</v>
      </c>
      <c r="M1396" s="41">
        <f t="shared" si="106"/>
        <v>5885000000</v>
      </c>
      <c r="N1396" s="41">
        <f t="shared" si="107"/>
        <v>2587000000</v>
      </c>
      <c r="O1396" s="41">
        <f t="shared" si="108"/>
        <v>0.32410704031239235</v>
      </c>
      <c r="P1396" s="41">
        <f t="shared" si="109"/>
        <v>0.29711726197312505</v>
      </c>
    </row>
    <row r="1397" spans="1:16" ht="19.95" customHeight="1">
      <c r="A1397" s="49">
        <v>1453</v>
      </c>
      <c r="B1397" s="50" t="s">
        <v>640</v>
      </c>
      <c r="C1397" s="51" t="s">
        <v>20</v>
      </c>
      <c r="D1397" s="51" t="s">
        <v>21</v>
      </c>
      <c r="E1397" s="52">
        <v>8533000000</v>
      </c>
      <c r="F1397" s="52">
        <v>219000000</v>
      </c>
      <c r="G1397" s="52">
        <v>5120000000</v>
      </c>
      <c r="H1397" s="52" t="s">
        <v>757</v>
      </c>
      <c r="I1397" s="52">
        <v>205000000</v>
      </c>
      <c r="J1397" s="51" t="s">
        <v>75</v>
      </c>
      <c r="K1397" s="51" t="s">
        <v>146</v>
      </c>
      <c r="L1397" s="41">
        <f t="shared" si="105"/>
        <v>8314000000</v>
      </c>
      <c r="M1397" s="41">
        <f t="shared" si="106"/>
        <v>5325000000</v>
      </c>
      <c r="N1397" s="41">
        <f t="shared" si="107"/>
        <v>2989000000</v>
      </c>
      <c r="O1397" s="41">
        <f t="shared" si="108"/>
        <v>0.3759521856322513</v>
      </c>
      <c r="P1397" s="41">
        <f t="shared" si="109"/>
        <v>0.35028712059064809</v>
      </c>
    </row>
    <row r="1398" spans="1:16" ht="19.95" customHeight="1">
      <c r="A1398" s="49">
        <v>1458</v>
      </c>
      <c r="B1398" s="50" t="s">
        <v>641</v>
      </c>
      <c r="C1398" s="51" t="s">
        <v>11</v>
      </c>
      <c r="D1398" s="51" t="s">
        <v>418</v>
      </c>
      <c r="E1398" s="52">
        <v>14351000000</v>
      </c>
      <c r="F1398" s="52">
        <v>10411000000</v>
      </c>
      <c r="G1398" s="52">
        <v>635000000</v>
      </c>
      <c r="H1398" s="52">
        <v>1133000000</v>
      </c>
      <c r="I1398" s="52">
        <v>79000000</v>
      </c>
      <c r="J1398" s="51" t="s">
        <v>31</v>
      </c>
      <c r="K1398" s="51" t="s">
        <v>642</v>
      </c>
      <c r="L1398" s="41">
        <f t="shared" si="105"/>
        <v>3940000000</v>
      </c>
      <c r="M1398" s="41">
        <f t="shared" si="106"/>
        <v>1847000000</v>
      </c>
      <c r="N1398" s="41">
        <f t="shared" si="107"/>
        <v>2093000000</v>
      </c>
      <c r="O1398" s="41">
        <f t="shared" si="108"/>
        <v>0.8712981673750958</v>
      </c>
      <c r="P1398" s="41">
        <f t="shared" si="109"/>
        <v>0.14584349522681347</v>
      </c>
    </row>
    <row r="1399" spans="1:16" ht="19.95" customHeight="1">
      <c r="A1399" s="49">
        <v>1459</v>
      </c>
      <c r="B1399" s="50" t="s">
        <v>641</v>
      </c>
      <c r="C1399" s="51" t="s">
        <v>16</v>
      </c>
      <c r="D1399" s="51" t="s">
        <v>420</v>
      </c>
      <c r="E1399" s="52">
        <v>13724000000</v>
      </c>
      <c r="F1399" s="52">
        <v>9878000000</v>
      </c>
      <c r="G1399" s="52">
        <v>722000000</v>
      </c>
      <c r="H1399" s="52">
        <v>1226000000</v>
      </c>
      <c r="I1399" s="52">
        <v>98000000</v>
      </c>
      <c r="J1399" s="51" t="s">
        <v>31</v>
      </c>
      <c r="K1399" s="51" t="s">
        <v>642</v>
      </c>
      <c r="L1399" s="41">
        <f t="shared" si="105"/>
        <v>3846000000</v>
      </c>
      <c r="M1399" s="41">
        <f t="shared" si="106"/>
        <v>2046000000</v>
      </c>
      <c r="N1399" s="41">
        <f t="shared" si="107"/>
        <v>1800000000</v>
      </c>
      <c r="O1399" s="41">
        <f t="shared" si="108"/>
        <v>0.8509180996793938</v>
      </c>
      <c r="P1399" s="41">
        <f t="shared" si="109"/>
        <v>0.13115709705625181</v>
      </c>
    </row>
    <row r="1400" spans="1:16" ht="19.95" customHeight="1">
      <c r="A1400" s="49">
        <v>1460</v>
      </c>
      <c r="B1400" s="50" t="s">
        <v>641</v>
      </c>
      <c r="C1400" s="51" t="s">
        <v>18</v>
      </c>
      <c r="D1400" s="51" t="s">
        <v>421</v>
      </c>
      <c r="E1400" s="52">
        <v>13739000000</v>
      </c>
      <c r="F1400" s="52">
        <v>9930000000</v>
      </c>
      <c r="G1400" s="52">
        <v>237000000</v>
      </c>
      <c r="H1400" s="52">
        <v>1353000000</v>
      </c>
      <c r="I1400" s="52">
        <v>129000000</v>
      </c>
      <c r="J1400" s="51" t="s">
        <v>31</v>
      </c>
      <c r="K1400" s="51" t="s">
        <v>642</v>
      </c>
      <c r="L1400" s="41">
        <f t="shared" si="105"/>
        <v>3809000000</v>
      </c>
      <c r="M1400" s="41">
        <f t="shared" si="106"/>
        <v>1719000000</v>
      </c>
      <c r="N1400" s="41">
        <f t="shared" si="107"/>
        <v>2090000000</v>
      </c>
      <c r="O1400" s="41">
        <f t="shared" si="108"/>
        <v>0.87488172356066674</v>
      </c>
      <c r="P1400" s="41">
        <f t="shared" si="109"/>
        <v>0.1521216973578863</v>
      </c>
    </row>
    <row r="1401" spans="1:16" ht="19.95" customHeight="1">
      <c r="A1401" s="49">
        <v>1461</v>
      </c>
      <c r="B1401" s="50" t="s">
        <v>641</v>
      </c>
      <c r="C1401" s="51" t="s">
        <v>20</v>
      </c>
      <c r="D1401" s="51" t="s">
        <v>422</v>
      </c>
      <c r="E1401" s="52">
        <v>11160000000</v>
      </c>
      <c r="F1401" s="52">
        <v>8545000000</v>
      </c>
      <c r="G1401" s="52">
        <v>635000000</v>
      </c>
      <c r="H1401" s="52">
        <v>1237000000</v>
      </c>
      <c r="I1401" s="52">
        <v>123000000</v>
      </c>
      <c r="J1401" s="51" t="s">
        <v>31</v>
      </c>
      <c r="K1401" s="51" t="s">
        <v>642</v>
      </c>
      <c r="L1401" s="41">
        <f t="shared" si="105"/>
        <v>2615000000</v>
      </c>
      <c r="M1401" s="41">
        <f t="shared" si="106"/>
        <v>1995000000</v>
      </c>
      <c r="N1401" s="41">
        <f t="shared" si="107"/>
        <v>620000000</v>
      </c>
      <c r="O1401" s="41">
        <f t="shared" si="108"/>
        <v>0.82123655913978499</v>
      </c>
      <c r="P1401" s="41">
        <f t="shared" si="109"/>
        <v>5.5555555555555552E-2</v>
      </c>
    </row>
    <row r="1402" spans="1:16" ht="19.95" customHeight="1">
      <c r="A1402" s="49">
        <v>1462</v>
      </c>
      <c r="B1402" s="50" t="s">
        <v>643</v>
      </c>
      <c r="C1402" s="51" t="s">
        <v>11</v>
      </c>
      <c r="D1402" s="51" t="s">
        <v>464</v>
      </c>
      <c r="E1402" s="52">
        <v>2796100000</v>
      </c>
      <c r="F1402" s="52">
        <v>1687800000</v>
      </c>
      <c r="G1402" s="52">
        <v>585400000</v>
      </c>
      <c r="H1402" s="52" t="s">
        <v>757</v>
      </c>
      <c r="I1402" s="52" t="s">
        <v>757</v>
      </c>
      <c r="J1402" s="51" t="s">
        <v>60</v>
      </c>
      <c r="K1402" s="51" t="s">
        <v>644</v>
      </c>
      <c r="L1402" s="41">
        <f t="shared" si="105"/>
        <v>1108300000</v>
      </c>
      <c r="M1402" s="41">
        <f t="shared" si="106"/>
        <v>585400000</v>
      </c>
      <c r="N1402" s="41">
        <f t="shared" si="107"/>
        <v>522900000</v>
      </c>
      <c r="O1402" s="41">
        <f t="shared" si="108"/>
        <v>0.7906369586209363</v>
      </c>
      <c r="P1402" s="41">
        <f t="shared" si="109"/>
        <v>0.18701047888129896</v>
      </c>
    </row>
    <row r="1403" spans="1:16" ht="19.95" customHeight="1">
      <c r="A1403" s="49">
        <v>1463</v>
      </c>
      <c r="B1403" s="50" t="s">
        <v>643</v>
      </c>
      <c r="C1403" s="51" t="s">
        <v>16</v>
      </c>
      <c r="D1403" s="51" t="s">
        <v>465</v>
      </c>
      <c r="E1403" s="52">
        <v>4867700000</v>
      </c>
      <c r="F1403" s="52">
        <v>2876000000</v>
      </c>
      <c r="G1403" s="52">
        <v>895100000</v>
      </c>
      <c r="H1403" s="52" t="s">
        <v>757</v>
      </c>
      <c r="I1403" s="52" t="s">
        <v>757</v>
      </c>
      <c r="J1403" s="51" t="s">
        <v>60</v>
      </c>
      <c r="K1403" s="51" t="s">
        <v>644</v>
      </c>
      <c r="L1403" s="41">
        <f t="shared" si="105"/>
        <v>1991700000</v>
      </c>
      <c r="M1403" s="41">
        <f t="shared" si="106"/>
        <v>895100000</v>
      </c>
      <c r="N1403" s="41">
        <f t="shared" si="107"/>
        <v>1096600000</v>
      </c>
      <c r="O1403" s="41">
        <f t="shared" si="108"/>
        <v>0.81611438667132319</v>
      </c>
      <c r="P1403" s="41">
        <f t="shared" si="109"/>
        <v>0.22528093350042114</v>
      </c>
    </row>
    <row r="1404" spans="1:16" ht="19.95" customHeight="1">
      <c r="A1404" s="49">
        <v>1464</v>
      </c>
      <c r="B1404" s="50" t="s">
        <v>643</v>
      </c>
      <c r="C1404" s="51" t="s">
        <v>18</v>
      </c>
      <c r="D1404" s="51" t="s">
        <v>151</v>
      </c>
      <c r="E1404" s="52">
        <v>6028000000</v>
      </c>
      <c r="F1404" s="52">
        <v>3449400000</v>
      </c>
      <c r="G1404" s="52">
        <v>1078400000</v>
      </c>
      <c r="H1404" s="52" t="s">
        <v>757</v>
      </c>
      <c r="I1404" s="52" t="s">
        <v>757</v>
      </c>
      <c r="J1404" s="51" t="s">
        <v>60</v>
      </c>
      <c r="K1404" s="51" t="s">
        <v>644</v>
      </c>
      <c r="L1404" s="41">
        <f t="shared" si="105"/>
        <v>2578600000</v>
      </c>
      <c r="M1404" s="41">
        <f t="shared" si="106"/>
        <v>1078400000</v>
      </c>
      <c r="N1404" s="41">
        <f t="shared" si="107"/>
        <v>1500200000</v>
      </c>
      <c r="O1404" s="41">
        <f t="shared" si="108"/>
        <v>0.82110152621101529</v>
      </c>
      <c r="P1404" s="41">
        <f t="shared" si="109"/>
        <v>0.24887193098871932</v>
      </c>
    </row>
    <row r="1405" spans="1:16" ht="19.95" customHeight="1">
      <c r="A1405" s="49">
        <v>1465</v>
      </c>
      <c r="B1405" s="50" t="s">
        <v>643</v>
      </c>
      <c r="C1405" s="51" t="s">
        <v>20</v>
      </c>
      <c r="D1405" s="51" t="s">
        <v>466</v>
      </c>
      <c r="E1405" s="52">
        <v>6548400000</v>
      </c>
      <c r="F1405" s="52">
        <v>3606100000</v>
      </c>
      <c r="G1405" s="52">
        <v>1177200000</v>
      </c>
      <c r="H1405" s="52" t="s">
        <v>757</v>
      </c>
      <c r="I1405" s="52" t="s">
        <v>757</v>
      </c>
      <c r="J1405" s="51" t="s">
        <v>60</v>
      </c>
      <c r="K1405" s="51" t="s">
        <v>644</v>
      </c>
      <c r="L1405" s="41">
        <f t="shared" si="105"/>
        <v>2942300000</v>
      </c>
      <c r="M1405" s="41">
        <f t="shared" si="106"/>
        <v>1177200000</v>
      </c>
      <c r="N1405" s="41">
        <f t="shared" si="107"/>
        <v>1765100000</v>
      </c>
      <c r="O1405" s="41">
        <f t="shared" si="108"/>
        <v>0.82023089609675648</v>
      </c>
      <c r="P1405" s="41">
        <f t="shared" si="109"/>
        <v>0.26954675951377438</v>
      </c>
    </row>
    <row r="1406" spans="1:16" ht="19.95" customHeight="1">
      <c r="A1406" s="49">
        <v>1466</v>
      </c>
      <c r="B1406" s="50" t="s">
        <v>645</v>
      </c>
      <c r="C1406" s="51" t="s">
        <v>11</v>
      </c>
      <c r="D1406" s="51" t="s">
        <v>26</v>
      </c>
      <c r="E1406" s="52">
        <v>10889500000</v>
      </c>
      <c r="F1406" s="52">
        <v>6985800000</v>
      </c>
      <c r="G1406" s="52">
        <v>2960300000</v>
      </c>
      <c r="H1406" s="52" t="s">
        <v>757</v>
      </c>
      <c r="I1406" s="52" t="s">
        <v>757</v>
      </c>
      <c r="J1406" s="51" t="s">
        <v>24</v>
      </c>
      <c r="K1406" s="51" t="s">
        <v>633</v>
      </c>
      <c r="L1406" s="41">
        <f t="shared" si="105"/>
        <v>3903700000</v>
      </c>
      <c r="M1406" s="41">
        <f t="shared" si="106"/>
        <v>2960300000</v>
      </c>
      <c r="N1406" s="41">
        <f t="shared" si="107"/>
        <v>943400000</v>
      </c>
      <c r="O1406" s="41">
        <f t="shared" si="108"/>
        <v>0.72815097111896776</v>
      </c>
      <c r="P1406" s="41">
        <f t="shared" si="109"/>
        <v>8.6633913402819229E-2</v>
      </c>
    </row>
    <row r="1407" spans="1:16" ht="19.95" customHeight="1">
      <c r="A1407" s="49">
        <v>1467</v>
      </c>
      <c r="B1407" s="50" t="s">
        <v>645</v>
      </c>
      <c r="C1407" s="51" t="s">
        <v>16</v>
      </c>
      <c r="D1407" s="51" t="s">
        <v>27</v>
      </c>
      <c r="E1407" s="52">
        <v>11338600000</v>
      </c>
      <c r="F1407" s="52">
        <v>7235900000</v>
      </c>
      <c r="G1407" s="52">
        <v>2814600000</v>
      </c>
      <c r="H1407" s="52" t="s">
        <v>757</v>
      </c>
      <c r="I1407" s="52" t="s">
        <v>757</v>
      </c>
      <c r="J1407" s="51" t="s">
        <v>24</v>
      </c>
      <c r="K1407" s="51" t="s">
        <v>633</v>
      </c>
      <c r="L1407" s="41">
        <f t="shared" si="105"/>
        <v>4102700000</v>
      </c>
      <c r="M1407" s="41">
        <f t="shared" si="106"/>
        <v>2814600000</v>
      </c>
      <c r="N1407" s="41">
        <f t="shared" si="107"/>
        <v>1288100000</v>
      </c>
      <c r="O1407" s="41">
        <f t="shared" si="108"/>
        <v>0.75176829590954797</v>
      </c>
      <c r="P1407" s="41">
        <f t="shared" si="109"/>
        <v>0.113603090328612</v>
      </c>
    </row>
    <row r="1408" spans="1:16" ht="19.95" customHeight="1">
      <c r="A1408" s="49">
        <v>1468</v>
      </c>
      <c r="B1408" s="50" t="s">
        <v>645</v>
      </c>
      <c r="C1408" s="51" t="s">
        <v>18</v>
      </c>
      <c r="D1408" s="51" t="s">
        <v>28</v>
      </c>
      <c r="E1408" s="52">
        <v>11171800000</v>
      </c>
      <c r="F1408" s="52">
        <v>7099800000</v>
      </c>
      <c r="G1408" s="52">
        <v>2681100000</v>
      </c>
      <c r="H1408" s="52" t="s">
        <v>757</v>
      </c>
      <c r="I1408" s="52" t="s">
        <v>757</v>
      </c>
      <c r="J1408" s="51" t="s">
        <v>24</v>
      </c>
      <c r="K1408" s="51" t="s">
        <v>633</v>
      </c>
      <c r="L1408" s="41">
        <f t="shared" si="105"/>
        <v>4072000000</v>
      </c>
      <c r="M1408" s="41">
        <f t="shared" si="106"/>
        <v>2681100000</v>
      </c>
      <c r="N1408" s="41">
        <f t="shared" si="107"/>
        <v>1390900000</v>
      </c>
      <c r="O1408" s="41">
        <f t="shared" si="108"/>
        <v>0.76001181546393592</v>
      </c>
      <c r="P1408" s="41">
        <f t="shared" si="109"/>
        <v>0.12450097567088562</v>
      </c>
    </row>
    <row r="1409" spans="1:16" ht="19.95" customHeight="1">
      <c r="A1409" s="49">
        <v>1469</v>
      </c>
      <c r="B1409" s="50" t="s">
        <v>645</v>
      </c>
      <c r="C1409" s="51" t="s">
        <v>20</v>
      </c>
      <c r="D1409" s="51" t="s">
        <v>84</v>
      </c>
      <c r="E1409" s="52">
        <v>11406900000</v>
      </c>
      <c r="F1409" s="52">
        <v>7139700000</v>
      </c>
      <c r="G1409" s="52">
        <v>2798900000</v>
      </c>
      <c r="H1409" s="52" t="s">
        <v>757</v>
      </c>
      <c r="I1409" s="52" t="s">
        <v>757</v>
      </c>
      <c r="J1409" s="51" t="s">
        <v>24</v>
      </c>
      <c r="K1409" s="51" t="s">
        <v>633</v>
      </c>
      <c r="L1409" s="41">
        <f t="shared" si="105"/>
        <v>4267200000</v>
      </c>
      <c r="M1409" s="41">
        <f t="shared" si="106"/>
        <v>2798900000</v>
      </c>
      <c r="N1409" s="41">
        <f t="shared" si="107"/>
        <v>1468300000</v>
      </c>
      <c r="O1409" s="41">
        <f t="shared" si="108"/>
        <v>0.75463096897491866</v>
      </c>
      <c r="P1409" s="41">
        <f t="shared" si="109"/>
        <v>0.12872033593702056</v>
      </c>
    </row>
    <row r="1410" spans="1:16" ht="19.95" customHeight="1">
      <c r="A1410" s="49">
        <v>1470</v>
      </c>
      <c r="B1410" s="50" t="s">
        <v>646</v>
      </c>
      <c r="C1410" s="51" t="s">
        <v>11</v>
      </c>
      <c r="D1410" s="51" t="s">
        <v>449</v>
      </c>
      <c r="E1410" s="52">
        <v>1792000000</v>
      </c>
      <c r="F1410" s="52">
        <v>1025400000</v>
      </c>
      <c r="G1410" s="52">
        <v>159700000</v>
      </c>
      <c r="H1410" s="52">
        <v>226300000</v>
      </c>
      <c r="I1410" s="52">
        <v>29100000</v>
      </c>
      <c r="J1410" s="51" t="s">
        <v>31</v>
      </c>
      <c r="K1410" s="51" t="s">
        <v>55</v>
      </c>
      <c r="L1410" s="41">
        <f t="shared" si="105"/>
        <v>766600000</v>
      </c>
      <c r="M1410" s="41">
        <f t="shared" si="106"/>
        <v>415100000</v>
      </c>
      <c r="N1410" s="41">
        <f t="shared" si="107"/>
        <v>351500000</v>
      </c>
      <c r="O1410" s="41">
        <f t="shared" si="108"/>
        <v>0.76835937499999996</v>
      </c>
      <c r="P1410" s="41">
        <f t="shared" si="109"/>
        <v>0.19614955357142858</v>
      </c>
    </row>
    <row r="1411" spans="1:16" ht="19.95" customHeight="1">
      <c r="A1411" s="49">
        <v>1471</v>
      </c>
      <c r="B1411" s="50" t="s">
        <v>646</v>
      </c>
      <c r="C1411" s="51" t="s">
        <v>16</v>
      </c>
      <c r="D1411" s="51" t="s">
        <v>647</v>
      </c>
      <c r="E1411" s="52">
        <v>2291500000</v>
      </c>
      <c r="F1411" s="52">
        <v>1268800000</v>
      </c>
      <c r="G1411" s="52">
        <v>179100000</v>
      </c>
      <c r="H1411" s="52">
        <v>252200000</v>
      </c>
      <c r="I1411" s="52">
        <v>25900000</v>
      </c>
      <c r="J1411" s="51" t="s">
        <v>31</v>
      </c>
      <c r="K1411" s="51" t="s">
        <v>55</v>
      </c>
      <c r="L1411" s="41">
        <f t="shared" ref="L1411:L1474" si="110">Total_Revenue-COGS</f>
        <v>1022700000</v>
      </c>
      <c r="M1411" s="41">
        <f t="shared" ref="M1411:M1474" si="111">SGAA+RandD+OOI</f>
        <v>457200000</v>
      </c>
      <c r="N1411" s="41">
        <f t="shared" ref="N1411:N1474" si="112">Gross_Profit-Total_Operating_Expenses</f>
        <v>565500000</v>
      </c>
      <c r="O1411" s="41">
        <f t="shared" ref="O1411:O1474" si="113">1-(Total_Operating_Expenses/Total_Revenue)</f>
        <v>0.80048003491162989</v>
      </c>
      <c r="P1411" s="41">
        <f t="shared" ref="P1411:P1474" si="114">Operating_Profit/Total_Revenue</f>
        <v>0.24678158411520837</v>
      </c>
    </row>
    <row r="1412" spans="1:16" ht="19.95" customHeight="1">
      <c r="A1412" s="49">
        <v>1472</v>
      </c>
      <c r="B1412" s="50" t="s">
        <v>646</v>
      </c>
      <c r="C1412" s="51" t="s">
        <v>18</v>
      </c>
      <c r="D1412" s="51" t="s">
        <v>451</v>
      </c>
      <c r="E1412" s="52">
        <v>3258400000</v>
      </c>
      <c r="F1412" s="52">
        <v>1703900000</v>
      </c>
      <c r="G1412" s="52">
        <v>191300000</v>
      </c>
      <c r="H1412" s="52">
        <v>303200000</v>
      </c>
      <c r="I1412" s="52">
        <v>33500000</v>
      </c>
      <c r="J1412" s="51" t="s">
        <v>31</v>
      </c>
      <c r="K1412" s="51" t="s">
        <v>55</v>
      </c>
      <c r="L1412" s="41">
        <f t="shared" si="110"/>
        <v>1554500000</v>
      </c>
      <c r="M1412" s="41">
        <f t="shared" si="111"/>
        <v>528000000</v>
      </c>
      <c r="N1412" s="41">
        <f t="shared" si="112"/>
        <v>1026500000</v>
      </c>
      <c r="O1412" s="41">
        <f t="shared" si="113"/>
        <v>0.83795727964645228</v>
      </c>
      <c r="P1412" s="41">
        <f t="shared" si="114"/>
        <v>0.31503191750552417</v>
      </c>
    </row>
    <row r="1413" spans="1:16" ht="19.95" customHeight="1">
      <c r="A1413" s="49">
        <v>1473</v>
      </c>
      <c r="B1413" s="50" t="s">
        <v>646</v>
      </c>
      <c r="C1413" s="51" t="s">
        <v>20</v>
      </c>
      <c r="D1413" s="51" t="s">
        <v>44</v>
      </c>
      <c r="E1413" s="52">
        <v>3289000000</v>
      </c>
      <c r="F1413" s="52">
        <v>1623800000</v>
      </c>
      <c r="G1413" s="52">
        <v>195900000</v>
      </c>
      <c r="H1413" s="52">
        <v>312400000</v>
      </c>
      <c r="I1413" s="52">
        <v>33400000</v>
      </c>
      <c r="J1413" s="51" t="s">
        <v>31</v>
      </c>
      <c r="K1413" s="51" t="s">
        <v>55</v>
      </c>
      <c r="L1413" s="41">
        <f t="shared" si="110"/>
        <v>1665200000</v>
      </c>
      <c r="M1413" s="41">
        <f t="shared" si="111"/>
        <v>541700000</v>
      </c>
      <c r="N1413" s="41">
        <f t="shared" si="112"/>
        <v>1123500000</v>
      </c>
      <c r="O1413" s="41">
        <f t="shared" si="113"/>
        <v>0.83529948312557012</v>
      </c>
      <c r="P1413" s="41">
        <f t="shared" si="114"/>
        <v>0.34159318941927636</v>
      </c>
    </row>
    <row r="1414" spans="1:16" ht="19.95" customHeight="1">
      <c r="A1414" s="49">
        <v>1474</v>
      </c>
      <c r="B1414" s="50" t="s">
        <v>648</v>
      </c>
      <c r="C1414" s="51" t="s">
        <v>11</v>
      </c>
      <c r="D1414" s="51" t="s">
        <v>12</v>
      </c>
      <c r="E1414" s="52">
        <v>2730000000</v>
      </c>
      <c r="F1414" s="52">
        <v>245000000</v>
      </c>
      <c r="G1414" s="52">
        <v>835000000</v>
      </c>
      <c r="H1414" s="52" t="s">
        <v>757</v>
      </c>
      <c r="I1414" s="52">
        <v>811000000</v>
      </c>
      <c r="J1414" s="51" t="s">
        <v>116</v>
      </c>
      <c r="K1414" s="51" t="s">
        <v>117</v>
      </c>
      <c r="L1414" s="41">
        <f t="shared" si="110"/>
        <v>2485000000</v>
      </c>
      <c r="M1414" s="41">
        <f t="shared" si="111"/>
        <v>1646000000</v>
      </c>
      <c r="N1414" s="41">
        <f t="shared" si="112"/>
        <v>839000000</v>
      </c>
      <c r="O1414" s="41">
        <f t="shared" si="113"/>
        <v>0.3970695970695971</v>
      </c>
      <c r="P1414" s="41">
        <f t="shared" si="114"/>
        <v>0.30732600732600734</v>
      </c>
    </row>
    <row r="1415" spans="1:16" ht="19.95" customHeight="1">
      <c r="A1415" s="53">
        <v>1475</v>
      </c>
      <c r="B1415" s="54" t="s">
        <v>648</v>
      </c>
      <c r="C1415" s="55" t="s">
        <v>16</v>
      </c>
      <c r="D1415" s="55" t="s">
        <v>17</v>
      </c>
      <c r="E1415" s="56">
        <v>3371000000</v>
      </c>
      <c r="F1415" s="56">
        <v>328000000</v>
      </c>
      <c r="G1415" s="56">
        <v>1052000000</v>
      </c>
      <c r="H1415" s="56" t="s">
        <v>757</v>
      </c>
      <c r="I1415" s="56">
        <v>787000000</v>
      </c>
      <c r="J1415" s="55" t="s">
        <v>116</v>
      </c>
      <c r="K1415" s="55" t="s">
        <v>117</v>
      </c>
      <c r="L1415" s="57">
        <f t="shared" si="110"/>
        <v>3043000000</v>
      </c>
      <c r="M1415" s="57">
        <f t="shared" si="111"/>
        <v>1839000000</v>
      </c>
      <c r="N1415" s="57">
        <f t="shared" si="112"/>
        <v>1204000000</v>
      </c>
      <c r="O1415" s="57">
        <f t="shared" si="113"/>
        <v>0.45446455057846336</v>
      </c>
      <c r="P1415" s="57">
        <f t="shared" si="114"/>
        <v>0.3571640462770691</v>
      </c>
    </row>
    <row r="1416" spans="1:16" ht="19.95" customHeight="1">
      <c r="A1416" s="49">
        <v>1476</v>
      </c>
      <c r="B1416" s="50" t="s">
        <v>648</v>
      </c>
      <c r="C1416" s="51" t="s">
        <v>18</v>
      </c>
      <c r="D1416" s="51" t="s">
        <v>19</v>
      </c>
      <c r="E1416" s="52">
        <v>4038000000</v>
      </c>
      <c r="F1416" s="52">
        <v>427000000</v>
      </c>
      <c r="G1416" s="52">
        <v>1296000000</v>
      </c>
      <c r="H1416" s="52" t="s">
        <v>757</v>
      </c>
      <c r="I1416" s="52">
        <v>942000000</v>
      </c>
      <c r="J1416" s="51" t="s">
        <v>116</v>
      </c>
      <c r="K1416" s="51" t="s">
        <v>117</v>
      </c>
      <c r="L1416" s="41">
        <f t="shared" si="110"/>
        <v>3611000000</v>
      </c>
      <c r="M1416" s="41">
        <f t="shared" si="111"/>
        <v>2238000000</v>
      </c>
      <c r="N1416" s="41">
        <f t="shared" si="112"/>
        <v>1373000000</v>
      </c>
      <c r="O1416" s="41">
        <f t="shared" si="113"/>
        <v>0.44576523031203563</v>
      </c>
      <c r="P1416" s="41">
        <f t="shared" si="114"/>
        <v>0.34001981178801388</v>
      </c>
    </row>
    <row r="1417" spans="1:16" ht="19.95" customHeight="1">
      <c r="A1417" s="49">
        <v>1477</v>
      </c>
      <c r="B1417" s="50" t="s">
        <v>648</v>
      </c>
      <c r="C1417" s="51" t="s">
        <v>20</v>
      </c>
      <c r="D1417" s="51" t="s">
        <v>21</v>
      </c>
      <c r="E1417" s="52">
        <v>3133000000</v>
      </c>
      <c r="F1417" s="52">
        <v>689000000</v>
      </c>
      <c r="G1417" s="52">
        <v>1208000000</v>
      </c>
      <c r="H1417" s="52" t="s">
        <v>757</v>
      </c>
      <c r="I1417" s="52">
        <v>1091000000</v>
      </c>
      <c r="J1417" s="51" t="s">
        <v>116</v>
      </c>
      <c r="K1417" s="51" t="s">
        <v>117</v>
      </c>
      <c r="L1417" s="41">
        <f t="shared" si="110"/>
        <v>2444000000</v>
      </c>
      <c r="M1417" s="41">
        <f t="shared" si="111"/>
        <v>2299000000</v>
      </c>
      <c r="N1417" s="41">
        <f t="shared" si="112"/>
        <v>145000000</v>
      </c>
      <c r="O1417" s="41">
        <f t="shared" si="113"/>
        <v>0.26619853175869779</v>
      </c>
      <c r="P1417" s="41">
        <f t="shared" si="114"/>
        <v>4.6281519310564956E-2</v>
      </c>
    </row>
    <row r="1418" spans="1:16" ht="19.95" customHeight="1">
      <c r="A1418" s="49">
        <v>1478</v>
      </c>
      <c r="B1418" s="50" t="s">
        <v>649</v>
      </c>
      <c r="C1418" s="51" t="s">
        <v>11</v>
      </c>
      <c r="D1418" s="51" t="s">
        <v>12</v>
      </c>
      <c r="E1418" s="52">
        <v>10793000000</v>
      </c>
      <c r="F1418" s="52">
        <v>362000000</v>
      </c>
      <c r="G1418" s="52">
        <v>2123000000</v>
      </c>
      <c r="H1418" s="52" t="s">
        <v>757</v>
      </c>
      <c r="I1418" s="52">
        <v>4549000000</v>
      </c>
      <c r="J1418" s="51" t="s">
        <v>75</v>
      </c>
      <c r="K1418" s="51" t="s">
        <v>134</v>
      </c>
      <c r="L1418" s="41">
        <f t="shared" si="110"/>
        <v>10431000000</v>
      </c>
      <c r="M1418" s="41">
        <f t="shared" si="111"/>
        <v>6672000000</v>
      </c>
      <c r="N1418" s="41">
        <f t="shared" si="112"/>
        <v>3759000000</v>
      </c>
      <c r="O1418" s="41">
        <f t="shared" si="113"/>
        <v>0.38182155100528115</v>
      </c>
      <c r="P1418" s="41">
        <f t="shared" si="114"/>
        <v>0.34828129343092745</v>
      </c>
    </row>
    <row r="1419" spans="1:16" ht="19.95" customHeight="1">
      <c r="A1419" s="53">
        <v>1479</v>
      </c>
      <c r="B1419" s="54" t="s">
        <v>649</v>
      </c>
      <c r="C1419" s="55" t="s">
        <v>16</v>
      </c>
      <c r="D1419" s="55" t="s">
        <v>17</v>
      </c>
      <c r="E1419" s="56">
        <v>11813000000</v>
      </c>
      <c r="F1419" s="56">
        <v>374000000</v>
      </c>
      <c r="G1419" s="56">
        <v>2484000000</v>
      </c>
      <c r="H1419" s="56" t="s">
        <v>757</v>
      </c>
      <c r="I1419" s="56">
        <v>5445000000</v>
      </c>
      <c r="J1419" s="55" t="s">
        <v>75</v>
      </c>
      <c r="K1419" s="55" t="s">
        <v>134</v>
      </c>
      <c r="L1419" s="57">
        <f t="shared" si="110"/>
        <v>11439000000</v>
      </c>
      <c r="M1419" s="57">
        <f t="shared" si="111"/>
        <v>7929000000</v>
      </c>
      <c r="N1419" s="57">
        <f t="shared" si="112"/>
        <v>3510000000</v>
      </c>
      <c r="O1419" s="57">
        <f t="shared" si="113"/>
        <v>0.32879031575383055</v>
      </c>
      <c r="P1419" s="57">
        <f t="shared" si="114"/>
        <v>0.29713028019977988</v>
      </c>
    </row>
    <row r="1420" spans="1:16" ht="19.95" customHeight="1">
      <c r="A1420" s="49">
        <v>1480</v>
      </c>
      <c r="B1420" s="50" t="s">
        <v>649</v>
      </c>
      <c r="C1420" s="51" t="s">
        <v>18</v>
      </c>
      <c r="D1420" s="51" t="s">
        <v>19</v>
      </c>
      <c r="E1420" s="52">
        <v>12727000000</v>
      </c>
      <c r="F1420" s="52">
        <v>470000000</v>
      </c>
      <c r="G1420" s="52">
        <v>2927000000</v>
      </c>
      <c r="H1420" s="52" t="s">
        <v>757</v>
      </c>
      <c r="I1420" s="52">
        <v>5492000000</v>
      </c>
      <c r="J1420" s="51" t="s">
        <v>75</v>
      </c>
      <c r="K1420" s="51" t="s">
        <v>134</v>
      </c>
      <c r="L1420" s="41">
        <f t="shared" si="110"/>
        <v>12257000000</v>
      </c>
      <c r="M1420" s="41">
        <f t="shared" si="111"/>
        <v>8419000000</v>
      </c>
      <c r="N1420" s="41">
        <f t="shared" si="112"/>
        <v>3838000000</v>
      </c>
      <c r="O1420" s="41">
        <f t="shared" si="113"/>
        <v>0.33849296770645088</v>
      </c>
      <c r="P1420" s="41">
        <f t="shared" si="114"/>
        <v>0.30156360493439144</v>
      </c>
    </row>
    <row r="1421" spans="1:16" ht="19.95" customHeight="1">
      <c r="A1421" s="49">
        <v>1481</v>
      </c>
      <c r="B1421" s="50" t="s">
        <v>649</v>
      </c>
      <c r="C1421" s="51" t="s">
        <v>20</v>
      </c>
      <c r="D1421" s="51" t="s">
        <v>21</v>
      </c>
      <c r="E1421" s="52">
        <v>13620000000</v>
      </c>
      <c r="F1421" s="52">
        <v>607000000</v>
      </c>
      <c r="G1421" s="52">
        <v>3264000000</v>
      </c>
      <c r="H1421" s="52" t="s">
        <v>757</v>
      </c>
      <c r="I1421" s="52">
        <v>5690000000</v>
      </c>
      <c r="J1421" s="51" t="s">
        <v>75</v>
      </c>
      <c r="K1421" s="51" t="s">
        <v>134</v>
      </c>
      <c r="L1421" s="41">
        <f t="shared" si="110"/>
        <v>13013000000</v>
      </c>
      <c r="M1421" s="41">
        <f t="shared" si="111"/>
        <v>8954000000</v>
      </c>
      <c r="N1421" s="41">
        <f t="shared" si="112"/>
        <v>4059000000</v>
      </c>
      <c r="O1421" s="41">
        <f t="shared" si="113"/>
        <v>0.34258443465491928</v>
      </c>
      <c r="P1421" s="41">
        <f t="shared" si="114"/>
        <v>0.29801762114537445</v>
      </c>
    </row>
    <row r="1422" spans="1:16" ht="19.95" customHeight="1">
      <c r="A1422" s="49">
        <v>1482</v>
      </c>
      <c r="B1422" s="50" t="s">
        <v>650</v>
      </c>
      <c r="C1422" s="51" t="s">
        <v>11</v>
      </c>
      <c r="D1422" s="51" t="s">
        <v>17</v>
      </c>
      <c r="E1422" s="52">
        <v>9021000000</v>
      </c>
      <c r="F1422" s="52">
        <v>3002000000</v>
      </c>
      <c r="G1422" s="52">
        <v>4089000000</v>
      </c>
      <c r="H1422" s="52">
        <v>536000000</v>
      </c>
      <c r="I1422" s="52">
        <v>138000000</v>
      </c>
      <c r="J1422" s="51" t="s">
        <v>37</v>
      </c>
      <c r="K1422" s="51" t="s">
        <v>46</v>
      </c>
      <c r="L1422" s="41">
        <f t="shared" si="110"/>
        <v>6019000000</v>
      </c>
      <c r="M1422" s="41">
        <f t="shared" si="111"/>
        <v>4763000000</v>
      </c>
      <c r="N1422" s="41">
        <f t="shared" si="112"/>
        <v>1256000000</v>
      </c>
      <c r="O1422" s="41">
        <f t="shared" si="113"/>
        <v>0.47200975501607356</v>
      </c>
      <c r="P1422" s="41">
        <f t="shared" si="114"/>
        <v>0.13923068395964971</v>
      </c>
    </row>
    <row r="1423" spans="1:16" ht="19.95" customHeight="1">
      <c r="A1423" s="49">
        <v>1483</v>
      </c>
      <c r="B1423" s="50" t="s">
        <v>650</v>
      </c>
      <c r="C1423" s="51" t="s">
        <v>16</v>
      </c>
      <c r="D1423" s="51" t="s">
        <v>19</v>
      </c>
      <c r="E1423" s="52">
        <v>9675000000</v>
      </c>
      <c r="F1423" s="52">
        <v>3319000000</v>
      </c>
      <c r="G1423" s="52">
        <v>4308000000</v>
      </c>
      <c r="H1423" s="52">
        <v>614000000</v>
      </c>
      <c r="I1423" s="52">
        <v>188000000</v>
      </c>
      <c r="J1423" s="51" t="s">
        <v>37</v>
      </c>
      <c r="K1423" s="51" t="s">
        <v>46</v>
      </c>
      <c r="L1423" s="41">
        <f t="shared" si="110"/>
        <v>6356000000</v>
      </c>
      <c r="M1423" s="41">
        <f t="shared" si="111"/>
        <v>5110000000</v>
      </c>
      <c r="N1423" s="41">
        <f t="shared" si="112"/>
        <v>1246000000</v>
      </c>
      <c r="O1423" s="41">
        <f t="shared" si="113"/>
        <v>0.47183462532299747</v>
      </c>
      <c r="P1423" s="41">
        <f t="shared" si="114"/>
        <v>0.12878552971576226</v>
      </c>
    </row>
    <row r="1424" spans="1:16" ht="19.95" customHeight="1">
      <c r="A1424" s="49">
        <v>1484</v>
      </c>
      <c r="B1424" s="50" t="s">
        <v>650</v>
      </c>
      <c r="C1424" s="51" t="s">
        <v>18</v>
      </c>
      <c r="D1424" s="51" t="s">
        <v>21</v>
      </c>
      <c r="E1424" s="52">
        <v>9946000000</v>
      </c>
      <c r="F1424" s="52">
        <v>3344000000</v>
      </c>
      <c r="G1424" s="52">
        <v>3906000000</v>
      </c>
      <c r="H1424" s="52">
        <v>625000000</v>
      </c>
      <c r="I1424" s="52">
        <v>210000000</v>
      </c>
      <c r="J1424" s="51" t="s">
        <v>37</v>
      </c>
      <c r="K1424" s="51" t="s">
        <v>46</v>
      </c>
      <c r="L1424" s="41">
        <f t="shared" si="110"/>
        <v>6602000000</v>
      </c>
      <c r="M1424" s="41">
        <f t="shared" si="111"/>
        <v>4741000000</v>
      </c>
      <c r="N1424" s="41">
        <f t="shared" si="112"/>
        <v>1861000000</v>
      </c>
      <c r="O1424" s="41">
        <f t="shared" si="113"/>
        <v>0.523325960184999</v>
      </c>
      <c r="P1424" s="41">
        <f t="shared" si="114"/>
        <v>0.18711039613915142</v>
      </c>
    </row>
    <row r="1425" spans="1:16" ht="19.95" customHeight="1">
      <c r="A1425" s="49">
        <v>1485</v>
      </c>
      <c r="B1425" s="50" t="s">
        <v>650</v>
      </c>
      <c r="C1425" s="51" t="s">
        <v>20</v>
      </c>
      <c r="D1425" s="51" t="s">
        <v>84</v>
      </c>
      <c r="E1425" s="52">
        <v>11325000000</v>
      </c>
      <c r="F1425" s="52">
        <v>3830000000</v>
      </c>
      <c r="G1425" s="52">
        <v>4295000000</v>
      </c>
      <c r="H1425" s="52">
        <v>715000000</v>
      </c>
      <c r="I1425" s="52">
        <v>319000000</v>
      </c>
      <c r="J1425" s="51" t="s">
        <v>37</v>
      </c>
      <c r="K1425" s="51" t="s">
        <v>46</v>
      </c>
      <c r="L1425" s="41">
        <f t="shared" si="110"/>
        <v>7495000000</v>
      </c>
      <c r="M1425" s="41">
        <f t="shared" si="111"/>
        <v>5329000000</v>
      </c>
      <c r="N1425" s="41">
        <f t="shared" si="112"/>
        <v>2166000000</v>
      </c>
      <c r="O1425" s="41">
        <f t="shared" si="113"/>
        <v>0.52944812362030902</v>
      </c>
      <c r="P1425" s="41">
        <f t="shared" si="114"/>
        <v>0.19125827814569538</v>
      </c>
    </row>
    <row r="1426" spans="1:16" ht="19.95" customHeight="1">
      <c r="A1426" s="49">
        <v>1486</v>
      </c>
      <c r="B1426" s="50" t="s">
        <v>651</v>
      </c>
      <c r="C1426" s="51" t="s">
        <v>11</v>
      </c>
      <c r="D1426" s="51" t="s">
        <v>652</v>
      </c>
      <c r="E1426" s="52">
        <v>6906000000</v>
      </c>
      <c r="F1426" s="52">
        <v>1175000000</v>
      </c>
      <c r="G1426" s="52">
        <v>3236000000</v>
      </c>
      <c r="H1426" s="52">
        <v>1026000000</v>
      </c>
      <c r="I1426" s="52">
        <v>286000000</v>
      </c>
      <c r="J1426" s="51" t="s">
        <v>31</v>
      </c>
      <c r="K1426" s="51" t="s">
        <v>49</v>
      </c>
      <c r="L1426" s="41">
        <f t="shared" si="110"/>
        <v>5731000000</v>
      </c>
      <c r="M1426" s="41">
        <f t="shared" si="111"/>
        <v>4548000000</v>
      </c>
      <c r="N1426" s="41">
        <f t="shared" si="112"/>
        <v>1183000000</v>
      </c>
      <c r="O1426" s="41">
        <f t="shared" si="113"/>
        <v>0.34144222415291048</v>
      </c>
      <c r="P1426" s="41">
        <f t="shared" si="114"/>
        <v>0.17130031856356792</v>
      </c>
    </row>
    <row r="1427" spans="1:16" ht="19.95" customHeight="1">
      <c r="A1427" s="49">
        <v>1487</v>
      </c>
      <c r="B1427" s="50" t="s">
        <v>651</v>
      </c>
      <c r="C1427" s="51" t="s">
        <v>16</v>
      </c>
      <c r="D1427" s="51" t="s">
        <v>653</v>
      </c>
      <c r="E1427" s="52">
        <v>4183000000</v>
      </c>
      <c r="F1427" s="52">
        <v>791000000</v>
      </c>
      <c r="G1427" s="52">
        <v>2186000000</v>
      </c>
      <c r="H1427" s="52">
        <v>722000000</v>
      </c>
      <c r="I1427" s="52">
        <v>93000000</v>
      </c>
      <c r="J1427" s="51" t="s">
        <v>31</v>
      </c>
      <c r="K1427" s="51" t="s">
        <v>49</v>
      </c>
      <c r="L1427" s="41">
        <f t="shared" si="110"/>
        <v>3392000000</v>
      </c>
      <c r="M1427" s="41">
        <f t="shared" si="111"/>
        <v>3001000000</v>
      </c>
      <c r="N1427" s="41">
        <f t="shared" si="112"/>
        <v>391000000</v>
      </c>
      <c r="O1427" s="41">
        <f t="shared" si="113"/>
        <v>0.28257231651924453</v>
      </c>
      <c r="P1427" s="41">
        <f t="shared" si="114"/>
        <v>9.3473583552474301E-2</v>
      </c>
    </row>
    <row r="1428" spans="1:16" ht="19.95" customHeight="1">
      <c r="A1428" s="49">
        <v>1488</v>
      </c>
      <c r="B1428" s="50" t="s">
        <v>651</v>
      </c>
      <c r="C1428" s="51" t="s">
        <v>18</v>
      </c>
      <c r="D1428" s="51" t="s">
        <v>254</v>
      </c>
      <c r="E1428" s="52">
        <v>3956000000</v>
      </c>
      <c r="F1428" s="52">
        <v>727000000</v>
      </c>
      <c r="G1428" s="52">
        <v>2012000000</v>
      </c>
      <c r="H1428" s="52">
        <v>812000000</v>
      </c>
      <c r="I1428" s="52">
        <v>87000000</v>
      </c>
      <c r="J1428" s="51" t="s">
        <v>31</v>
      </c>
      <c r="K1428" s="51" t="s">
        <v>49</v>
      </c>
      <c r="L1428" s="41">
        <f t="shared" si="110"/>
        <v>3229000000</v>
      </c>
      <c r="M1428" s="41">
        <f t="shared" si="111"/>
        <v>2911000000</v>
      </c>
      <c r="N1428" s="41">
        <f t="shared" si="112"/>
        <v>318000000</v>
      </c>
      <c r="O1428" s="41">
        <f t="shared" si="113"/>
        <v>0.26415571284125383</v>
      </c>
      <c r="P1428" s="41">
        <f t="shared" si="114"/>
        <v>8.0384226491405461E-2</v>
      </c>
    </row>
    <row r="1429" spans="1:16" ht="19.95" customHeight="1">
      <c r="A1429" s="49">
        <v>1489</v>
      </c>
      <c r="B1429" s="50" t="s">
        <v>651</v>
      </c>
      <c r="C1429" s="51" t="s">
        <v>20</v>
      </c>
      <c r="D1429" s="51" t="s">
        <v>256</v>
      </c>
      <c r="E1429" s="52">
        <v>3600000000</v>
      </c>
      <c r="F1429" s="52">
        <v>615000000</v>
      </c>
      <c r="G1429" s="52">
        <v>1587000000</v>
      </c>
      <c r="H1429" s="52">
        <v>748000000</v>
      </c>
      <c r="I1429" s="52">
        <v>57000000</v>
      </c>
      <c r="J1429" s="51" t="s">
        <v>31</v>
      </c>
      <c r="K1429" s="51" t="s">
        <v>49</v>
      </c>
      <c r="L1429" s="41">
        <f t="shared" si="110"/>
        <v>2985000000</v>
      </c>
      <c r="M1429" s="41">
        <f t="shared" si="111"/>
        <v>2392000000</v>
      </c>
      <c r="N1429" s="41">
        <f t="shared" si="112"/>
        <v>593000000</v>
      </c>
      <c r="O1429" s="41">
        <f t="shared" si="113"/>
        <v>0.33555555555555561</v>
      </c>
      <c r="P1429" s="41">
        <f t="shared" si="114"/>
        <v>0.16472222222222221</v>
      </c>
    </row>
    <row r="1430" spans="1:16" ht="19.95" customHeight="1">
      <c r="A1430" s="49">
        <v>1490</v>
      </c>
      <c r="B1430" s="50" t="s">
        <v>654</v>
      </c>
      <c r="C1430" s="51" t="s">
        <v>11</v>
      </c>
      <c r="D1430" s="51" t="s">
        <v>655</v>
      </c>
      <c r="E1430" s="52">
        <v>44411233000</v>
      </c>
      <c r="F1430" s="52">
        <v>36414626000</v>
      </c>
      <c r="G1430" s="52">
        <v>6338129000</v>
      </c>
      <c r="H1430" s="52" t="s">
        <v>757</v>
      </c>
      <c r="I1430" s="52" t="s">
        <v>757</v>
      </c>
      <c r="J1430" s="51" t="s">
        <v>60</v>
      </c>
      <c r="K1430" s="51" t="s">
        <v>656</v>
      </c>
      <c r="L1430" s="41">
        <f t="shared" si="110"/>
        <v>7996607000</v>
      </c>
      <c r="M1430" s="41">
        <f t="shared" si="111"/>
        <v>6338129000</v>
      </c>
      <c r="N1430" s="41">
        <f t="shared" si="112"/>
        <v>1658478000</v>
      </c>
      <c r="O1430" s="41">
        <f t="shared" si="113"/>
        <v>0.85728545298438341</v>
      </c>
      <c r="P1430" s="41">
        <f t="shared" si="114"/>
        <v>3.7343660330259237E-2</v>
      </c>
    </row>
    <row r="1431" spans="1:16" ht="19.95" customHeight="1">
      <c r="A1431" s="49">
        <v>1491</v>
      </c>
      <c r="B1431" s="50" t="s">
        <v>654</v>
      </c>
      <c r="C1431" s="51" t="s">
        <v>16</v>
      </c>
      <c r="D1431" s="51" t="s">
        <v>657</v>
      </c>
      <c r="E1431" s="52">
        <v>46516712000</v>
      </c>
      <c r="F1431" s="52">
        <v>38335677000</v>
      </c>
      <c r="G1431" s="52" t="s">
        <v>757</v>
      </c>
      <c r="H1431" s="52" t="s">
        <v>757</v>
      </c>
      <c r="I1431" s="52" t="s">
        <v>757</v>
      </c>
      <c r="J1431" s="51" t="s">
        <v>60</v>
      </c>
      <c r="K1431" s="51" t="s">
        <v>656</v>
      </c>
      <c r="L1431" s="41">
        <f t="shared" si="110"/>
        <v>8181035000</v>
      </c>
      <c r="M1431" s="41">
        <f t="shared" si="111"/>
        <v>0</v>
      </c>
      <c r="N1431" s="41">
        <f t="shared" si="112"/>
        <v>8181035000</v>
      </c>
      <c r="O1431" s="41">
        <f t="shared" si="113"/>
        <v>1</v>
      </c>
      <c r="P1431" s="41">
        <f t="shared" si="114"/>
        <v>0.17587302817103667</v>
      </c>
    </row>
    <row r="1432" spans="1:16" ht="19.95" customHeight="1">
      <c r="A1432" s="49">
        <v>1492</v>
      </c>
      <c r="B1432" s="50" t="s">
        <v>654</v>
      </c>
      <c r="C1432" s="51" t="s">
        <v>18</v>
      </c>
      <c r="D1432" s="51" t="s">
        <v>658</v>
      </c>
      <c r="E1432" s="52">
        <v>48680752000</v>
      </c>
      <c r="F1432" s="52">
        <v>40129236000</v>
      </c>
      <c r="G1432" s="52" t="s">
        <v>757</v>
      </c>
      <c r="H1432" s="52" t="s">
        <v>757</v>
      </c>
      <c r="I1432" s="52" t="s">
        <v>757</v>
      </c>
      <c r="J1432" s="51" t="s">
        <v>60</v>
      </c>
      <c r="K1432" s="51" t="s">
        <v>656</v>
      </c>
      <c r="L1432" s="41">
        <f t="shared" si="110"/>
        <v>8551516000</v>
      </c>
      <c r="M1432" s="41">
        <f t="shared" si="111"/>
        <v>0</v>
      </c>
      <c r="N1432" s="41">
        <f t="shared" si="112"/>
        <v>8551516000</v>
      </c>
      <c r="O1432" s="41">
        <f t="shared" si="113"/>
        <v>1</v>
      </c>
      <c r="P1432" s="41">
        <f t="shared" si="114"/>
        <v>0.17566524033975481</v>
      </c>
    </row>
    <row r="1433" spans="1:16" ht="19.95" customHeight="1">
      <c r="A1433" s="49">
        <v>1493</v>
      </c>
      <c r="B1433" s="50" t="s">
        <v>654</v>
      </c>
      <c r="C1433" s="51" t="s">
        <v>20</v>
      </c>
      <c r="D1433" s="51" t="s">
        <v>659</v>
      </c>
      <c r="E1433" s="52">
        <v>50366919000</v>
      </c>
      <c r="F1433" s="52">
        <v>41326447000</v>
      </c>
      <c r="G1433" s="52" t="s">
        <v>757</v>
      </c>
      <c r="H1433" s="52" t="s">
        <v>757</v>
      </c>
      <c r="I1433" s="52" t="s">
        <v>757</v>
      </c>
      <c r="J1433" s="51" t="s">
        <v>60</v>
      </c>
      <c r="K1433" s="51" t="s">
        <v>656</v>
      </c>
      <c r="L1433" s="41">
        <f t="shared" si="110"/>
        <v>9040472000</v>
      </c>
      <c r="M1433" s="41">
        <f t="shared" si="111"/>
        <v>0</v>
      </c>
      <c r="N1433" s="41">
        <f t="shared" si="112"/>
        <v>9040472000</v>
      </c>
      <c r="O1433" s="41">
        <f t="shared" si="113"/>
        <v>1</v>
      </c>
      <c r="P1433" s="41">
        <f t="shared" si="114"/>
        <v>0.17949225760662471</v>
      </c>
    </row>
    <row r="1434" spans="1:16" ht="19.95" customHeight="1">
      <c r="A1434" s="49">
        <v>1494</v>
      </c>
      <c r="B1434" s="50" t="s">
        <v>660</v>
      </c>
      <c r="C1434" s="51" t="s">
        <v>11</v>
      </c>
      <c r="D1434" s="51" t="s">
        <v>12</v>
      </c>
      <c r="E1434" s="52">
        <v>1274340000</v>
      </c>
      <c r="F1434" s="52">
        <v>55228000000</v>
      </c>
      <c r="G1434" s="52">
        <v>41066000000</v>
      </c>
      <c r="H1434" s="52" t="s">
        <v>757</v>
      </c>
      <c r="I1434" s="52">
        <v>18143000000</v>
      </c>
      <c r="J1434" s="51" t="s">
        <v>268</v>
      </c>
      <c r="K1434" s="51" t="s">
        <v>269</v>
      </c>
      <c r="L1434" s="41">
        <f t="shared" si="110"/>
        <v>-53953660000</v>
      </c>
      <c r="M1434" s="41">
        <f t="shared" si="111"/>
        <v>59209000000</v>
      </c>
      <c r="N1434" s="41">
        <f t="shared" si="112"/>
        <v>-113162660000</v>
      </c>
      <c r="O1434" s="41">
        <f t="shared" si="113"/>
        <v>-45.46248253998148</v>
      </c>
      <c r="P1434" s="41">
        <f t="shared" si="114"/>
        <v>-88.800995024875618</v>
      </c>
    </row>
    <row r="1435" spans="1:16" ht="19.95" customHeight="1">
      <c r="A1435" s="49">
        <v>1495</v>
      </c>
      <c r="B1435" s="50" t="s">
        <v>660</v>
      </c>
      <c r="C1435" s="51" t="s">
        <v>16</v>
      </c>
      <c r="D1435" s="51" t="s">
        <v>17</v>
      </c>
      <c r="E1435" s="52">
        <v>1287520000</v>
      </c>
      <c r="F1435" s="52">
        <v>51191000000</v>
      </c>
      <c r="G1435" s="52">
        <v>28414000000</v>
      </c>
      <c r="H1435" s="52" t="s">
        <v>757</v>
      </c>
      <c r="I1435" s="52">
        <v>18395000000</v>
      </c>
      <c r="J1435" s="51" t="s">
        <v>268</v>
      </c>
      <c r="K1435" s="51" t="s">
        <v>269</v>
      </c>
      <c r="L1435" s="41">
        <f t="shared" si="110"/>
        <v>-49903480000</v>
      </c>
      <c r="M1435" s="41">
        <f t="shared" si="111"/>
        <v>46809000000</v>
      </c>
      <c r="N1435" s="41">
        <f t="shared" si="112"/>
        <v>-96712480000</v>
      </c>
      <c r="O1435" s="41">
        <f t="shared" si="113"/>
        <v>-35.355940101901332</v>
      </c>
      <c r="P1435" s="41">
        <f t="shared" si="114"/>
        <v>-75.115322480427494</v>
      </c>
    </row>
    <row r="1436" spans="1:16" ht="19.95" customHeight="1">
      <c r="A1436" s="49">
        <v>1496</v>
      </c>
      <c r="B1436" s="50" t="s">
        <v>660</v>
      </c>
      <c r="C1436" s="51" t="s">
        <v>18</v>
      </c>
      <c r="D1436" s="51" t="s">
        <v>19</v>
      </c>
      <c r="E1436" s="52">
        <v>1324470000</v>
      </c>
      <c r="F1436" s="52">
        <v>60145000000</v>
      </c>
      <c r="G1436" s="52">
        <v>41817000000</v>
      </c>
      <c r="H1436" s="52" t="s">
        <v>757</v>
      </c>
      <c r="I1436" s="52">
        <v>18273000000</v>
      </c>
      <c r="J1436" s="51" t="s">
        <v>268</v>
      </c>
      <c r="K1436" s="51" t="s">
        <v>269</v>
      </c>
      <c r="L1436" s="41">
        <f t="shared" si="110"/>
        <v>-58820530000</v>
      </c>
      <c r="M1436" s="41">
        <f t="shared" si="111"/>
        <v>60090000000</v>
      </c>
      <c r="N1436" s="41">
        <f t="shared" si="112"/>
        <v>-118910530000</v>
      </c>
      <c r="O1436" s="41">
        <f t="shared" si="113"/>
        <v>-44.369091032639474</v>
      </c>
      <c r="P1436" s="41">
        <f t="shared" si="114"/>
        <v>-89.779708109658955</v>
      </c>
    </row>
    <row r="1437" spans="1:16" ht="19.95" customHeight="1">
      <c r="A1437" s="49">
        <v>1497</v>
      </c>
      <c r="B1437" s="50" t="s">
        <v>660</v>
      </c>
      <c r="C1437" s="51" t="s">
        <v>20</v>
      </c>
      <c r="D1437" s="51" t="s">
        <v>21</v>
      </c>
      <c r="E1437" s="52">
        <v>1468010000</v>
      </c>
      <c r="F1437" s="52">
        <v>67046000000</v>
      </c>
      <c r="G1437" s="52">
        <v>32954000000</v>
      </c>
      <c r="H1437" s="52" t="s">
        <v>757</v>
      </c>
      <c r="I1437" s="52">
        <v>22016000000</v>
      </c>
      <c r="J1437" s="51" t="s">
        <v>268</v>
      </c>
      <c r="K1437" s="51" t="s">
        <v>269</v>
      </c>
      <c r="L1437" s="41">
        <f t="shared" si="110"/>
        <v>-65577990000</v>
      </c>
      <c r="M1437" s="41">
        <f t="shared" si="111"/>
        <v>54970000000</v>
      </c>
      <c r="N1437" s="41">
        <f t="shared" si="112"/>
        <v>-120547990000</v>
      </c>
      <c r="O1437" s="41">
        <f t="shared" si="113"/>
        <v>-36.44524901056532</v>
      </c>
      <c r="P1437" s="41">
        <f t="shared" si="114"/>
        <v>-82.116600023160601</v>
      </c>
    </row>
    <row r="1438" spans="1:16" ht="19.95" customHeight="1">
      <c r="A1438" s="49">
        <v>1498</v>
      </c>
      <c r="B1438" s="50" t="s">
        <v>661</v>
      </c>
      <c r="C1438" s="51" t="s">
        <v>11</v>
      </c>
      <c r="D1438" s="51" t="s">
        <v>17</v>
      </c>
      <c r="E1438" s="52">
        <v>4206100000</v>
      </c>
      <c r="F1438" s="52">
        <v>2545600000</v>
      </c>
      <c r="G1438" s="52">
        <v>1193800000</v>
      </c>
      <c r="H1438" s="52" t="s">
        <v>757</v>
      </c>
      <c r="I1438" s="52" t="s">
        <v>757</v>
      </c>
      <c r="J1438" s="51" t="s">
        <v>60</v>
      </c>
      <c r="K1438" s="51" t="s">
        <v>662</v>
      </c>
      <c r="L1438" s="41">
        <f t="shared" si="110"/>
        <v>1660500000</v>
      </c>
      <c r="M1438" s="41">
        <f t="shared" si="111"/>
        <v>1193800000</v>
      </c>
      <c r="N1438" s="41">
        <f t="shared" si="112"/>
        <v>466700000</v>
      </c>
      <c r="O1438" s="41">
        <f t="shared" si="113"/>
        <v>0.71617412805211478</v>
      </c>
      <c r="P1438" s="41">
        <f t="shared" si="114"/>
        <v>0.11095789448657901</v>
      </c>
    </row>
    <row r="1439" spans="1:16" ht="19.95" customHeight="1">
      <c r="A1439" s="49">
        <v>1499</v>
      </c>
      <c r="B1439" s="50" t="s">
        <v>661</v>
      </c>
      <c r="C1439" s="51" t="s">
        <v>16</v>
      </c>
      <c r="D1439" s="51" t="s">
        <v>19</v>
      </c>
      <c r="E1439" s="52">
        <v>4146300000</v>
      </c>
      <c r="F1439" s="52">
        <v>2493300000</v>
      </c>
      <c r="G1439" s="52">
        <v>1163900000</v>
      </c>
      <c r="H1439" s="52" t="s">
        <v>757</v>
      </c>
      <c r="I1439" s="52" t="s">
        <v>757</v>
      </c>
      <c r="J1439" s="51" t="s">
        <v>60</v>
      </c>
      <c r="K1439" s="51" t="s">
        <v>662</v>
      </c>
      <c r="L1439" s="41">
        <f t="shared" si="110"/>
        <v>1653000000</v>
      </c>
      <c r="M1439" s="41">
        <f t="shared" si="111"/>
        <v>1163900000</v>
      </c>
      <c r="N1439" s="41">
        <f t="shared" si="112"/>
        <v>489100000</v>
      </c>
      <c r="O1439" s="41">
        <f t="shared" si="113"/>
        <v>0.71929189880134103</v>
      </c>
      <c r="P1439" s="41">
        <f t="shared" si="114"/>
        <v>0.11796059137061959</v>
      </c>
    </row>
    <row r="1440" spans="1:16" ht="19.95" customHeight="1">
      <c r="A1440" s="49">
        <v>1500</v>
      </c>
      <c r="B1440" s="50" t="s">
        <v>661</v>
      </c>
      <c r="C1440" s="51" t="s">
        <v>18</v>
      </c>
      <c r="D1440" s="51" t="s">
        <v>21</v>
      </c>
      <c r="E1440" s="52">
        <v>3567500000</v>
      </c>
      <c r="F1440" s="52">
        <v>2163500000</v>
      </c>
      <c r="G1440" s="52">
        <v>1051800000</v>
      </c>
      <c r="H1440" s="52" t="s">
        <v>757</v>
      </c>
      <c r="I1440" s="52" t="s">
        <v>757</v>
      </c>
      <c r="J1440" s="51" t="s">
        <v>60</v>
      </c>
      <c r="K1440" s="51" t="s">
        <v>662</v>
      </c>
      <c r="L1440" s="41">
        <f t="shared" si="110"/>
        <v>1404000000</v>
      </c>
      <c r="M1440" s="41">
        <f t="shared" si="111"/>
        <v>1051800000</v>
      </c>
      <c r="N1440" s="41">
        <f t="shared" si="112"/>
        <v>352200000</v>
      </c>
      <c r="O1440" s="41">
        <f t="shared" si="113"/>
        <v>0.70517168885774351</v>
      </c>
      <c r="P1440" s="41">
        <f t="shared" si="114"/>
        <v>9.8724597056762439E-2</v>
      </c>
    </row>
    <row r="1441" spans="1:16" ht="19.95" customHeight="1">
      <c r="A1441" s="49">
        <v>1501</v>
      </c>
      <c r="B1441" s="50" t="s">
        <v>661</v>
      </c>
      <c r="C1441" s="51" t="s">
        <v>20</v>
      </c>
      <c r="D1441" s="51" t="s">
        <v>84</v>
      </c>
      <c r="E1441" s="52">
        <v>4885000000</v>
      </c>
      <c r="F1441" s="52">
        <v>3003100000</v>
      </c>
      <c r="G1441" s="52">
        <v>1597300000</v>
      </c>
      <c r="H1441" s="52" t="s">
        <v>757</v>
      </c>
      <c r="I1441" s="52" t="s">
        <v>757</v>
      </c>
      <c r="J1441" s="51" t="s">
        <v>60</v>
      </c>
      <c r="K1441" s="51" t="s">
        <v>662</v>
      </c>
      <c r="L1441" s="41">
        <f t="shared" si="110"/>
        <v>1881900000</v>
      </c>
      <c r="M1441" s="41">
        <f t="shared" si="111"/>
        <v>1597300000</v>
      </c>
      <c r="N1441" s="41">
        <f t="shared" si="112"/>
        <v>284600000</v>
      </c>
      <c r="O1441" s="41">
        <f t="shared" si="113"/>
        <v>0.6730194472876152</v>
      </c>
      <c r="P1441" s="41">
        <f t="shared" si="114"/>
        <v>5.8259979529170933E-2</v>
      </c>
    </row>
    <row r="1442" spans="1:16" ht="19.95" customHeight="1">
      <c r="A1442" s="49">
        <v>1502</v>
      </c>
      <c r="B1442" s="50" t="s">
        <v>663</v>
      </c>
      <c r="C1442" s="51" t="s">
        <v>11</v>
      </c>
      <c r="D1442" s="51" t="s">
        <v>12</v>
      </c>
      <c r="E1442" s="52">
        <v>2665000000</v>
      </c>
      <c r="F1442" s="52">
        <v>1174000000</v>
      </c>
      <c r="G1442" s="52">
        <v>728000000</v>
      </c>
      <c r="H1442" s="52">
        <v>183000000</v>
      </c>
      <c r="I1442" s="52" t="s">
        <v>757</v>
      </c>
      <c r="J1442" s="51" t="s">
        <v>31</v>
      </c>
      <c r="K1442" s="51" t="s">
        <v>49</v>
      </c>
      <c r="L1442" s="41">
        <f t="shared" si="110"/>
        <v>1491000000</v>
      </c>
      <c r="M1442" s="41">
        <f t="shared" si="111"/>
        <v>911000000</v>
      </c>
      <c r="N1442" s="41">
        <f t="shared" si="112"/>
        <v>580000000</v>
      </c>
      <c r="O1442" s="41">
        <f t="shared" si="113"/>
        <v>0.65816135084427763</v>
      </c>
      <c r="P1442" s="41">
        <f t="shared" si="114"/>
        <v>0.2176360225140713</v>
      </c>
    </row>
    <row r="1443" spans="1:16" ht="19.95" customHeight="1">
      <c r="A1443" s="49">
        <v>1503</v>
      </c>
      <c r="B1443" s="50" t="s">
        <v>663</v>
      </c>
      <c r="C1443" s="51" t="s">
        <v>16</v>
      </c>
      <c r="D1443" s="51" t="s">
        <v>17</v>
      </c>
      <c r="E1443" s="52">
        <v>2692000000</v>
      </c>
      <c r="F1443" s="52">
        <v>1219000000</v>
      </c>
      <c r="G1443" s="52">
        <v>757000000</v>
      </c>
      <c r="H1443" s="52">
        <v>184000000</v>
      </c>
      <c r="I1443" s="52" t="s">
        <v>757</v>
      </c>
      <c r="J1443" s="51" t="s">
        <v>31</v>
      </c>
      <c r="K1443" s="51" t="s">
        <v>49</v>
      </c>
      <c r="L1443" s="41">
        <f t="shared" si="110"/>
        <v>1473000000</v>
      </c>
      <c r="M1443" s="41">
        <f t="shared" si="111"/>
        <v>941000000</v>
      </c>
      <c r="N1443" s="41">
        <f t="shared" si="112"/>
        <v>532000000</v>
      </c>
      <c r="O1443" s="41">
        <f t="shared" si="113"/>
        <v>0.65044576523031206</v>
      </c>
      <c r="P1443" s="41">
        <f t="shared" si="114"/>
        <v>0.1976225854383358</v>
      </c>
    </row>
    <row r="1444" spans="1:16" ht="19.95" customHeight="1">
      <c r="A1444" s="49">
        <v>1504</v>
      </c>
      <c r="B1444" s="50" t="s">
        <v>663</v>
      </c>
      <c r="C1444" s="51" t="s">
        <v>18</v>
      </c>
      <c r="D1444" s="51" t="s">
        <v>19</v>
      </c>
      <c r="E1444" s="52">
        <v>2732000000</v>
      </c>
      <c r="F1444" s="52">
        <v>1253000000</v>
      </c>
      <c r="G1444" s="52">
        <v>770000000</v>
      </c>
      <c r="H1444" s="52">
        <v>206000000</v>
      </c>
      <c r="I1444" s="52" t="s">
        <v>757</v>
      </c>
      <c r="J1444" s="51" t="s">
        <v>31</v>
      </c>
      <c r="K1444" s="51" t="s">
        <v>49</v>
      </c>
      <c r="L1444" s="41">
        <f t="shared" si="110"/>
        <v>1479000000</v>
      </c>
      <c r="M1444" s="41">
        <f t="shared" si="111"/>
        <v>976000000</v>
      </c>
      <c r="N1444" s="41">
        <f t="shared" si="112"/>
        <v>503000000</v>
      </c>
      <c r="O1444" s="41">
        <f t="shared" si="113"/>
        <v>0.64275256222547583</v>
      </c>
      <c r="P1444" s="41">
        <f t="shared" si="114"/>
        <v>0.18411420204978038</v>
      </c>
    </row>
    <row r="1445" spans="1:16" ht="19.95" customHeight="1">
      <c r="A1445" s="49">
        <v>1505</v>
      </c>
      <c r="B1445" s="50" t="s">
        <v>663</v>
      </c>
      <c r="C1445" s="51" t="s">
        <v>20</v>
      </c>
      <c r="D1445" s="51" t="s">
        <v>21</v>
      </c>
      <c r="E1445" s="52">
        <v>2530000000</v>
      </c>
      <c r="F1445" s="52">
        <v>1254000000</v>
      </c>
      <c r="G1445" s="52">
        <v>765000000</v>
      </c>
      <c r="H1445" s="52">
        <v>228000000</v>
      </c>
      <c r="I1445" s="52" t="s">
        <v>757</v>
      </c>
      <c r="J1445" s="51" t="s">
        <v>31</v>
      </c>
      <c r="K1445" s="51" t="s">
        <v>49</v>
      </c>
      <c r="L1445" s="41">
        <f t="shared" si="110"/>
        <v>1276000000</v>
      </c>
      <c r="M1445" s="41">
        <f t="shared" si="111"/>
        <v>993000000</v>
      </c>
      <c r="N1445" s="41">
        <f t="shared" si="112"/>
        <v>283000000</v>
      </c>
      <c r="O1445" s="41">
        <f t="shared" si="113"/>
        <v>0.60750988142292495</v>
      </c>
      <c r="P1445" s="41">
        <f t="shared" si="114"/>
        <v>0.11185770750988143</v>
      </c>
    </row>
    <row r="1446" spans="1:16" ht="19.95" customHeight="1">
      <c r="A1446" s="49">
        <v>1506</v>
      </c>
      <c r="B1446" s="50" t="s">
        <v>664</v>
      </c>
      <c r="C1446" s="51" t="s">
        <v>11</v>
      </c>
      <c r="D1446" s="51" t="s">
        <v>40</v>
      </c>
      <c r="E1446" s="52">
        <v>1924400000</v>
      </c>
      <c r="F1446" s="52">
        <v>874838000</v>
      </c>
      <c r="G1446" s="52">
        <v>254468000</v>
      </c>
      <c r="H1446" s="52" t="s">
        <v>757</v>
      </c>
      <c r="I1446" s="52">
        <v>45639000</v>
      </c>
      <c r="J1446" s="51" t="s">
        <v>14</v>
      </c>
      <c r="K1446" s="51" t="s">
        <v>124</v>
      </c>
      <c r="L1446" s="41">
        <f t="shared" si="110"/>
        <v>1049562000</v>
      </c>
      <c r="M1446" s="41">
        <f t="shared" si="111"/>
        <v>300107000</v>
      </c>
      <c r="N1446" s="41">
        <f t="shared" si="112"/>
        <v>749455000</v>
      </c>
      <c r="O1446" s="41">
        <f t="shared" si="113"/>
        <v>0.84405165246310543</v>
      </c>
      <c r="P1446" s="41">
        <f t="shared" si="114"/>
        <v>0.3894486593223862</v>
      </c>
    </row>
    <row r="1447" spans="1:16" ht="19.95" customHeight="1">
      <c r="A1447" s="49">
        <v>1507</v>
      </c>
      <c r="B1447" s="50" t="s">
        <v>664</v>
      </c>
      <c r="C1447" s="51" t="s">
        <v>16</v>
      </c>
      <c r="D1447" s="51" t="s">
        <v>42</v>
      </c>
      <c r="E1447" s="52">
        <v>2372906000</v>
      </c>
      <c r="F1447" s="52">
        <v>1105032000</v>
      </c>
      <c r="G1447" s="52">
        <v>276446000</v>
      </c>
      <c r="H1447" s="52" t="s">
        <v>757</v>
      </c>
      <c r="I1447" s="52">
        <v>63608000</v>
      </c>
      <c r="J1447" s="51" t="s">
        <v>14</v>
      </c>
      <c r="K1447" s="51" t="s">
        <v>124</v>
      </c>
      <c r="L1447" s="41">
        <f t="shared" si="110"/>
        <v>1267874000</v>
      </c>
      <c r="M1447" s="41">
        <f t="shared" si="111"/>
        <v>340054000</v>
      </c>
      <c r="N1447" s="41">
        <f t="shared" si="112"/>
        <v>927820000</v>
      </c>
      <c r="O1447" s="41">
        <f t="shared" si="113"/>
        <v>0.85669301691680999</v>
      </c>
      <c r="P1447" s="41">
        <f t="shared" si="114"/>
        <v>0.39100579626837306</v>
      </c>
    </row>
    <row r="1448" spans="1:16" ht="19.95" customHeight="1">
      <c r="A1448" s="49">
        <v>1508</v>
      </c>
      <c r="B1448" s="50" t="s">
        <v>664</v>
      </c>
      <c r="C1448" s="51" t="s">
        <v>18</v>
      </c>
      <c r="D1448" s="51" t="s">
        <v>43</v>
      </c>
      <c r="E1448" s="52">
        <v>2707115000</v>
      </c>
      <c r="F1448" s="52">
        <v>1257270000</v>
      </c>
      <c r="G1448" s="52">
        <v>321624000</v>
      </c>
      <c r="H1448" s="52" t="s">
        <v>757</v>
      </c>
      <c r="I1448" s="52">
        <v>54219000</v>
      </c>
      <c r="J1448" s="51" t="s">
        <v>14</v>
      </c>
      <c r="K1448" s="51" t="s">
        <v>124</v>
      </c>
      <c r="L1448" s="41">
        <f t="shared" si="110"/>
        <v>1449845000</v>
      </c>
      <c r="M1448" s="41">
        <f t="shared" si="111"/>
        <v>375843000</v>
      </c>
      <c r="N1448" s="41">
        <f t="shared" si="112"/>
        <v>1074002000</v>
      </c>
      <c r="O1448" s="41">
        <f t="shared" si="113"/>
        <v>0.86116474549474253</v>
      </c>
      <c r="P1448" s="41">
        <f t="shared" si="114"/>
        <v>0.39673305345358434</v>
      </c>
    </row>
    <row r="1449" spans="1:16" ht="19.95" customHeight="1">
      <c r="A1449" s="49">
        <v>1509</v>
      </c>
      <c r="B1449" s="50" t="s">
        <v>664</v>
      </c>
      <c r="C1449" s="51" t="s">
        <v>20</v>
      </c>
      <c r="D1449" s="51" t="s">
        <v>44</v>
      </c>
      <c r="E1449" s="52">
        <v>3171411000</v>
      </c>
      <c r="F1449" s="52">
        <v>1443348000</v>
      </c>
      <c r="G1449" s="52">
        <v>382858000</v>
      </c>
      <c r="H1449" s="52" t="s">
        <v>757</v>
      </c>
      <c r="I1449" s="52">
        <v>77445000</v>
      </c>
      <c r="J1449" s="51" t="s">
        <v>14</v>
      </c>
      <c r="K1449" s="51" t="s">
        <v>124</v>
      </c>
      <c r="L1449" s="41">
        <f t="shared" si="110"/>
        <v>1728063000</v>
      </c>
      <c r="M1449" s="41">
        <f t="shared" si="111"/>
        <v>460303000</v>
      </c>
      <c r="N1449" s="41">
        <f t="shared" si="112"/>
        <v>1267760000</v>
      </c>
      <c r="O1449" s="41">
        <f t="shared" si="113"/>
        <v>0.85485861025266041</v>
      </c>
      <c r="P1449" s="41">
        <f t="shared" si="114"/>
        <v>0.39974635895505189</v>
      </c>
    </row>
    <row r="1450" spans="1:16" ht="19.95" customHeight="1">
      <c r="A1450" s="49">
        <v>1510</v>
      </c>
      <c r="B1450" s="50" t="s">
        <v>665</v>
      </c>
      <c r="C1450" s="51" t="s">
        <v>11</v>
      </c>
      <c r="D1450" s="51" t="s">
        <v>449</v>
      </c>
      <c r="E1450" s="52">
        <v>11390000000</v>
      </c>
      <c r="F1450" s="52">
        <v>7739000000</v>
      </c>
      <c r="G1450" s="52">
        <v>1440000000</v>
      </c>
      <c r="H1450" s="52">
        <v>590000000</v>
      </c>
      <c r="I1450" s="52" t="s">
        <v>757</v>
      </c>
      <c r="J1450" s="51" t="s">
        <v>31</v>
      </c>
      <c r="K1450" s="51" t="s">
        <v>666</v>
      </c>
      <c r="L1450" s="41">
        <f t="shared" si="110"/>
        <v>3651000000</v>
      </c>
      <c r="M1450" s="41">
        <f t="shared" si="111"/>
        <v>2030000000</v>
      </c>
      <c r="N1450" s="41">
        <f t="shared" si="112"/>
        <v>1621000000</v>
      </c>
      <c r="O1450" s="41">
        <f t="shared" si="113"/>
        <v>0.8217734855136084</v>
      </c>
      <c r="P1450" s="41">
        <f t="shared" si="114"/>
        <v>0.14231782265144863</v>
      </c>
    </row>
    <row r="1451" spans="1:16" ht="19.95" customHeight="1">
      <c r="A1451" s="49">
        <v>1511</v>
      </c>
      <c r="B1451" s="50" t="s">
        <v>665</v>
      </c>
      <c r="C1451" s="51" t="s">
        <v>16</v>
      </c>
      <c r="D1451" s="51" t="s">
        <v>450</v>
      </c>
      <c r="E1451" s="52">
        <v>11973000000</v>
      </c>
      <c r="F1451" s="52">
        <v>8001000000</v>
      </c>
      <c r="G1451" s="52">
        <v>1534000000</v>
      </c>
      <c r="H1451" s="52">
        <v>583000000</v>
      </c>
      <c r="I1451" s="52" t="s">
        <v>757</v>
      </c>
      <c r="J1451" s="51" t="s">
        <v>31</v>
      </c>
      <c r="K1451" s="51" t="s">
        <v>666</v>
      </c>
      <c r="L1451" s="41">
        <f t="shared" si="110"/>
        <v>3972000000</v>
      </c>
      <c r="M1451" s="41">
        <f t="shared" si="111"/>
        <v>2117000000</v>
      </c>
      <c r="N1451" s="41">
        <f t="shared" si="112"/>
        <v>1855000000</v>
      </c>
      <c r="O1451" s="41">
        <f t="shared" si="113"/>
        <v>0.82318550070993068</v>
      </c>
      <c r="P1451" s="41">
        <f t="shared" si="114"/>
        <v>0.15493193017622986</v>
      </c>
    </row>
    <row r="1452" spans="1:16" ht="19.95" customHeight="1">
      <c r="A1452" s="49">
        <v>1512</v>
      </c>
      <c r="B1452" s="50" t="s">
        <v>665</v>
      </c>
      <c r="C1452" s="51" t="s">
        <v>18</v>
      </c>
      <c r="D1452" s="51" t="s">
        <v>667</v>
      </c>
      <c r="E1452" s="52">
        <v>12233000000</v>
      </c>
      <c r="F1452" s="52">
        <v>8146000000</v>
      </c>
      <c r="G1452" s="52">
        <v>1504000000</v>
      </c>
      <c r="H1452" s="52">
        <v>627000000</v>
      </c>
      <c r="I1452" s="52" t="s">
        <v>757</v>
      </c>
      <c r="J1452" s="51" t="s">
        <v>31</v>
      </c>
      <c r="K1452" s="51" t="s">
        <v>666</v>
      </c>
      <c r="L1452" s="41">
        <f t="shared" si="110"/>
        <v>4087000000</v>
      </c>
      <c r="M1452" s="41">
        <f t="shared" si="111"/>
        <v>2131000000</v>
      </c>
      <c r="N1452" s="41">
        <f t="shared" si="112"/>
        <v>1956000000</v>
      </c>
      <c r="O1452" s="41">
        <f t="shared" si="113"/>
        <v>0.82579906809449843</v>
      </c>
      <c r="P1452" s="41">
        <f t="shared" si="114"/>
        <v>0.15989536499632143</v>
      </c>
    </row>
    <row r="1453" spans="1:16" ht="19.95" customHeight="1">
      <c r="A1453" s="49">
        <v>1513</v>
      </c>
      <c r="B1453" s="50" t="s">
        <v>665</v>
      </c>
      <c r="C1453" s="51" t="s">
        <v>20</v>
      </c>
      <c r="D1453" s="51" t="s">
        <v>44</v>
      </c>
      <c r="E1453" s="52">
        <v>12238000000</v>
      </c>
      <c r="F1453" s="52">
        <v>8205000000</v>
      </c>
      <c r="G1453" s="52">
        <v>1463000000</v>
      </c>
      <c r="H1453" s="52">
        <v>644000000</v>
      </c>
      <c r="I1453" s="52" t="s">
        <v>757</v>
      </c>
      <c r="J1453" s="51" t="s">
        <v>31</v>
      </c>
      <c r="K1453" s="51" t="s">
        <v>666</v>
      </c>
      <c r="L1453" s="41">
        <f t="shared" si="110"/>
        <v>4033000000</v>
      </c>
      <c r="M1453" s="41">
        <f t="shared" si="111"/>
        <v>2107000000</v>
      </c>
      <c r="N1453" s="41">
        <f t="shared" si="112"/>
        <v>1926000000</v>
      </c>
      <c r="O1453" s="41">
        <f t="shared" si="113"/>
        <v>0.82783134499101163</v>
      </c>
      <c r="P1453" s="41">
        <f t="shared" si="114"/>
        <v>0.15737865664324235</v>
      </c>
    </row>
    <row r="1454" spans="1:16" ht="19.95" customHeight="1">
      <c r="A1454" s="49">
        <v>1514</v>
      </c>
      <c r="B1454" s="50" t="s">
        <v>668</v>
      </c>
      <c r="C1454" s="51" t="s">
        <v>11</v>
      </c>
      <c r="D1454" s="51" t="s">
        <v>591</v>
      </c>
      <c r="E1454" s="52">
        <v>5353197000</v>
      </c>
      <c r="F1454" s="52">
        <v>2943847000</v>
      </c>
      <c r="G1454" s="52">
        <v>1303427000</v>
      </c>
      <c r="H1454" s="52" t="s">
        <v>757</v>
      </c>
      <c r="I1454" s="52">
        <v>194039000</v>
      </c>
      <c r="J1454" s="51" t="s">
        <v>24</v>
      </c>
      <c r="K1454" s="51" t="s">
        <v>669</v>
      </c>
      <c r="L1454" s="41">
        <f t="shared" si="110"/>
        <v>2409350000</v>
      </c>
      <c r="M1454" s="41">
        <f t="shared" si="111"/>
        <v>1497466000</v>
      </c>
      <c r="N1454" s="41">
        <f t="shared" si="112"/>
        <v>911884000</v>
      </c>
      <c r="O1454" s="41">
        <f t="shared" si="113"/>
        <v>0.72026697317509525</v>
      </c>
      <c r="P1454" s="41">
        <f t="shared" si="114"/>
        <v>0.17034381510712196</v>
      </c>
    </row>
    <row r="1455" spans="1:16" ht="19.95" customHeight="1">
      <c r="A1455" s="49">
        <v>1515</v>
      </c>
      <c r="B1455" s="50" t="s">
        <v>668</v>
      </c>
      <c r="C1455" s="51" t="s">
        <v>16</v>
      </c>
      <c r="D1455" s="51" t="s">
        <v>386</v>
      </c>
      <c r="E1455" s="52">
        <v>1603123000</v>
      </c>
      <c r="F1455" s="52">
        <v>662769000</v>
      </c>
      <c r="G1455" s="52">
        <v>531932000</v>
      </c>
      <c r="H1455" s="52" t="s">
        <v>757</v>
      </c>
      <c r="I1455" s="52">
        <v>74833000</v>
      </c>
      <c r="J1455" s="51" t="s">
        <v>24</v>
      </c>
      <c r="K1455" s="51" t="s">
        <v>669</v>
      </c>
      <c r="L1455" s="41">
        <f t="shared" si="110"/>
        <v>940354000</v>
      </c>
      <c r="M1455" s="41">
        <f t="shared" si="111"/>
        <v>606765000</v>
      </c>
      <c r="N1455" s="41">
        <f t="shared" si="112"/>
        <v>333589000</v>
      </c>
      <c r="O1455" s="41">
        <f t="shared" si="113"/>
        <v>0.62151063892165481</v>
      </c>
      <c r="P1455" s="41">
        <f t="shared" si="114"/>
        <v>0.2080869652546935</v>
      </c>
    </row>
    <row r="1456" spans="1:16" ht="19.95" customHeight="1">
      <c r="A1456" s="49">
        <v>1516</v>
      </c>
      <c r="B1456" s="50" t="s">
        <v>668</v>
      </c>
      <c r="C1456" s="51" t="s">
        <v>18</v>
      </c>
      <c r="D1456" s="51" t="s">
        <v>19</v>
      </c>
      <c r="E1456" s="52">
        <v>2626141000</v>
      </c>
      <c r="F1456" s="52">
        <v>954990000</v>
      </c>
      <c r="G1456" s="52">
        <v>766854000</v>
      </c>
      <c r="H1456" s="52" t="s">
        <v>757</v>
      </c>
      <c r="I1456" s="52">
        <v>151837000</v>
      </c>
      <c r="J1456" s="51" t="s">
        <v>24</v>
      </c>
      <c r="K1456" s="51" t="s">
        <v>669</v>
      </c>
      <c r="L1456" s="41">
        <f t="shared" si="110"/>
        <v>1671151000</v>
      </c>
      <c r="M1456" s="41">
        <f t="shared" si="111"/>
        <v>918691000</v>
      </c>
      <c r="N1456" s="41">
        <f t="shared" si="112"/>
        <v>752460000</v>
      </c>
      <c r="O1456" s="41">
        <f t="shared" si="113"/>
        <v>0.65017453365984545</v>
      </c>
      <c r="P1456" s="41">
        <f t="shared" si="114"/>
        <v>0.28652688488546502</v>
      </c>
    </row>
    <row r="1457" spans="1:16" ht="19.95" customHeight="1">
      <c r="A1457" s="49">
        <v>1517</v>
      </c>
      <c r="B1457" s="50" t="s">
        <v>668</v>
      </c>
      <c r="C1457" s="51" t="s">
        <v>20</v>
      </c>
      <c r="D1457" s="51" t="s">
        <v>21</v>
      </c>
      <c r="E1457" s="52">
        <v>3050945000</v>
      </c>
      <c r="F1457" s="52">
        <v>923336000</v>
      </c>
      <c r="G1457" s="52">
        <v>1068221000</v>
      </c>
      <c r="H1457" s="52" t="s">
        <v>757</v>
      </c>
      <c r="I1457" s="52">
        <v>205087000</v>
      </c>
      <c r="J1457" s="51" t="s">
        <v>24</v>
      </c>
      <c r="K1457" s="51" t="s">
        <v>669</v>
      </c>
      <c r="L1457" s="41">
        <f t="shared" si="110"/>
        <v>2127609000</v>
      </c>
      <c r="M1457" s="41">
        <f t="shared" si="111"/>
        <v>1273308000</v>
      </c>
      <c r="N1457" s="41">
        <f t="shared" si="112"/>
        <v>854301000</v>
      </c>
      <c r="O1457" s="41">
        <f t="shared" si="113"/>
        <v>0.58265127689945251</v>
      </c>
      <c r="P1457" s="41">
        <f t="shared" si="114"/>
        <v>0.28001193072965919</v>
      </c>
    </row>
    <row r="1458" spans="1:16" ht="19.95" customHeight="1">
      <c r="A1458" s="49">
        <v>1518</v>
      </c>
      <c r="B1458" s="50" t="s">
        <v>670</v>
      </c>
      <c r="C1458" s="51" t="s">
        <v>11</v>
      </c>
      <c r="D1458" s="51" t="s">
        <v>302</v>
      </c>
      <c r="E1458" s="52">
        <v>73301000000</v>
      </c>
      <c r="F1458" s="52">
        <v>50568000000</v>
      </c>
      <c r="G1458" s="52">
        <v>15110000000</v>
      </c>
      <c r="H1458" s="52" t="s">
        <v>757</v>
      </c>
      <c r="I1458" s="52">
        <v>2044000000</v>
      </c>
      <c r="J1458" s="51" t="s">
        <v>24</v>
      </c>
      <c r="K1458" s="51" t="s">
        <v>285</v>
      </c>
      <c r="L1458" s="41">
        <f t="shared" si="110"/>
        <v>22733000000</v>
      </c>
      <c r="M1458" s="41">
        <f t="shared" si="111"/>
        <v>17154000000</v>
      </c>
      <c r="N1458" s="41">
        <f t="shared" si="112"/>
        <v>5579000000</v>
      </c>
      <c r="O1458" s="41">
        <f t="shared" si="113"/>
        <v>0.76597863603497907</v>
      </c>
      <c r="P1458" s="41">
        <f t="shared" si="114"/>
        <v>7.6110830684438135E-2</v>
      </c>
    </row>
    <row r="1459" spans="1:16" ht="19.95" customHeight="1">
      <c r="A1459" s="49">
        <v>1519</v>
      </c>
      <c r="B1459" s="50" t="s">
        <v>670</v>
      </c>
      <c r="C1459" s="51" t="s">
        <v>16</v>
      </c>
      <c r="D1459" s="51" t="s">
        <v>157</v>
      </c>
      <c r="E1459" s="52">
        <v>71279000000</v>
      </c>
      <c r="F1459" s="52">
        <v>50039000000</v>
      </c>
      <c r="G1459" s="52">
        <v>14465000000</v>
      </c>
      <c r="H1459" s="52" t="s">
        <v>757</v>
      </c>
      <c r="I1459" s="52">
        <v>1996000000</v>
      </c>
      <c r="J1459" s="51" t="s">
        <v>24</v>
      </c>
      <c r="K1459" s="51" t="s">
        <v>285</v>
      </c>
      <c r="L1459" s="41">
        <f t="shared" si="110"/>
        <v>21240000000</v>
      </c>
      <c r="M1459" s="41">
        <f t="shared" si="111"/>
        <v>16461000000</v>
      </c>
      <c r="N1459" s="41">
        <f t="shared" si="112"/>
        <v>4779000000</v>
      </c>
      <c r="O1459" s="41">
        <f t="shared" si="113"/>
        <v>0.76906241670057096</v>
      </c>
      <c r="P1459" s="41">
        <f t="shared" si="114"/>
        <v>6.7046395151447127E-2</v>
      </c>
    </row>
    <row r="1460" spans="1:16" ht="19.95" customHeight="1">
      <c r="A1460" s="49">
        <v>1520</v>
      </c>
      <c r="B1460" s="50" t="s">
        <v>670</v>
      </c>
      <c r="C1460" s="51" t="s">
        <v>18</v>
      </c>
      <c r="D1460" s="51" t="s">
        <v>67</v>
      </c>
      <c r="E1460" s="52">
        <v>72618000000</v>
      </c>
      <c r="F1460" s="52">
        <v>51278000000</v>
      </c>
      <c r="G1460" s="52">
        <v>14676000000</v>
      </c>
      <c r="H1460" s="52" t="s">
        <v>757</v>
      </c>
      <c r="I1460" s="52">
        <v>2129000000</v>
      </c>
      <c r="J1460" s="51" t="s">
        <v>24</v>
      </c>
      <c r="K1460" s="51" t="s">
        <v>285</v>
      </c>
      <c r="L1460" s="41">
        <f t="shared" si="110"/>
        <v>21340000000</v>
      </c>
      <c r="M1460" s="41">
        <f t="shared" si="111"/>
        <v>16805000000</v>
      </c>
      <c r="N1460" s="41">
        <f t="shared" si="112"/>
        <v>4535000000</v>
      </c>
      <c r="O1460" s="41">
        <f t="shared" si="113"/>
        <v>0.76858354677903551</v>
      </c>
      <c r="P1460" s="41">
        <f t="shared" si="114"/>
        <v>6.2450081247073727E-2</v>
      </c>
    </row>
    <row r="1461" spans="1:16" ht="19.95" customHeight="1">
      <c r="A1461" s="49">
        <v>1521</v>
      </c>
      <c r="B1461" s="50" t="s">
        <v>670</v>
      </c>
      <c r="C1461" s="51" t="s">
        <v>20</v>
      </c>
      <c r="D1461" s="51" t="s">
        <v>158</v>
      </c>
      <c r="E1461" s="52">
        <v>73785000000</v>
      </c>
      <c r="F1461" s="52">
        <v>51997000000</v>
      </c>
      <c r="G1461" s="52">
        <v>14665000000</v>
      </c>
      <c r="H1461" s="52" t="s">
        <v>757</v>
      </c>
      <c r="I1461" s="52">
        <v>2213000000</v>
      </c>
      <c r="J1461" s="51" t="s">
        <v>24</v>
      </c>
      <c r="K1461" s="51" t="s">
        <v>285</v>
      </c>
      <c r="L1461" s="41">
        <f t="shared" si="110"/>
        <v>21788000000</v>
      </c>
      <c r="M1461" s="41">
        <f t="shared" si="111"/>
        <v>16878000000</v>
      </c>
      <c r="N1461" s="41">
        <f t="shared" si="112"/>
        <v>4910000000</v>
      </c>
      <c r="O1461" s="41">
        <f t="shared" si="113"/>
        <v>0.7712543199837365</v>
      </c>
      <c r="P1461" s="41">
        <f t="shared" si="114"/>
        <v>6.6544690655282235E-2</v>
      </c>
    </row>
    <row r="1462" spans="1:16" ht="19.95" customHeight="1">
      <c r="A1462" s="49">
        <v>1522</v>
      </c>
      <c r="B1462" s="50" t="s">
        <v>671</v>
      </c>
      <c r="C1462" s="51" t="s">
        <v>11</v>
      </c>
      <c r="D1462" s="51" t="s">
        <v>65</v>
      </c>
      <c r="E1462" s="52">
        <v>3794249000</v>
      </c>
      <c r="F1462" s="52">
        <v>1630965000</v>
      </c>
      <c r="G1462" s="52">
        <v>1466067000</v>
      </c>
      <c r="H1462" s="52" t="s">
        <v>757</v>
      </c>
      <c r="I1462" s="52" t="s">
        <v>757</v>
      </c>
      <c r="J1462" s="51" t="s">
        <v>24</v>
      </c>
      <c r="K1462" s="51" t="s">
        <v>391</v>
      </c>
      <c r="L1462" s="41">
        <f t="shared" si="110"/>
        <v>2163284000</v>
      </c>
      <c r="M1462" s="41">
        <f t="shared" si="111"/>
        <v>1466067000</v>
      </c>
      <c r="N1462" s="41">
        <f t="shared" si="112"/>
        <v>697217000</v>
      </c>
      <c r="O1462" s="41">
        <f t="shared" si="113"/>
        <v>0.61360812113279861</v>
      </c>
      <c r="P1462" s="41">
        <f t="shared" si="114"/>
        <v>0.18375625848488067</v>
      </c>
    </row>
    <row r="1463" spans="1:16" ht="19.95" customHeight="1">
      <c r="A1463" s="49">
        <v>1523</v>
      </c>
      <c r="B1463" s="50" t="s">
        <v>671</v>
      </c>
      <c r="C1463" s="51" t="s">
        <v>16</v>
      </c>
      <c r="D1463" s="51" t="s">
        <v>66</v>
      </c>
      <c r="E1463" s="52">
        <v>4031100000</v>
      </c>
      <c r="F1463" s="52">
        <v>1690700000</v>
      </c>
      <c r="G1463" s="52">
        <v>2036100000</v>
      </c>
      <c r="H1463" s="52" t="s">
        <v>757</v>
      </c>
      <c r="I1463" s="52" t="s">
        <v>757</v>
      </c>
      <c r="J1463" s="51" t="s">
        <v>24</v>
      </c>
      <c r="K1463" s="51" t="s">
        <v>391</v>
      </c>
      <c r="L1463" s="41">
        <f t="shared" si="110"/>
        <v>2340400000</v>
      </c>
      <c r="M1463" s="41">
        <f t="shared" si="111"/>
        <v>2036100000</v>
      </c>
      <c r="N1463" s="41">
        <f t="shared" si="112"/>
        <v>304300000</v>
      </c>
      <c r="O1463" s="41">
        <f t="shared" si="113"/>
        <v>0.49490213589342857</v>
      </c>
      <c r="P1463" s="41">
        <f t="shared" si="114"/>
        <v>7.5488080176626726E-2</v>
      </c>
    </row>
    <row r="1464" spans="1:16" ht="19.95" customHeight="1">
      <c r="A1464" s="49">
        <v>1524</v>
      </c>
      <c r="B1464" s="50" t="s">
        <v>671</v>
      </c>
      <c r="C1464" s="51" t="s">
        <v>18</v>
      </c>
      <c r="D1464" s="51" t="s">
        <v>67</v>
      </c>
      <c r="E1464" s="52">
        <v>4249900000</v>
      </c>
      <c r="F1464" s="52">
        <v>1712700000</v>
      </c>
      <c r="G1464" s="52">
        <v>1645800000</v>
      </c>
      <c r="H1464" s="52" t="s">
        <v>757</v>
      </c>
      <c r="I1464" s="52" t="s">
        <v>757</v>
      </c>
      <c r="J1464" s="51" t="s">
        <v>24</v>
      </c>
      <c r="K1464" s="51" t="s">
        <v>391</v>
      </c>
      <c r="L1464" s="41">
        <f t="shared" si="110"/>
        <v>2537200000</v>
      </c>
      <c r="M1464" s="41">
        <f t="shared" si="111"/>
        <v>1645800000</v>
      </c>
      <c r="N1464" s="41">
        <f t="shared" si="112"/>
        <v>891400000</v>
      </c>
      <c r="O1464" s="41">
        <f t="shared" si="113"/>
        <v>0.61274382926657101</v>
      </c>
      <c r="P1464" s="41">
        <f t="shared" si="114"/>
        <v>0.20974611167321583</v>
      </c>
    </row>
    <row r="1465" spans="1:16" ht="19.95" customHeight="1">
      <c r="A1465" s="49">
        <v>1525</v>
      </c>
      <c r="B1465" s="50" t="s">
        <v>671</v>
      </c>
      <c r="C1465" s="51" t="s">
        <v>20</v>
      </c>
      <c r="D1465" s="51" t="s">
        <v>68</v>
      </c>
      <c r="E1465" s="52">
        <v>4104900000</v>
      </c>
      <c r="F1465" s="52">
        <v>1613600000</v>
      </c>
      <c r="G1465" s="52">
        <v>1731200000</v>
      </c>
      <c r="H1465" s="52" t="s">
        <v>757</v>
      </c>
      <c r="I1465" s="52" t="s">
        <v>757</v>
      </c>
      <c r="J1465" s="51" t="s">
        <v>24</v>
      </c>
      <c r="K1465" s="51" t="s">
        <v>391</v>
      </c>
      <c r="L1465" s="41">
        <f t="shared" si="110"/>
        <v>2491300000</v>
      </c>
      <c r="M1465" s="41">
        <f t="shared" si="111"/>
        <v>1731200000</v>
      </c>
      <c r="N1465" s="41">
        <f t="shared" si="112"/>
        <v>760100000</v>
      </c>
      <c r="O1465" s="41">
        <f t="shared" si="113"/>
        <v>0.57826012813954053</v>
      </c>
      <c r="P1465" s="41">
        <f t="shared" si="114"/>
        <v>0.18516894443226389</v>
      </c>
    </row>
    <row r="1466" spans="1:16" ht="19.95" customHeight="1">
      <c r="A1466" s="49">
        <v>1526</v>
      </c>
      <c r="B1466" s="50" t="s">
        <v>672</v>
      </c>
      <c r="C1466" s="51" t="s">
        <v>11</v>
      </c>
      <c r="D1466" s="51" t="s">
        <v>302</v>
      </c>
      <c r="E1466" s="52">
        <v>25878372000</v>
      </c>
      <c r="F1466" s="52">
        <v>18521400000</v>
      </c>
      <c r="G1466" s="52">
        <v>4250446000</v>
      </c>
      <c r="H1466" s="52" t="s">
        <v>757</v>
      </c>
      <c r="I1466" s="52" t="s">
        <v>757</v>
      </c>
      <c r="J1466" s="51" t="s">
        <v>24</v>
      </c>
      <c r="K1466" s="51" t="s">
        <v>354</v>
      </c>
      <c r="L1466" s="41">
        <f t="shared" si="110"/>
        <v>7356972000</v>
      </c>
      <c r="M1466" s="41">
        <f t="shared" si="111"/>
        <v>4250446000</v>
      </c>
      <c r="N1466" s="41">
        <f t="shared" si="112"/>
        <v>3106526000</v>
      </c>
      <c r="O1466" s="41">
        <f t="shared" si="113"/>
        <v>0.83575296003937183</v>
      </c>
      <c r="P1466" s="41">
        <f t="shared" si="114"/>
        <v>0.1200433319375732</v>
      </c>
    </row>
    <row r="1467" spans="1:16" ht="19.95" customHeight="1">
      <c r="A1467" s="49">
        <v>1527</v>
      </c>
      <c r="B1467" s="50" t="s">
        <v>672</v>
      </c>
      <c r="C1467" s="51" t="s">
        <v>16</v>
      </c>
      <c r="D1467" s="51" t="s">
        <v>157</v>
      </c>
      <c r="E1467" s="52">
        <v>27422696000</v>
      </c>
      <c r="F1467" s="52">
        <v>19605037000</v>
      </c>
      <c r="G1467" s="52">
        <v>4467089000</v>
      </c>
      <c r="H1467" s="52" t="s">
        <v>757</v>
      </c>
      <c r="I1467" s="52" t="s">
        <v>757</v>
      </c>
      <c r="J1467" s="51" t="s">
        <v>24</v>
      </c>
      <c r="K1467" s="51" t="s">
        <v>354</v>
      </c>
      <c r="L1467" s="41">
        <f t="shared" si="110"/>
        <v>7817659000</v>
      </c>
      <c r="M1467" s="41">
        <f t="shared" si="111"/>
        <v>4467089000</v>
      </c>
      <c r="N1467" s="41">
        <f t="shared" si="112"/>
        <v>3350570000</v>
      </c>
      <c r="O1467" s="41">
        <f t="shared" si="113"/>
        <v>0.83710248620339889</v>
      </c>
      <c r="P1467" s="41">
        <f t="shared" si="114"/>
        <v>0.12218237039859246</v>
      </c>
    </row>
    <row r="1468" spans="1:16" ht="19.95" customHeight="1">
      <c r="A1468" s="49">
        <v>1528</v>
      </c>
      <c r="B1468" s="50" t="s">
        <v>672</v>
      </c>
      <c r="C1468" s="51" t="s">
        <v>18</v>
      </c>
      <c r="D1468" s="51" t="s">
        <v>67</v>
      </c>
      <c r="E1468" s="52">
        <v>29078407000</v>
      </c>
      <c r="F1468" s="52">
        <v>20776522000</v>
      </c>
      <c r="G1468" s="52">
        <v>4695384000</v>
      </c>
      <c r="H1468" s="52" t="s">
        <v>757</v>
      </c>
      <c r="I1468" s="52" t="s">
        <v>757</v>
      </c>
      <c r="J1468" s="51" t="s">
        <v>24</v>
      </c>
      <c r="K1468" s="51" t="s">
        <v>354</v>
      </c>
      <c r="L1468" s="41">
        <f t="shared" si="110"/>
        <v>8301885000</v>
      </c>
      <c r="M1468" s="41">
        <f t="shared" si="111"/>
        <v>4695384000</v>
      </c>
      <c r="N1468" s="41">
        <f t="shared" si="112"/>
        <v>3606501000</v>
      </c>
      <c r="O1468" s="41">
        <f t="shared" si="113"/>
        <v>0.83852678037005257</v>
      </c>
      <c r="P1468" s="41">
        <f t="shared" si="114"/>
        <v>0.1240267735436814</v>
      </c>
    </row>
    <row r="1469" spans="1:16" ht="19.95" customHeight="1">
      <c r="A1469" s="49">
        <v>1529</v>
      </c>
      <c r="B1469" s="50" t="s">
        <v>672</v>
      </c>
      <c r="C1469" s="51" t="s">
        <v>20</v>
      </c>
      <c r="D1469" s="51" t="s">
        <v>158</v>
      </c>
      <c r="E1469" s="52">
        <v>30944938000</v>
      </c>
      <c r="F1469" s="52">
        <v>22034523000</v>
      </c>
      <c r="G1469" s="52">
        <v>5205715000</v>
      </c>
      <c r="H1469" s="52" t="s">
        <v>757</v>
      </c>
      <c r="I1469" s="52" t="s">
        <v>757</v>
      </c>
      <c r="J1469" s="51" t="s">
        <v>24</v>
      </c>
      <c r="K1469" s="51" t="s">
        <v>354</v>
      </c>
      <c r="L1469" s="41">
        <f t="shared" si="110"/>
        <v>8910415000</v>
      </c>
      <c r="M1469" s="41">
        <f t="shared" si="111"/>
        <v>5205715000</v>
      </c>
      <c r="N1469" s="41">
        <f t="shared" si="112"/>
        <v>3704700000</v>
      </c>
      <c r="O1469" s="41">
        <f t="shared" si="113"/>
        <v>0.83177490935674192</v>
      </c>
      <c r="P1469" s="41">
        <f t="shared" si="114"/>
        <v>0.11971909589865716</v>
      </c>
    </row>
    <row r="1470" spans="1:16" ht="19.95" customHeight="1">
      <c r="A1470" s="49">
        <v>1530</v>
      </c>
      <c r="B1470" s="50" t="s">
        <v>673</v>
      </c>
      <c r="C1470" s="51" t="s">
        <v>11</v>
      </c>
      <c r="D1470" s="51" t="s">
        <v>12</v>
      </c>
      <c r="E1470" s="52">
        <v>3589516000</v>
      </c>
      <c r="F1470" s="52">
        <v>1955682000</v>
      </c>
      <c r="G1470" s="52" t="s">
        <v>757</v>
      </c>
      <c r="H1470" s="52" t="s">
        <v>757</v>
      </c>
      <c r="I1470" s="52">
        <v>787329000</v>
      </c>
      <c r="J1470" s="51" t="s">
        <v>75</v>
      </c>
      <c r="K1470" s="51" t="s">
        <v>76</v>
      </c>
      <c r="L1470" s="41">
        <f t="shared" si="110"/>
        <v>1633834000</v>
      </c>
      <c r="M1470" s="41">
        <f t="shared" si="111"/>
        <v>787329000</v>
      </c>
      <c r="N1470" s="41">
        <f t="shared" si="112"/>
        <v>846505000</v>
      </c>
      <c r="O1470" s="41">
        <f t="shared" si="113"/>
        <v>0.78065872947773463</v>
      </c>
      <c r="P1470" s="41">
        <f t="shared" si="114"/>
        <v>0.23582705857837102</v>
      </c>
    </row>
    <row r="1471" spans="1:16" ht="19.95" customHeight="1">
      <c r="A1471" s="53">
        <v>1531</v>
      </c>
      <c r="B1471" s="54" t="s">
        <v>673</v>
      </c>
      <c r="C1471" s="55" t="s">
        <v>16</v>
      </c>
      <c r="D1471" s="55" t="s">
        <v>17</v>
      </c>
      <c r="E1471" s="56">
        <v>3494253000</v>
      </c>
      <c r="F1471" s="56">
        <v>1838766000</v>
      </c>
      <c r="G1471" s="56" t="s">
        <v>757</v>
      </c>
      <c r="H1471" s="56" t="s">
        <v>757</v>
      </c>
      <c r="I1471" s="56">
        <v>819711000</v>
      </c>
      <c r="J1471" s="55" t="s">
        <v>75</v>
      </c>
      <c r="K1471" s="55" t="s">
        <v>76</v>
      </c>
      <c r="L1471" s="57">
        <f t="shared" si="110"/>
        <v>1655487000</v>
      </c>
      <c r="M1471" s="57">
        <f t="shared" si="111"/>
        <v>819711000</v>
      </c>
      <c r="N1471" s="57">
        <f t="shared" si="112"/>
        <v>835776000</v>
      </c>
      <c r="O1471" s="57">
        <f t="shared" si="113"/>
        <v>0.76541166309365694</v>
      </c>
      <c r="P1471" s="57">
        <f t="shared" si="114"/>
        <v>0.23918588608208965</v>
      </c>
    </row>
    <row r="1472" spans="1:16" ht="19.95" customHeight="1">
      <c r="A1472" s="49">
        <v>1532</v>
      </c>
      <c r="B1472" s="50" t="s">
        <v>673</v>
      </c>
      <c r="C1472" s="51" t="s">
        <v>18</v>
      </c>
      <c r="D1472" s="51" t="s">
        <v>19</v>
      </c>
      <c r="E1472" s="52">
        <v>3620095000</v>
      </c>
      <c r="F1472" s="52">
        <v>1903384000</v>
      </c>
      <c r="G1472" s="52" t="s">
        <v>757</v>
      </c>
      <c r="H1472" s="52" t="s">
        <v>757</v>
      </c>
      <c r="I1472" s="52">
        <v>855908000</v>
      </c>
      <c r="J1472" s="51" t="s">
        <v>75</v>
      </c>
      <c r="K1472" s="51" t="s">
        <v>76</v>
      </c>
      <c r="L1472" s="41">
        <f t="shared" si="110"/>
        <v>1716711000</v>
      </c>
      <c r="M1472" s="41">
        <f t="shared" si="111"/>
        <v>855908000</v>
      </c>
      <c r="N1472" s="41">
        <f t="shared" si="112"/>
        <v>860803000</v>
      </c>
      <c r="O1472" s="41">
        <f t="shared" si="113"/>
        <v>0.76356753068634942</v>
      </c>
      <c r="P1472" s="41">
        <f t="shared" si="114"/>
        <v>0.23778464377316064</v>
      </c>
    </row>
    <row r="1473" spans="1:16" ht="19.95" customHeight="1">
      <c r="A1473" s="49">
        <v>1533</v>
      </c>
      <c r="B1473" s="50" t="s">
        <v>673</v>
      </c>
      <c r="C1473" s="51" t="s">
        <v>20</v>
      </c>
      <c r="D1473" s="51" t="s">
        <v>21</v>
      </c>
      <c r="E1473" s="52">
        <v>3766065000</v>
      </c>
      <c r="F1473" s="52">
        <v>2016212000</v>
      </c>
      <c r="G1473" s="52" t="s">
        <v>757</v>
      </c>
      <c r="H1473" s="52" t="s">
        <v>757</v>
      </c>
      <c r="I1473" s="52">
        <v>907024000</v>
      </c>
      <c r="J1473" s="51" t="s">
        <v>75</v>
      </c>
      <c r="K1473" s="51" t="s">
        <v>76</v>
      </c>
      <c r="L1473" s="41">
        <f t="shared" si="110"/>
        <v>1749853000</v>
      </c>
      <c r="M1473" s="41">
        <f t="shared" si="111"/>
        <v>907024000</v>
      </c>
      <c r="N1473" s="41">
        <f t="shared" si="112"/>
        <v>842829000</v>
      </c>
      <c r="O1473" s="41">
        <f t="shared" si="113"/>
        <v>0.75915869747335751</v>
      </c>
      <c r="P1473" s="41">
        <f t="shared" si="114"/>
        <v>0.22379565939515117</v>
      </c>
    </row>
    <row r="1474" spans="1:16" ht="19.95" customHeight="1">
      <c r="A1474" s="49">
        <v>1534</v>
      </c>
      <c r="B1474" s="50" t="s">
        <v>674</v>
      </c>
      <c r="C1474" s="51" t="s">
        <v>11</v>
      </c>
      <c r="D1474" s="51" t="s">
        <v>12</v>
      </c>
      <c r="E1474" s="52">
        <v>12509900000</v>
      </c>
      <c r="F1474" s="52">
        <v>7214400000</v>
      </c>
      <c r="G1474" s="52">
        <v>3354900000</v>
      </c>
      <c r="H1474" s="52">
        <v>376400000</v>
      </c>
      <c r="I1474" s="52" t="s">
        <v>757</v>
      </c>
      <c r="J1474" s="51" t="s">
        <v>37</v>
      </c>
      <c r="K1474" s="51" t="s">
        <v>46</v>
      </c>
      <c r="L1474" s="41">
        <f t="shared" si="110"/>
        <v>5295500000</v>
      </c>
      <c r="M1474" s="41">
        <f t="shared" si="111"/>
        <v>3731300000</v>
      </c>
      <c r="N1474" s="41">
        <f t="shared" si="112"/>
        <v>1564200000</v>
      </c>
      <c r="O1474" s="41">
        <f t="shared" si="113"/>
        <v>0.70173222807536428</v>
      </c>
      <c r="P1474" s="41">
        <f t="shared" si="114"/>
        <v>0.1250369707191904</v>
      </c>
    </row>
    <row r="1475" spans="1:16" ht="19.95" customHeight="1">
      <c r="A1475" s="49">
        <v>1535</v>
      </c>
      <c r="B1475" s="50" t="s">
        <v>674</v>
      </c>
      <c r="C1475" s="51" t="s">
        <v>16</v>
      </c>
      <c r="D1475" s="51" t="s">
        <v>17</v>
      </c>
      <c r="E1475" s="52">
        <v>13090300000</v>
      </c>
      <c r="F1475" s="52">
        <v>7561200000</v>
      </c>
      <c r="G1475" s="52">
        <v>3446300000</v>
      </c>
      <c r="H1475" s="52">
        <v>395500000</v>
      </c>
      <c r="I1475" s="52" t="s">
        <v>757</v>
      </c>
      <c r="J1475" s="51" t="s">
        <v>37</v>
      </c>
      <c r="K1475" s="51" t="s">
        <v>46</v>
      </c>
      <c r="L1475" s="41">
        <f t="shared" ref="L1475:L1538" si="115">Total_Revenue-COGS</f>
        <v>5529100000</v>
      </c>
      <c r="M1475" s="41">
        <f t="shared" ref="M1475:M1538" si="116">SGAA+RandD+OOI</f>
        <v>3841800000</v>
      </c>
      <c r="N1475" s="41">
        <f t="shared" ref="N1475:N1538" si="117">Gross_Profit-Total_Operating_Expenses</f>
        <v>1687300000</v>
      </c>
      <c r="O1475" s="41">
        <f t="shared" ref="O1475:O1538" si="118">1-(Total_Operating_Expenses/Total_Revenue)</f>
        <v>0.70651551148560388</v>
      </c>
      <c r="P1475" s="41">
        <f t="shared" ref="P1475:P1538" si="119">Operating_Profit/Total_Revenue</f>
        <v>0.1288969695117759</v>
      </c>
    </row>
    <row r="1476" spans="1:16" ht="19.95" customHeight="1">
      <c r="A1476" s="49">
        <v>1536</v>
      </c>
      <c r="B1476" s="50" t="s">
        <v>674</v>
      </c>
      <c r="C1476" s="51" t="s">
        <v>18</v>
      </c>
      <c r="D1476" s="51" t="s">
        <v>19</v>
      </c>
      <c r="E1476" s="52">
        <v>16889600000</v>
      </c>
      <c r="F1476" s="52">
        <v>9397600000</v>
      </c>
      <c r="G1476" s="52">
        <v>4896100000</v>
      </c>
      <c r="H1476" s="52">
        <v>691100000</v>
      </c>
      <c r="I1476" s="52" t="s">
        <v>757</v>
      </c>
      <c r="J1476" s="51" t="s">
        <v>37</v>
      </c>
      <c r="K1476" s="51" t="s">
        <v>46</v>
      </c>
      <c r="L1476" s="41">
        <f t="shared" si="115"/>
        <v>7492000000</v>
      </c>
      <c r="M1476" s="41">
        <f t="shared" si="116"/>
        <v>5587200000</v>
      </c>
      <c r="N1476" s="41">
        <f t="shared" si="117"/>
        <v>1904800000</v>
      </c>
      <c r="O1476" s="41">
        <f t="shared" si="118"/>
        <v>0.66919287608942779</v>
      </c>
      <c r="P1476" s="41">
        <f t="shared" si="119"/>
        <v>0.11277946191739295</v>
      </c>
    </row>
    <row r="1477" spans="1:16" ht="19.95" customHeight="1">
      <c r="A1477" s="49">
        <v>1537</v>
      </c>
      <c r="B1477" s="50" t="s">
        <v>674</v>
      </c>
      <c r="C1477" s="51" t="s">
        <v>20</v>
      </c>
      <c r="D1477" s="51" t="s">
        <v>21</v>
      </c>
      <c r="E1477" s="52">
        <v>16965400000</v>
      </c>
      <c r="F1477" s="52">
        <v>9209500000</v>
      </c>
      <c r="G1477" s="52">
        <v>4612100000</v>
      </c>
      <c r="H1477" s="52">
        <v>692300000</v>
      </c>
      <c r="I1477" s="52" t="s">
        <v>757</v>
      </c>
      <c r="J1477" s="51" t="s">
        <v>37</v>
      </c>
      <c r="K1477" s="51" t="s">
        <v>46</v>
      </c>
      <c r="L1477" s="41">
        <f t="shared" si="115"/>
        <v>7755900000</v>
      </c>
      <c r="M1477" s="41">
        <f t="shared" si="116"/>
        <v>5304400000</v>
      </c>
      <c r="N1477" s="41">
        <f t="shared" si="117"/>
        <v>2451500000</v>
      </c>
      <c r="O1477" s="41">
        <f t="shared" si="118"/>
        <v>0.68734011576502763</v>
      </c>
      <c r="P1477" s="41">
        <f t="shared" si="119"/>
        <v>0.14449998231695096</v>
      </c>
    </row>
    <row r="1478" spans="1:16" ht="19.95" customHeight="1">
      <c r="A1478" s="49">
        <v>1538</v>
      </c>
      <c r="B1478" s="50" t="s">
        <v>675</v>
      </c>
      <c r="C1478" s="51" t="s">
        <v>11</v>
      </c>
      <c r="D1478" s="51" t="s">
        <v>12</v>
      </c>
      <c r="E1478" s="52">
        <v>763000000</v>
      </c>
      <c r="F1478" s="52">
        <v>12000000</v>
      </c>
      <c r="G1478" s="52">
        <v>429000000</v>
      </c>
      <c r="H1478" s="52" t="s">
        <v>757</v>
      </c>
      <c r="I1478" s="52">
        <v>26000000</v>
      </c>
      <c r="J1478" s="51" t="s">
        <v>24</v>
      </c>
      <c r="K1478" s="51" t="s">
        <v>110</v>
      </c>
      <c r="L1478" s="41">
        <f t="shared" si="115"/>
        <v>751000000</v>
      </c>
      <c r="M1478" s="41">
        <f t="shared" si="116"/>
        <v>455000000</v>
      </c>
      <c r="N1478" s="41">
        <f t="shared" si="117"/>
        <v>296000000</v>
      </c>
      <c r="O1478" s="41">
        <f t="shared" si="118"/>
        <v>0.40366972477064222</v>
      </c>
      <c r="P1478" s="41">
        <f t="shared" si="119"/>
        <v>0.38794233289646135</v>
      </c>
    </row>
    <row r="1479" spans="1:16" ht="19.95" customHeight="1">
      <c r="A1479" s="49">
        <v>1539</v>
      </c>
      <c r="B1479" s="50" t="s">
        <v>675</v>
      </c>
      <c r="C1479" s="51" t="s">
        <v>16</v>
      </c>
      <c r="D1479" s="51" t="s">
        <v>17</v>
      </c>
      <c r="E1479" s="52">
        <v>945000000</v>
      </c>
      <c r="F1479" s="52">
        <v>18000000</v>
      </c>
      <c r="G1479" s="52">
        <v>597000000</v>
      </c>
      <c r="H1479" s="52" t="s">
        <v>757</v>
      </c>
      <c r="I1479" s="52">
        <v>36000000</v>
      </c>
      <c r="J1479" s="51" t="s">
        <v>24</v>
      </c>
      <c r="K1479" s="51" t="s">
        <v>110</v>
      </c>
      <c r="L1479" s="41">
        <f t="shared" si="115"/>
        <v>927000000</v>
      </c>
      <c r="M1479" s="41">
        <f t="shared" si="116"/>
        <v>633000000</v>
      </c>
      <c r="N1479" s="41">
        <f t="shared" si="117"/>
        <v>294000000</v>
      </c>
      <c r="O1479" s="41">
        <f t="shared" si="118"/>
        <v>0.33015873015873021</v>
      </c>
      <c r="P1479" s="41">
        <f t="shared" si="119"/>
        <v>0.31111111111111112</v>
      </c>
    </row>
    <row r="1480" spans="1:16" ht="19.95" customHeight="1">
      <c r="A1480" s="49">
        <v>1540</v>
      </c>
      <c r="B1480" s="50" t="s">
        <v>675</v>
      </c>
      <c r="C1480" s="51" t="s">
        <v>18</v>
      </c>
      <c r="D1480" s="51" t="s">
        <v>19</v>
      </c>
      <c r="E1480" s="52">
        <v>1246000000</v>
      </c>
      <c r="F1480" s="52">
        <v>40000000</v>
      </c>
      <c r="G1480" s="52">
        <v>801000000</v>
      </c>
      <c r="H1480" s="52" t="s">
        <v>757</v>
      </c>
      <c r="I1480" s="52">
        <v>65000000</v>
      </c>
      <c r="J1480" s="51" t="s">
        <v>24</v>
      </c>
      <c r="K1480" s="51" t="s">
        <v>110</v>
      </c>
      <c r="L1480" s="41">
        <f t="shared" si="115"/>
        <v>1206000000</v>
      </c>
      <c r="M1480" s="41">
        <f t="shared" si="116"/>
        <v>866000000</v>
      </c>
      <c r="N1480" s="41">
        <f t="shared" si="117"/>
        <v>340000000</v>
      </c>
      <c r="O1480" s="41">
        <f t="shared" si="118"/>
        <v>0.304975922953451</v>
      </c>
      <c r="P1480" s="41">
        <f t="shared" si="119"/>
        <v>0.27287319422150885</v>
      </c>
    </row>
    <row r="1481" spans="1:16" ht="19.95" customHeight="1">
      <c r="A1481" s="49">
        <v>1541</v>
      </c>
      <c r="B1481" s="50" t="s">
        <v>675</v>
      </c>
      <c r="C1481" s="51" t="s">
        <v>20</v>
      </c>
      <c r="D1481" s="51" t="s">
        <v>21</v>
      </c>
      <c r="E1481" s="52">
        <v>1492000000</v>
      </c>
      <c r="F1481" s="52">
        <v>58000000</v>
      </c>
      <c r="G1481" s="52">
        <v>1109000000</v>
      </c>
      <c r="H1481" s="52" t="s">
        <v>757</v>
      </c>
      <c r="I1481" s="52">
        <v>93000000</v>
      </c>
      <c r="J1481" s="51" t="s">
        <v>24</v>
      </c>
      <c r="K1481" s="51" t="s">
        <v>110</v>
      </c>
      <c r="L1481" s="41">
        <f t="shared" si="115"/>
        <v>1434000000</v>
      </c>
      <c r="M1481" s="41">
        <f t="shared" si="116"/>
        <v>1202000000</v>
      </c>
      <c r="N1481" s="41">
        <f t="shared" si="117"/>
        <v>232000000</v>
      </c>
      <c r="O1481" s="41">
        <f t="shared" si="118"/>
        <v>0.19436997319034854</v>
      </c>
      <c r="P1481" s="41">
        <f t="shared" si="119"/>
        <v>0.15549597855227881</v>
      </c>
    </row>
    <row r="1482" spans="1:16" ht="19.95" customHeight="1">
      <c r="A1482" s="49">
        <v>1542</v>
      </c>
      <c r="B1482" s="50" t="s">
        <v>676</v>
      </c>
      <c r="C1482" s="51" t="s">
        <v>11</v>
      </c>
      <c r="D1482" s="51" t="s">
        <v>17</v>
      </c>
      <c r="E1482" s="52">
        <v>26191000000</v>
      </c>
      <c r="F1482" s="52">
        <v>13307000000</v>
      </c>
      <c r="G1482" s="52">
        <v>3757000000</v>
      </c>
      <c r="H1482" s="52" t="s">
        <v>757</v>
      </c>
      <c r="I1482" s="52">
        <v>3821000000</v>
      </c>
      <c r="J1482" s="51" t="s">
        <v>75</v>
      </c>
      <c r="K1482" s="51" t="s">
        <v>78</v>
      </c>
      <c r="L1482" s="41">
        <f t="shared" si="115"/>
        <v>12884000000</v>
      </c>
      <c r="M1482" s="41">
        <f t="shared" si="116"/>
        <v>7578000000</v>
      </c>
      <c r="N1482" s="41">
        <f t="shared" si="117"/>
        <v>5306000000</v>
      </c>
      <c r="O1482" s="41">
        <f t="shared" si="118"/>
        <v>0.71066396853881098</v>
      </c>
      <c r="P1482" s="41">
        <f t="shared" si="119"/>
        <v>0.2025886754992173</v>
      </c>
    </row>
    <row r="1483" spans="1:16" ht="19.95" customHeight="1">
      <c r="A1483" s="53">
        <v>1543</v>
      </c>
      <c r="B1483" s="54" t="s">
        <v>676</v>
      </c>
      <c r="C1483" s="55" t="s">
        <v>16</v>
      </c>
      <c r="D1483" s="55" t="s">
        <v>19</v>
      </c>
      <c r="E1483" s="56">
        <v>27174000000</v>
      </c>
      <c r="F1483" s="56">
        <v>13870000000</v>
      </c>
      <c r="G1483" s="56">
        <v>3964000000</v>
      </c>
      <c r="H1483" s="56" t="s">
        <v>757</v>
      </c>
      <c r="I1483" s="56">
        <v>3882000000</v>
      </c>
      <c r="J1483" s="55" t="s">
        <v>75</v>
      </c>
      <c r="K1483" s="55" t="s">
        <v>78</v>
      </c>
      <c r="L1483" s="57">
        <f t="shared" si="115"/>
        <v>13304000000</v>
      </c>
      <c r="M1483" s="57">
        <f t="shared" si="116"/>
        <v>7846000000</v>
      </c>
      <c r="N1483" s="57">
        <f t="shared" si="117"/>
        <v>5458000000</v>
      </c>
      <c r="O1483" s="57">
        <f t="shared" si="118"/>
        <v>0.71126812394200334</v>
      </c>
      <c r="P1483" s="57">
        <f t="shared" si="119"/>
        <v>0.20085375726797675</v>
      </c>
    </row>
    <row r="1484" spans="1:16" ht="19.95" customHeight="1">
      <c r="A1484" s="49">
        <v>1544</v>
      </c>
      <c r="B1484" s="50" t="s">
        <v>676</v>
      </c>
      <c r="C1484" s="51" t="s">
        <v>18</v>
      </c>
      <c r="D1484" s="51" t="s">
        <v>21</v>
      </c>
      <c r="E1484" s="52">
        <v>26815000000</v>
      </c>
      <c r="F1484" s="52">
        <v>13723000000</v>
      </c>
      <c r="G1484" s="52">
        <v>4094000000</v>
      </c>
      <c r="H1484" s="52" t="s">
        <v>757</v>
      </c>
      <c r="I1484" s="52">
        <v>3885000000</v>
      </c>
      <c r="J1484" s="51" t="s">
        <v>75</v>
      </c>
      <c r="K1484" s="51" t="s">
        <v>78</v>
      </c>
      <c r="L1484" s="41">
        <f t="shared" si="115"/>
        <v>13092000000</v>
      </c>
      <c r="M1484" s="41">
        <f t="shared" si="116"/>
        <v>7979000000</v>
      </c>
      <c r="N1484" s="41">
        <f t="shared" si="117"/>
        <v>5113000000</v>
      </c>
      <c r="O1484" s="41">
        <f t="shared" si="118"/>
        <v>0.70244266268879363</v>
      </c>
      <c r="P1484" s="41">
        <f t="shared" si="119"/>
        <v>0.19067685996643668</v>
      </c>
    </row>
    <row r="1485" spans="1:16" ht="19.95" customHeight="1">
      <c r="A1485" s="49">
        <v>1545</v>
      </c>
      <c r="B1485" s="50" t="s">
        <v>676</v>
      </c>
      <c r="C1485" s="51" t="s">
        <v>20</v>
      </c>
      <c r="D1485" s="51" t="s">
        <v>84</v>
      </c>
      <c r="E1485" s="52">
        <v>27625000000</v>
      </c>
      <c r="F1485" s="52">
        <v>15070000000</v>
      </c>
      <c r="G1485" s="52">
        <v>4154000000</v>
      </c>
      <c r="H1485" s="52" t="s">
        <v>757</v>
      </c>
      <c r="I1485" s="52">
        <v>3985000000</v>
      </c>
      <c r="J1485" s="51" t="s">
        <v>75</v>
      </c>
      <c r="K1485" s="51" t="s">
        <v>78</v>
      </c>
      <c r="L1485" s="41">
        <f t="shared" si="115"/>
        <v>12555000000</v>
      </c>
      <c r="M1485" s="41">
        <f t="shared" si="116"/>
        <v>8139000000</v>
      </c>
      <c r="N1485" s="41">
        <f t="shared" si="117"/>
        <v>4416000000</v>
      </c>
      <c r="O1485" s="41">
        <f t="shared" si="118"/>
        <v>0.70537556561085979</v>
      </c>
      <c r="P1485" s="41">
        <f t="shared" si="119"/>
        <v>0.15985520361990951</v>
      </c>
    </row>
    <row r="1486" spans="1:16" ht="19.95" customHeight="1">
      <c r="A1486" s="49">
        <v>1546</v>
      </c>
      <c r="B1486" s="50" t="s">
        <v>677</v>
      </c>
      <c r="C1486" s="51" t="s">
        <v>11</v>
      </c>
      <c r="D1486" s="51" t="s">
        <v>23</v>
      </c>
      <c r="E1486" s="52">
        <v>4664120000</v>
      </c>
      <c r="F1486" s="52">
        <v>3098066000</v>
      </c>
      <c r="G1486" s="52">
        <v>1040287000</v>
      </c>
      <c r="H1486" s="52" t="s">
        <v>757</v>
      </c>
      <c r="I1486" s="52">
        <v>88975000</v>
      </c>
      <c r="J1486" s="51" t="s">
        <v>24</v>
      </c>
      <c r="K1486" s="51" t="s">
        <v>678</v>
      </c>
      <c r="L1486" s="41">
        <f t="shared" si="115"/>
        <v>1566054000</v>
      </c>
      <c r="M1486" s="41">
        <f t="shared" si="116"/>
        <v>1129262000</v>
      </c>
      <c r="N1486" s="41">
        <f t="shared" si="117"/>
        <v>436792000</v>
      </c>
      <c r="O1486" s="41">
        <f t="shared" si="118"/>
        <v>0.75788315909539206</v>
      </c>
      <c r="P1486" s="41">
        <f t="shared" si="119"/>
        <v>9.3649391525089401E-2</v>
      </c>
    </row>
    <row r="1487" spans="1:16" ht="19.95" customHeight="1">
      <c r="A1487" s="49">
        <v>1547</v>
      </c>
      <c r="B1487" s="50" t="s">
        <v>677</v>
      </c>
      <c r="C1487" s="51" t="s">
        <v>16</v>
      </c>
      <c r="D1487" s="51" t="s">
        <v>26</v>
      </c>
      <c r="E1487" s="52">
        <v>5164784000</v>
      </c>
      <c r="F1487" s="52">
        <v>3411175000</v>
      </c>
      <c r="G1487" s="52">
        <v>1138934000</v>
      </c>
      <c r="H1487" s="52" t="s">
        <v>757</v>
      </c>
      <c r="I1487" s="52">
        <v>100025000</v>
      </c>
      <c r="J1487" s="51" t="s">
        <v>24</v>
      </c>
      <c r="K1487" s="51" t="s">
        <v>678</v>
      </c>
      <c r="L1487" s="41">
        <f t="shared" si="115"/>
        <v>1753609000</v>
      </c>
      <c r="M1487" s="41">
        <f t="shared" si="116"/>
        <v>1238959000</v>
      </c>
      <c r="N1487" s="41">
        <f t="shared" si="117"/>
        <v>514650000</v>
      </c>
      <c r="O1487" s="41">
        <f t="shared" si="118"/>
        <v>0.76011407253430152</v>
      </c>
      <c r="P1487" s="41">
        <f t="shared" si="119"/>
        <v>9.9645987131310815E-2</v>
      </c>
    </row>
    <row r="1488" spans="1:16" ht="19.95" customHeight="1">
      <c r="A1488" s="49">
        <v>1548</v>
      </c>
      <c r="B1488" s="50" t="s">
        <v>677</v>
      </c>
      <c r="C1488" s="51" t="s">
        <v>18</v>
      </c>
      <c r="D1488" s="51" t="s">
        <v>376</v>
      </c>
      <c r="E1488" s="52">
        <v>5711715000</v>
      </c>
      <c r="F1488" s="52">
        <v>3761300000</v>
      </c>
      <c r="G1488" s="52">
        <v>1246308000</v>
      </c>
      <c r="H1488" s="52" t="s">
        <v>757</v>
      </c>
      <c r="I1488" s="52">
        <v>114635000</v>
      </c>
      <c r="J1488" s="51" t="s">
        <v>24</v>
      </c>
      <c r="K1488" s="51" t="s">
        <v>678</v>
      </c>
      <c r="L1488" s="41">
        <f t="shared" si="115"/>
        <v>1950415000</v>
      </c>
      <c r="M1488" s="41">
        <f t="shared" si="116"/>
        <v>1360943000</v>
      </c>
      <c r="N1488" s="41">
        <f t="shared" si="117"/>
        <v>589472000</v>
      </c>
      <c r="O1488" s="41">
        <f t="shared" si="118"/>
        <v>0.76172778228605598</v>
      </c>
      <c r="P1488" s="41">
        <f t="shared" si="119"/>
        <v>0.10320402891250702</v>
      </c>
    </row>
    <row r="1489" spans="1:16" ht="19.95" customHeight="1">
      <c r="A1489" s="49">
        <v>1549</v>
      </c>
      <c r="B1489" s="50" t="s">
        <v>677</v>
      </c>
      <c r="C1489" s="51" t="s">
        <v>20</v>
      </c>
      <c r="D1489" s="51" t="s">
        <v>377</v>
      </c>
      <c r="E1489" s="52">
        <v>6226507000</v>
      </c>
      <c r="F1489" s="52">
        <v>4083333000</v>
      </c>
      <c r="G1489" s="52">
        <v>1369097000</v>
      </c>
      <c r="H1489" s="52" t="s">
        <v>757</v>
      </c>
      <c r="I1489" s="52">
        <v>123569000</v>
      </c>
      <c r="J1489" s="51" t="s">
        <v>24</v>
      </c>
      <c r="K1489" s="51" t="s">
        <v>678</v>
      </c>
      <c r="L1489" s="41">
        <f t="shared" si="115"/>
        <v>2143174000</v>
      </c>
      <c r="M1489" s="41">
        <f t="shared" si="116"/>
        <v>1492666000</v>
      </c>
      <c r="N1489" s="41">
        <f t="shared" si="117"/>
        <v>650508000</v>
      </c>
      <c r="O1489" s="41">
        <f t="shared" si="118"/>
        <v>0.76027233246505621</v>
      </c>
      <c r="P1489" s="41">
        <f t="shared" si="119"/>
        <v>0.10447398517338854</v>
      </c>
    </row>
    <row r="1490" spans="1:16" ht="19.95" customHeight="1">
      <c r="A1490" s="49">
        <v>1550</v>
      </c>
      <c r="B1490" s="50" t="s">
        <v>679</v>
      </c>
      <c r="C1490" s="51" t="s">
        <v>11</v>
      </c>
      <c r="D1490" s="51" t="s">
        <v>680</v>
      </c>
      <c r="E1490" s="52">
        <v>34374000000</v>
      </c>
      <c r="F1490" s="52">
        <v>32016000000</v>
      </c>
      <c r="G1490" s="52">
        <v>983000000</v>
      </c>
      <c r="H1490" s="52" t="s">
        <v>757</v>
      </c>
      <c r="I1490" s="52" t="s">
        <v>757</v>
      </c>
      <c r="J1490" s="51" t="s">
        <v>60</v>
      </c>
      <c r="K1490" s="51" t="s">
        <v>173</v>
      </c>
      <c r="L1490" s="41">
        <f t="shared" si="115"/>
        <v>2358000000</v>
      </c>
      <c r="M1490" s="41">
        <f t="shared" si="116"/>
        <v>983000000</v>
      </c>
      <c r="N1490" s="41">
        <f t="shared" si="117"/>
        <v>1375000000</v>
      </c>
      <c r="O1490" s="41">
        <f t="shared" si="118"/>
        <v>0.9714028044452202</v>
      </c>
      <c r="P1490" s="41">
        <f t="shared" si="119"/>
        <v>4.0001163670215861E-2</v>
      </c>
    </row>
    <row r="1491" spans="1:16" ht="19.95" customHeight="1">
      <c r="A1491" s="49">
        <v>1551</v>
      </c>
      <c r="B1491" s="50" t="s">
        <v>679</v>
      </c>
      <c r="C1491" s="51" t="s">
        <v>16</v>
      </c>
      <c r="D1491" s="51" t="s">
        <v>647</v>
      </c>
      <c r="E1491" s="52">
        <v>37580000000</v>
      </c>
      <c r="F1491" s="52">
        <v>34895000000</v>
      </c>
      <c r="G1491" s="52">
        <v>1255000000</v>
      </c>
      <c r="H1491" s="52" t="s">
        <v>757</v>
      </c>
      <c r="I1491" s="52" t="s">
        <v>757</v>
      </c>
      <c r="J1491" s="51" t="s">
        <v>60</v>
      </c>
      <c r="K1491" s="51" t="s">
        <v>173</v>
      </c>
      <c r="L1491" s="41">
        <f t="shared" si="115"/>
        <v>2685000000</v>
      </c>
      <c r="M1491" s="41">
        <f t="shared" si="116"/>
        <v>1255000000</v>
      </c>
      <c r="N1491" s="41">
        <f t="shared" si="117"/>
        <v>1430000000</v>
      </c>
      <c r="O1491" s="41">
        <f t="shared" si="118"/>
        <v>0.96660457690260781</v>
      </c>
      <c r="P1491" s="41">
        <f t="shared" si="119"/>
        <v>3.8052155401809472E-2</v>
      </c>
    </row>
    <row r="1492" spans="1:16" ht="19.95" customHeight="1">
      <c r="A1492" s="49">
        <v>1552</v>
      </c>
      <c r="B1492" s="50" t="s">
        <v>679</v>
      </c>
      <c r="C1492" s="51" t="s">
        <v>18</v>
      </c>
      <c r="D1492" s="51" t="s">
        <v>295</v>
      </c>
      <c r="E1492" s="52">
        <v>41373000000</v>
      </c>
      <c r="F1492" s="52">
        <v>37456000000</v>
      </c>
      <c r="G1492" s="52">
        <v>1748000000</v>
      </c>
      <c r="H1492" s="52" t="s">
        <v>757</v>
      </c>
      <c r="I1492" s="52" t="s">
        <v>757</v>
      </c>
      <c r="J1492" s="51" t="s">
        <v>60</v>
      </c>
      <c r="K1492" s="51" t="s">
        <v>173</v>
      </c>
      <c r="L1492" s="41">
        <f t="shared" si="115"/>
        <v>3917000000</v>
      </c>
      <c r="M1492" s="41">
        <f t="shared" si="116"/>
        <v>1748000000</v>
      </c>
      <c r="N1492" s="41">
        <f t="shared" si="117"/>
        <v>2169000000</v>
      </c>
      <c r="O1492" s="41">
        <f t="shared" si="118"/>
        <v>0.95775022357576201</v>
      </c>
      <c r="P1492" s="41">
        <f t="shared" si="119"/>
        <v>5.2425494887970416E-2</v>
      </c>
    </row>
    <row r="1493" spans="1:16" ht="19.95" customHeight="1">
      <c r="A1493" s="49">
        <v>1553</v>
      </c>
      <c r="B1493" s="50" t="s">
        <v>679</v>
      </c>
      <c r="C1493" s="51" t="s">
        <v>20</v>
      </c>
      <c r="D1493" s="51" t="s">
        <v>296</v>
      </c>
      <c r="E1493" s="52">
        <v>36881000000</v>
      </c>
      <c r="F1493" s="52">
        <v>32184000000</v>
      </c>
      <c r="G1493" s="52">
        <v>1864000000</v>
      </c>
      <c r="H1493" s="52" t="s">
        <v>757</v>
      </c>
      <c r="I1493" s="52" t="s">
        <v>757</v>
      </c>
      <c r="J1493" s="51" t="s">
        <v>60</v>
      </c>
      <c r="K1493" s="51" t="s">
        <v>173</v>
      </c>
      <c r="L1493" s="41">
        <f t="shared" si="115"/>
        <v>4697000000</v>
      </c>
      <c r="M1493" s="41">
        <f t="shared" si="116"/>
        <v>1864000000</v>
      </c>
      <c r="N1493" s="41">
        <f t="shared" si="117"/>
        <v>2833000000</v>
      </c>
      <c r="O1493" s="41">
        <f t="shared" si="118"/>
        <v>0.9494590710664027</v>
      </c>
      <c r="P1493" s="41">
        <f t="shared" si="119"/>
        <v>7.6814619994034869E-2</v>
      </c>
    </row>
    <row r="1494" spans="1:16" ht="19.95" customHeight="1">
      <c r="A1494" s="49">
        <v>1554</v>
      </c>
      <c r="B1494" s="50" t="s">
        <v>681</v>
      </c>
      <c r="C1494" s="51" t="s">
        <v>11</v>
      </c>
      <c r="D1494" s="51" t="s">
        <v>12</v>
      </c>
      <c r="E1494" s="52">
        <v>29809000000</v>
      </c>
      <c r="F1494" s="52">
        <v>26045000000</v>
      </c>
      <c r="G1494" s="52">
        <v>1702000000</v>
      </c>
      <c r="H1494" s="52" t="s">
        <v>757</v>
      </c>
      <c r="I1494" s="52">
        <v>418000000</v>
      </c>
      <c r="J1494" s="51" t="s">
        <v>116</v>
      </c>
      <c r="K1494" s="51" t="s">
        <v>462</v>
      </c>
      <c r="L1494" s="41">
        <f t="shared" si="115"/>
        <v>3764000000</v>
      </c>
      <c r="M1494" s="41">
        <f t="shared" si="116"/>
        <v>2120000000</v>
      </c>
      <c r="N1494" s="41">
        <f t="shared" si="117"/>
        <v>1644000000</v>
      </c>
      <c r="O1494" s="41">
        <f t="shared" si="118"/>
        <v>0.92888053943439897</v>
      </c>
      <c r="P1494" s="41">
        <f t="shared" si="119"/>
        <v>5.5151128853701901E-2</v>
      </c>
    </row>
    <row r="1495" spans="1:16" ht="19.95" customHeight="1">
      <c r="A1495" s="53">
        <v>1555</v>
      </c>
      <c r="B1495" s="54" t="s">
        <v>681</v>
      </c>
      <c r="C1495" s="55" t="s">
        <v>16</v>
      </c>
      <c r="D1495" s="55" t="s">
        <v>17</v>
      </c>
      <c r="E1495" s="56">
        <v>37601000000</v>
      </c>
      <c r="F1495" s="56">
        <v>34085000000</v>
      </c>
      <c r="G1495" s="56">
        <v>2248000000</v>
      </c>
      <c r="H1495" s="56" t="s">
        <v>757</v>
      </c>
      <c r="I1495" s="56">
        <v>489000000</v>
      </c>
      <c r="J1495" s="55" t="s">
        <v>116</v>
      </c>
      <c r="K1495" s="55" t="s">
        <v>462</v>
      </c>
      <c r="L1495" s="57">
        <f t="shared" si="115"/>
        <v>3516000000</v>
      </c>
      <c r="M1495" s="57">
        <f t="shared" si="116"/>
        <v>2737000000</v>
      </c>
      <c r="N1495" s="57">
        <f t="shared" si="117"/>
        <v>779000000</v>
      </c>
      <c r="O1495" s="57">
        <f t="shared" si="118"/>
        <v>0.92720938272918274</v>
      </c>
      <c r="P1495" s="57">
        <f t="shared" si="119"/>
        <v>2.0717534108135423E-2</v>
      </c>
    </row>
    <row r="1496" spans="1:16" ht="19.95" customHeight="1">
      <c r="A1496" s="49">
        <v>1556</v>
      </c>
      <c r="B1496" s="50" t="s">
        <v>681</v>
      </c>
      <c r="C1496" s="51" t="s">
        <v>18</v>
      </c>
      <c r="D1496" s="51" t="s">
        <v>19</v>
      </c>
      <c r="E1496" s="52">
        <v>40633000000</v>
      </c>
      <c r="F1496" s="52">
        <v>35673000000</v>
      </c>
      <c r="G1496" s="52">
        <v>2762000000</v>
      </c>
      <c r="H1496" s="52" t="s">
        <v>757</v>
      </c>
      <c r="I1496" s="52">
        <v>562000000</v>
      </c>
      <c r="J1496" s="51" t="s">
        <v>116</v>
      </c>
      <c r="K1496" s="51" t="s">
        <v>462</v>
      </c>
      <c r="L1496" s="41">
        <f t="shared" si="115"/>
        <v>4960000000</v>
      </c>
      <c r="M1496" s="41">
        <f t="shared" si="116"/>
        <v>3324000000</v>
      </c>
      <c r="N1496" s="41">
        <f t="shared" si="117"/>
        <v>1636000000</v>
      </c>
      <c r="O1496" s="41">
        <f t="shared" si="118"/>
        <v>0.91819457091526591</v>
      </c>
      <c r="P1496" s="41">
        <f t="shared" si="119"/>
        <v>4.0262840548322791E-2</v>
      </c>
    </row>
    <row r="1497" spans="1:16" ht="19.95" customHeight="1">
      <c r="A1497" s="49">
        <v>1557</v>
      </c>
      <c r="B1497" s="50" t="s">
        <v>681</v>
      </c>
      <c r="C1497" s="51" t="s">
        <v>20</v>
      </c>
      <c r="D1497" s="51" t="s">
        <v>21</v>
      </c>
      <c r="E1497" s="52">
        <v>28711000000</v>
      </c>
      <c r="F1497" s="52">
        <v>22466000000</v>
      </c>
      <c r="G1497" s="52">
        <v>2620000000</v>
      </c>
      <c r="H1497" s="52" t="s">
        <v>757</v>
      </c>
      <c r="I1497" s="52">
        <v>756000000</v>
      </c>
      <c r="J1497" s="51" t="s">
        <v>116</v>
      </c>
      <c r="K1497" s="51" t="s">
        <v>462</v>
      </c>
      <c r="L1497" s="41">
        <f t="shared" si="115"/>
        <v>6245000000</v>
      </c>
      <c r="M1497" s="41">
        <f t="shared" si="116"/>
        <v>3376000000</v>
      </c>
      <c r="N1497" s="41">
        <f t="shared" si="117"/>
        <v>2869000000</v>
      </c>
      <c r="O1497" s="41">
        <f t="shared" si="118"/>
        <v>0.88241440562850482</v>
      </c>
      <c r="P1497" s="41">
        <f t="shared" si="119"/>
        <v>9.9926857302079342E-2</v>
      </c>
    </row>
    <row r="1498" spans="1:16" ht="19.95" customHeight="1">
      <c r="A1498" s="49">
        <v>1558</v>
      </c>
      <c r="B1498" s="50" t="s">
        <v>682</v>
      </c>
      <c r="C1498" s="51" t="s">
        <v>11</v>
      </c>
      <c r="D1498" s="51" t="s">
        <v>12</v>
      </c>
      <c r="E1498" s="52">
        <v>1793557000</v>
      </c>
      <c r="F1498" s="52">
        <v>1189341000</v>
      </c>
      <c r="G1498" s="52">
        <v>247597000</v>
      </c>
      <c r="H1498" s="52" t="s">
        <v>757</v>
      </c>
      <c r="I1498" s="52" t="s">
        <v>757</v>
      </c>
      <c r="J1498" s="51" t="s">
        <v>31</v>
      </c>
      <c r="K1498" s="51" t="s">
        <v>86</v>
      </c>
      <c r="L1498" s="41">
        <f t="shared" si="115"/>
        <v>604216000</v>
      </c>
      <c r="M1498" s="41">
        <f t="shared" si="116"/>
        <v>247597000</v>
      </c>
      <c r="N1498" s="41">
        <f t="shared" si="117"/>
        <v>356619000</v>
      </c>
      <c r="O1498" s="41">
        <f t="shared" si="118"/>
        <v>0.86195197587810146</v>
      </c>
      <c r="P1498" s="41">
        <f t="shared" si="119"/>
        <v>0.19883337970301473</v>
      </c>
    </row>
    <row r="1499" spans="1:16" ht="19.95" customHeight="1">
      <c r="A1499" s="49">
        <v>1559</v>
      </c>
      <c r="B1499" s="50" t="s">
        <v>682</v>
      </c>
      <c r="C1499" s="51" t="s">
        <v>16</v>
      </c>
      <c r="D1499" s="51" t="s">
        <v>17</v>
      </c>
      <c r="E1499" s="52">
        <v>2064305000</v>
      </c>
      <c r="F1499" s="52">
        <v>1369438000</v>
      </c>
      <c r="G1499" s="52">
        <v>312367000</v>
      </c>
      <c r="H1499" s="52" t="s">
        <v>757</v>
      </c>
      <c r="I1499" s="52" t="s">
        <v>757</v>
      </c>
      <c r="J1499" s="51" t="s">
        <v>31</v>
      </c>
      <c r="K1499" s="51" t="s">
        <v>86</v>
      </c>
      <c r="L1499" s="41">
        <f t="shared" si="115"/>
        <v>694867000</v>
      </c>
      <c r="M1499" s="41">
        <f t="shared" si="116"/>
        <v>312367000</v>
      </c>
      <c r="N1499" s="41">
        <f t="shared" si="117"/>
        <v>382500000</v>
      </c>
      <c r="O1499" s="41">
        <f t="shared" si="118"/>
        <v>0.84868175972058391</v>
      </c>
      <c r="P1499" s="41">
        <f t="shared" si="119"/>
        <v>0.18529238654171742</v>
      </c>
    </row>
    <row r="1500" spans="1:16" ht="19.95" customHeight="1">
      <c r="A1500" s="49">
        <v>1560</v>
      </c>
      <c r="B1500" s="50" t="s">
        <v>682</v>
      </c>
      <c r="C1500" s="51" t="s">
        <v>18</v>
      </c>
      <c r="D1500" s="51" t="s">
        <v>19</v>
      </c>
      <c r="E1500" s="52">
        <v>2446877000</v>
      </c>
      <c r="F1500" s="52">
        <v>1668892000</v>
      </c>
      <c r="G1500" s="52">
        <v>346345000</v>
      </c>
      <c r="H1500" s="52" t="s">
        <v>757</v>
      </c>
      <c r="I1500" s="52" t="s">
        <v>757</v>
      </c>
      <c r="J1500" s="51" t="s">
        <v>31</v>
      </c>
      <c r="K1500" s="51" t="s">
        <v>86</v>
      </c>
      <c r="L1500" s="41">
        <f t="shared" si="115"/>
        <v>777985000</v>
      </c>
      <c r="M1500" s="41">
        <f t="shared" si="116"/>
        <v>346345000</v>
      </c>
      <c r="N1500" s="41">
        <f t="shared" si="117"/>
        <v>431640000</v>
      </c>
      <c r="O1500" s="41">
        <f t="shared" si="118"/>
        <v>0.85845426639753453</v>
      </c>
      <c r="P1500" s="41">
        <f t="shared" si="119"/>
        <v>0.17640445351360121</v>
      </c>
    </row>
    <row r="1501" spans="1:16" ht="19.95" customHeight="1">
      <c r="A1501" s="49">
        <v>1561</v>
      </c>
      <c r="B1501" s="50" t="s">
        <v>682</v>
      </c>
      <c r="C1501" s="51" t="s">
        <v>20</v>
      </c>
      <c r="D1501" s="51" t="s">
        <v>21</v>
      </c>
      <c r="E1501" s="52">
        <v>2779541000</v>
      </c>
      <c r="F1501" s="52">
        <v>1855181000</v>
      </c>
      <c r="G1501" s="52">
        <v>390253000</v>
      </c>
      <c r="H1501" s="52" t="s">
        <v>757</v>
      </c>
      <c r="I1501" s="52" t="s">
        <v>757</v>
      </c>
      <c r="J1501" s="51" t="s">
        <v>31</v>
      </c>
      <c r="K1501" s="51" t="s">
        <v>86</v>
      </c>
      <c r="L1501" s="41">
        <f t="shared" si="115"/>
        <v>924360000</v>
      </c>
      <c r="M1501" s="41">
        <f t="shared" si="116"/>
        <v>390253000</v>
      </c>
      <c r="N1501" s="41">
        <f t="shared" si="117"/>
        <v>534107000</v>
      </c>
      <c r="O1501" s="41">
        <f t="shared" si="118"/>
        <v>0.85959804154714758</v>
      </c>
      <c r="P1501" s="41">
        <f t="shared" si="119"/>
        <v>0.1921565467104101</v>
      </c>
    </row>
    <row r="1502" spans="1:16" ht="19.95" customHeight="1">
      <c r="A1502" s="49">
        <v>1562</v>
      </c>
      <c r="B1502" s="50" t="s">
        <v>683</v>
      </c>
      <c r="C1502" s="51" t="s">
        <v>11</v>
      </c>
      <c r="D1502" s="51" t="s">
        <v>12</v>
      </c>
      <c r="E1502" s="52">
        <v>12825000000</v>
      </c>
      <c r="F1502" s="52">
        <v>6457000000</v>
      </c>
      <c r="G1502" s="52">
        <v>1804000000</v>
      </c>
      <c r="H1502" s="52">
        <v>1877000000</v>
      </c>
      <c r="I1502" s="52" t="s">
        <v>757</v>
      </c>
      <c r="J1502" s="51" t="s">
        <v>31</v>
      </c>
      <c r="K1502" s="51" t="s">
        <v>55</v>
      </c>
      <c r="L1502" s="41">
        <f t="shared" si="115"/>
        <v>6368000000</v>
      </c>
      <c r="M1502" s="41">
        <f t="shared" si="116"/>
        <v>3681000000</v>
      </c>
      <c r="N1502" s="41">
        <f t="shared" si="117"/>
        <v>2687000000</v>
      </c>
      <c r="O1502" s="41">
        <f t="shared" si="118"/>
        <v>0.71298245614035083</v>
      </c>
      <c r="P1502" s="41">
        <f t="shared" si="119"/>
        <v>0.20951267056530215</v>
      </c>
    </row>
    <row r="1503" spans="1:16" ht="19.95" customHeight="1">
      <c r="A1503" s="49">
        <v>1563</v>
      </c>
      <c r="B1503" s="50" t="s">
        <v>683</v>
      </c>
      <c r="C1503" s="51" t="s">
        <v>16</v>
      </c>
      <c r="D1503" s="51" t="s">
        <v>17</v>
      </c>
      <c r="E1503" s="52">
        <v>12205000000</v>
      </c>
      <c r="F1503" s="52">
        <v>5841000000</v>
      </c>
      <c r="G1503" s="52">
        <v>1858000000</v>
      </c>
      <c r="H1503" s="52">
        <v>1522000000</v>
      </c>
      <c r="I1503" s="52" t="s">
        <v>757</v>
      </c>
      <c r="J1503" s="51" t="s">
        <v>31</v>
      </c>
      <c r="K1503" s="51" t="s">
        <v>55</v>
      </c>
      <c r="L1503" s="41">
        <f t="shared" si="115"/>
        <v>6364000000</v>
      </c>
      <c r="M1503" s="41">
        <f t="shared" si="116"/>
        <v>3380000000</v>
      </c>
      <c r="N1503" s="41">
        <f t="shared" si="117"/>
        <v>2984000000</v>
      </c>
      <c r="O1503" s="41">
        <f t="shared" si="118"/>
        <v>0.72306431790249892</v>
      </c>
      <c r="P1503" s="41">
        <f t="shared" si="119"/>
        <v>0.24448996312986482</v>
      </c>
    </row>
    <row r="1504" spans="1:16" ht="19.95" customHeight="1">
      <c r="A1504" s="49">
        <v>1564</v>
      </c>
      <c r="B1504" s="50" t="s">
        <v>683</v>
      </c>
      <c r="C1504" s="51" t="s">
        <v>18</v>
      </c>
      <c r="D1504" s="51" t="s">
        <v>19</v>
      </c>
      <c r="E1504" s="52">
        <v>13045000000</v>
      </c>
      <c r="F1504" s="52">
        <v>5618000000</v>
      </c>
      <c r="G1504" s="52">
        <v>1843000000</v>
      </c>
      <c r="H1504" s="52">
        <v>1358000000</v>
      </c>
      <c r="I1504" s="52" t="s">
        <v>757</v>
      </c>
      <c r="J1504" s="51" t="s">
        <v>31</v>
      </c>
      <c r="K1504" s="51" t="s">
        <v>55</v>
      </c>
      <c r="L1504" s="41">
        <f t="shared" si="115"/>
        <v>7427000000</v>
      </c>
      <c r="M1504" s="41">
        <f t="shared" si="116"/>
        <v>3201000000</v>
      </c>
      <c r="N1504" s="41">
        <f t="shared" si="117"/>
        <v>4226000000</v>
      </c>
      <c r="O1504" s="41">
        <f t="shared" si="118"/>
        <v>0.75461862782675349</v>
      </c>
      <c r="P1504" s="41">
        <f t="shared" si="119"/>
        <v>0.32395553852050596</v>
      </c>
    </row>
    <row r="1505" spans="1:16" ht="19.95" customHeight="1">
      <c r="A1505" s="49">
        <v>1565</v>
      </c>
      <c r="B1505" s="50" t="s">
        <v>683</v>
      </c>
      <c r="C1505" s="51" t="s">
        <v>20</v>
      </c>
      <c r="D1505" s="51" t="s">
        <v>21</v>
      </c>
      <c r="E1505" s="52">
        <v>13000000000</v>
      </c>
      <c r="F1505" s="52">
        <v>5440000000</v>
      </c>
      <c r="G1505" s="52">
        <v>1748000000</v>
      </c>
      <c r="H1505" s="52">
        <v>1280000000</v>
      </c>
      <c r="I1505" s="52" t="s">
        <v>757</v>
      </c>
      <c r="J1505" s="51" t="s">
        <v>31</v>
      </c>
      <c r="K1505" s="51" t="s">
        <v>55</v>
      </c>
      <c r="L1505" s="41">
        <f t="shared" si="115"/>
        <v>7560000000</v>
      </c>
      <c r="M1505" s="41">
        <f t="shared" si="116"/>
        <v>3028000000</v>
      </c>
      <c r="N1505" s="41">
        <f t="shared" si="117"/>
        <v>4532000000</v>
      </c>
      <c r="O1505" s="41">
        <f t="shared" si="118"/>
        <v>0.7670769230769231</v>
      </c>
      <c r="P1505" s="41">
        <f t="shared" si="119"/>
        <v>0.3486153846153846</v>
      </c>
    </row>
    <row r="1506" spans="1:16" ht="19.95" customHeight="1">
      <c r="A1506" s="49">
        <v>1566</v>
      </c>
      <c r="B1506" s="50" t="s">
        <v>684</v>
      </c>
      <c r="C1506" s="51" t="s">
        <v>11</v>
      </c>
      <c r="D1506" s="51" t="s">
        <v>23</v>
      </c>
      <c r="E1506" s="52">
        <v>12237000000</v>
      </c>
      <c r="F1506" s="52">
        <v>10019000000</v>
      </c>
      <c r="G1506" s="52">
        <v>1165000000</v>
      </c>
      <c r="H1506" s="52" t="s">
        <v>757</v>
      </c>
      <c r="I1506" s="52" t="s">
        <v>757</v>
      </c>
      <c r="J1506" s="51" t="s">
        <v>14</v>
      </c>
      <c r="K1506" s="51" t="s">
        <v>224</v>
      </c>
      <c r="L1506" s="41">
        <f t="shared" si="115"/>
        <v>2218000000</v>
      </c>
      <c r="M1506" s="41">
        <f t="shared" si="116"/>
        <v>1165000000</v>
      </c>
      <c r="N1506" s="41">
        <f t="shared" si="117"/>
        <v>1053000000</v>
      </c>
      <c r="O1506" s="41">
        <f t="shared" si="118"/>
        <v>0.90479692735147499</v>
      </c>
      <c r="P1506" s="41">
        <f t="shared" si="119"/>
        <v>8.6050502574160331E-2</v>
      </c>
    </row>
    <row r="1507" spans="1:16" ht="19.95" customHeight="1">
      <c r="A1507" s="49">
        <v>1567</v>
      </c>
      <c r="B1507" s="50" t="s">
        <v>684</v>
      </c>
      <c r="C1507" s="51" t="s">
        <v>16</v>
      </c>
      <c r="D1507" s="51" t="s">
        <v>26</v>
      </c>
      <c r="E1507" s="52">
        <v>12104000000</v>
      </c>
      <c r="F1507" s="52">
        <v>10131000000</v>
      </c>
      <c r="G1507" s="52">
        <v>1126000000</v>
      </c>
      <c r="H1507" s="52" t="s">
        <v>757</v>
      </c>
      <c r="I1507" s="52" t="s">
        <v>757</v>
      </c>
      <c r="J1507" s="51" t="s">
        <v>14</v>
      </c>
      <c r="K1507" s="51" t="s">
        <v>224</v>
      </c>
      <c r="L1507" s="41">
        <f t="shared" si="115"/>
        <v>1973000000</v>
      </c>
      <c r="M1507" s="41">
        <f t="shared" si="116"/>
        <v>1126000000</v>
      </c>
      <c r="N1507" s="41">
        <f t="shared" si="117"/>
        <v>847000000</v>
      </c>
      <c r="O1507" s="41">
        <f t="shared" si="118"/>
        <v>0.90697290152015864</v>
      </c>
      <c r="P1507" s="41">
        <f t="shared" si="119"/>
        <v>6.9976867151354927E-2</v>
      </c>
    </row>
    <row r="1508" spans="1:16" ht="19.95" customHeight="1">
      <c r="A1508" s="49">
        <v>1568</v>
      </c>
      <c r="B1508" s="50" t="s">
        <v>684</v>
      </c>
      <c r="C1508" s="51" t="s">
        <v>18</v>
      </c>
      <c r="D1508" s="51" t="s">
        <v>27</v>
      </c>
      <c r="E1508" s="52">
        <v>13878000000</v>
      </c>
      <c r="F1508" s="52">
        <v>11421000000</v>
      </c>
      <c r="G1508" s="52">
        <v>1361000000</v>
      </c>
      <c r="H1508" s="52" t="s">
        <v>757</v>
      </c>
      <c r="I1508" s="52" t="s">
        <v>757</v>
      </c>
      <c r="J1508" s="51" t="s">
        <v>14</v>
      </c>
      <c r="K1508" s="51" t="s">
        <v>224</v>
      </c>
      <c r="L1508" s="41">
        <f t="shared" si="115"/>
        <v>2457000000</v>
      </c>
      <c r="M1508" s="41">
        <f t="shared" si="116"/>
        <v>1361000000</v>
      </c>
      <c r="N1508" s="41">
        <f t="shared" si="117"/>
        <v>1096000000</v>
      </c>
      <c r="O1508" s="41">
        <f t="shared" si="118"/>
        <v>0.90193111399337078</v>
      </c>
      <c r="P1508" s="41">
        <f t="shared" si="119"/>
        <v>7.8973915549791038E-2</v>
      </c>
    </row>
    <row r="1509" spans="1:16" ht="19.95" customHeight="1">
      <c r="A1509" s="49">
        <v>1569</v>
      </c>
      <c r="B1509" s="50" t="s">
        <v>684</v>
      </c>
      <c r="C1509" s="51" t="s">
        <v>20</v>
      </c>
      <c r="D1509" s="51" t="s">
        <v>28</v>
      </c>
      <c r="E1509" s="52">
        <v>13423000000</v>
      </c>
      <c r="F1509" s="52">
        <v>10979000000</v>
      </c>
      <c r="G1509" s="52">
        <v>1304000000</v>
      </c>
      <c r="H1509" s="52" t="s">
        <v>757</v>
      </c>
      <c r="I1509" s="52" t="s">
        <v>757</v>
      </c>
      <c r="J1509" s="51" t="s">
        <v>14</v>
      </c>
      <c r="K1509" s="51" t="s">
        <v>224</v>
      </c>
      <c r="L1509" s="41">
        <f t="shared" si="115"/>
        <v>2444000000</v>
      </c>
      <c r="M1509" s="41">
        <f t="shared" si="116"/>
        <v>1304000000</v>
      </c>
      <c r="N1509" s="41">
        <f t="shared" si="117"/>
        <v>1140000000</v>
      </c>
      <c r="O1509" s="41">
        <f t="shared" si="118"/>
        <v>0.90285331148029502</v>
      </c>
      <c r="P1509" s="41">
        <f t="shared" si="119"/>
        <v>8.4928853460478279E-2</v>
      </c>
    </row>
    <row r="1510" spans="1:16" ht="19.95" customHeight="1">
      <c r="A1510" s="49">
        <v>1570</v>
      </c>
      <c r="B1510" s="50" t="s">
        <v>685</v>
      </c>
      <c r="C1510" s="51" t="s">
        <v>11</v>
      </c>
      <c r="D1510" s="51" t="s">
        <v>12</v>
      </c>
      <c r="E1510" s="52">
        <v>1834921000</v>
      </c>
      <c r="F1510" s="52">
        <v>955624000</v>
      </c>
      <c r="G1510" s="52">
        <v>670602000</v>
      </c>
      <c r="H1510" s="52" t="s">
        <v>757</v>
      </c>
      <c r="I1510" s="52" t="s">
        <v>757</v>
      </c>
      <c r="J1510" s="51" t="s">
        <v>24</v>
      </c>
      <c r="K1510" s="51" t="s">
        <v>391</v>
      </c>
      <c r="L1510" s="41">
        <f t="shared" si="115"/>
        <v>879297000</v>
      </c>
      <c r="M1510" s="41">
        <f t="shared" si="116"/>
        <v>670602000</v>
      </c>
      <c r="N1510" s="41">
        <f t="shared" si="117"/>
        <v>208695000</v>
      </c>
      <c r="O1510" s="41">
        <f t="shared" si="118"/>
        <v>0.63453358482463273</v>
      </c>
      <c r="P1510" s="41">
        <f t="shared" si="119"/>
        <v>0.11373514173089741</v>
      </c>
    </row>
    <row r="1511" spans="1:16" ht="19.95" customHeight="1">
      <c r="A1511" s="49">
        <v>1571</v>
      </c>
      <c r="B1511" s="50" t="s">
        <v>685</v>
      </c>
      <c r="C1511" s="51" t="s">
        <v>16</v>
      </c>
      <c r="D1511" s="51" t="s">
        <v>17</v>
      </c>
      <c r="E1511" s="52">
        <v>2332051000</v>
      </c>
      <c r="F1511" s="52">
        <v>1195381000</v>
      </c>
      <c r="G1511" s="52">
        <v>871572000</v>
      </c>
      <c r="H1511" s="52" t="s">
        <v>757</v>
      </c>
      <c r="I1511" s="52" t="s">
        <v>757</v>
      </c>
      <c r="J1511" s="51" t="s">
        <v>24</v>
      </c>
      <c r="K1511" s="51" t="s">
        <v>391</v>
      </c>
      <c r="L1511" s="41">
        <f t="shared" si="115"/>
        <v>1136670000</v>
      </c>
      <c r="M1511" s="41">
        <f t="shared" si="116"/>
        <v>871572000</v>
      </c>
      <c r="N1511" s="41">
        <f t="shared" si="117"/>
        <v>265098000</v>
      </c>
      <c r="O1511" s="41">
        <f t="shared" si="118"/>
        <v>0.6262637480912725</v>
      </c>
      <c r="P1511" s="41">
        <f t="shared" si="119"/>
        <v>0.11367590159906452</v>
      </c>
    </row>
    <row r="1512" spans="1:16" ht="19.95" customHeight="1">
      <c r="A1512" s="49">
        <v>1572</v>
      </c>
      <c r="B1512" s="50" t="s">
        <v>685</v>
      </c>
      <c r="C1512" s="51" t="s">
        <v>18</v>
      </c>
      <c r="D1512" s="51" t="s">
        <v>19</v>
      </c>
      <c r="E1512" s="52">
        <v>3084370000</v>
      </c>
      <c r="F1512" s="52">
        <v>1572164000</v>
      </c>
      <c r="G1512" s="52">
        <v>1158251000</v>
      </c>
      <c r="H1512" s="52" t="s">
        <v>757</v>
      </c>
      <c r="I1512" s="52" t="s">
        <v>757</v>
      </c>
      <c r="J1512" s="51" t="s">
        <v>24</v>
      </c>
      <c r="K1512" s="51" t="s">
        <v>391</v>
      </c>
      <c r="L1512" s="41">
        <f t="shared" si="115"/>
        <v>1512206000</v>
      </c>
      <c r="M1512" s="41">
        <f t="shared" si="116"/>
        <v>1158251000</v>
      </c>
      <c r="N1512" s="41">
        <f t="shared" si="117"/>
        <v>353955000</v>
      </c>
      <c r="O1512" s="41">
        <f t="shared" si="118"/>
        <v>0.6244772838537529</v>
      </c>
      <c r="P1512" s="41">
        <f t="shared" si="119"/>
        <v>0.11475763283912112</v>
      </c>
    </row>
    <row r="1513" spans="1:16" ht="19.95" customHeight="1">
      <c r="A1513" s="49">
        <v>1573</v>
      </c>
      <c r="B1513" s="50" t="s">
        <v>685</v>
      </c>
      <c r="C1513" s="51" t="s">
        <v>20</v>
      </c>
      <c r="D1513" s="51" t="s">
        <v>21</v>
      </c>
      <c r="E1513" s="52">
        <v>3963313000</v>
      </c>
      <c r="F1513" s="52">
        <v>2057766000</v>
      </c>
      <c r="G1513" s="52">
        <v>1497000000</v>
      </c>
      <c r="H1513" s="52" t="s">
        <v>757</v>
      </c>
      <c r="I1513" s="52" t="s">
        <v>757</v>
      </c>
      <c r="J1513" s="51" t="s">
        <v>24</v>
      </c>
      <c r="K1513" s="51" t="s">
        <v>391</v>
      </c>
      <c r="L1513" s="41">
        <f t="shared" si="115"/>
        <v>1905547000</v>
      </c>
      <c r="M1513" s="41">
        <f t="shared" si="116"/>
        <v>1497000000</v>
      </c>
      <c r="N1513" s="41">
        <f t="shared" si="117"/>
        <v>408547000</v>
      </c>
      <c r="O1513" s="41">
        <f t="shared" si="118"/>
        <v>0.62228569885850549</v>
      </c>
      <c r="P1513" s="41">
        <f t="shared" si="119"/>
        <v>0.10308219411386384</v>
      </c>
    </row>
    <row r="1514" spans="1:16" ht="19.95" customHeight="1">
      <c r="A1514" s="49">
        <v>1574</v>
      </c>
      <c r="B1514" s="50" t="s">
        <v>686</v>
      </c>
      <c r="C1514" s="51" t="s">
        <v>11</v>
      </c>
      <c r="D1514" s="51" t="s">
        <v>12</v>
      </c>
      <c r="E1514" s="52">
        <v>1834921000</v>
      </c>
      <c r="F1514" s="52">
        <v>955624000</v>
      </c>
      <c r="G1514" s="52">
        <v>670602000</v>
      </c>
      <c r="H1514" s="52" t="s">
        <v>757</v>
      </c>
      <c r="I1514" s="52" t="s">
        <v>757</v>
      </c>
      <c r="J1514" s="51" t="s">
        <v>24</v>
      </c>
      <c r="K1514" s="51" t="s">
        <v>391</v>
      </c>
      <c r="L1514" s="41">
        <f t="shared" si="115"/>
        <v>879297000</v>
      </c>
      <c r="M1514" s="41">
        <f t="shared" si="116"/>
        <v>670602000</v>
      </c>
      <c r="N1514" s="41">
        <f t="shared" si="117"/>
        <v>208695000</v>
      </c>
      <c r="O1514" s="41">
        <f t="shared" si="118"/>
        <v>0.63453358482463273</v>
      </c>
      <c r="P1514" s="41">
        <f t="shared" si="119"/>
        <v>0.11373514173089741</v>
      </c>
    </row>
    <row r="1515" spans="1:16" ht="19.95" customHeight="1">
      <c r="A1515" s="49">
        <v>1575</v>
      </c>
      <c r="B1515" s="50" t="s">
        <v>686</v>
      </c>
      <c r="C1515" s="51" t="s">
        <v>16</v>
      </c>
      <c r="D1515" s="51" t="s">
        <v>17</v>
      </c>
      <c r="E1515" s="52">
        <v>2332051000</v>
      </c>
      <c r="F1515" s="52">
        <v>1195381000</v>
      </c>
      <c r="G1515" s="52">
        <v>871572000</v>
      </c>
      <c r="H1515" s="52" t="s">
        <v>757</v>
      </c>
      <c r="I1515" s="52" t="s">
        <v>757</v>
      </c>
      <c r="J1515" s="51" t="s">
        <v>24</v>
      </c>
      <c r="K1515" s="51" t="s">
        <v>391</v>
      </c>
      <c r="L1515" s="41">
        <f t="shared" si="115"/>
        <v>1136670000</v>
      </c>
      <c r="M1515" s="41">
        <f t="shared" si="116"/>
        <v>871572000</v>
      </c>
      <c r="N1515" s="41">
        <f t="shared" si="117"/>
        <v>265098000</v>
      </c>
      <c r="O1515" s="41">
        <f t="shared" si="118"/>
        <v>0.6262637480912725</v>
      </c>
      <c r="P1515" s="41">
        <f t="shared" si="119"/>
        <v>0.11367590159906452</v>
      </c>
    </row>
    <row r="1516" spans="1:16" ht="19.95" customHeight="1">
      <c r="A1516" s="49">
        <v>1576</v>
      </c>
      <c r="B1516" s="50" t="s">
        <v>686</v>
      </c>
      <c r="C1516" s="51" t="s">
        <v>18</v>
      </c>
      <c r="D1516" s="51" t="s">
        <v>19</v>
      </c>
      <c r="E1516" s="52">
        <v>3084370000</v>
      </c>
      <c r="F1516" s="52">
        <v>1572164000</v>
      </c>
      <c r="G1516" s="52">
        <v>1158251000</v>
      </c>
      <c r="H1516" s="52" t="s">
        <v>757</v>
      </c>
      <c r="I1516" s="52" t="s">
        <v>757</v>
      </c>
      <c r="J1516" s="51" t="s">
        <v>24</v>
      </c>
      <c r="K1516" s="51" t="s">
        <v>391</v>
      </c>
      <c r="L1516" s="41">
        <f t="shared" si="115"/>
        <v>1512206000</v>
      </c>
      <c r="M1516" s="41">
        <f t="shared" si="116"/>
        <v>1158251000</v>
      </c>
      <c r="N1516" s="41">
        <f t="shared" si="117"/>
        <v>353955000</v>
      </c>
      <c r="O1516" s="41">
        <f t="shared" si="118"/>
        <v>0.6244772838537529</v>
      </c>
      <c r="P1516" s="41">
        <f t="shared" si="119"/>
        <v>0.11475763283912112</v>
      </c>
    </row>
    <row r="1517" spans="1:16" ht="19.95" customHeight="1">
      <c r="A1517" s="49">
        <v>1577</v>
      </c>
      <c r="B1517" s="50" t="s">
        <v>686</v>
      </c>
      <c r="C1517" s="51" t="s">
        <v>20</v>
      </c>
      <c r="D1517" s="51" t="s">
        <v>21</v>
      </c>
      <c r="E1517" s="52">
        <v>3963313000</v>
      </c>
      <c r="F1517" s="52">
        <v>2057766000</v>
      </c>
      <c r="G1517" s="52">
        <v>1497000000</v>
      </c>
      <c r="H1517" s="52" t="s">
        <v>757</v>
      </c>
      <c r="I1517" s="52" t="s">
        <v>757</v>
      </c>
      <c r="J1517" s="51" t="s">
        <v>24</v>
      </c>
      <c r="K1517" s="51" t="s">
        <v>391</v>
      </c>
      <c r="L1517" s="41">
        <f t="shared" si="115"/>
        <v>1905547000</v>
      </c>
      <c r="M1517" s="41">
        <f t="shared" si="116"/>
        <v>1497000000</v>
      </c>
      <c r="N1517" s="41">
        <f t="shared" si="117"/>
        <v>408547000</v>
      </c>
      <c r="O1517" s="41">
        <f t="shared" si="118"/>
        <v>0.62228569885850549</v>
      </c>
      <c r="P1517" s="41">
        <f t="shared" si="119"/>
        <v>0.10308219411386384</v>
      </c>
    </row>
    <row r="1518" spans="1:16" ht="19.95" customHeight="1">
      <c r="A1518" s="49">
        <v>1578</v>
      </c>
      <c r="B1518" s="50" t="s">
        <v>687</v>
      </c>
      <c r="C1518" s="51" t="s">
        <v>11</v>
      </c>
      <c r="D1518" s="51" t="s">
        <v>12</v>
      </c>
      <c r="E1518" s="52">
        <v>37152000000</v>
      </c>
      <c r="F1518" s="52">
        <v>17820000000</v>
      </c>
      <c r="G1518" s="52">
        <v>16448000000</v>
      </c>
      <c r="H1518" s="52" t="s">
        <v>757</v>
      </c>
      <c r="I1518" s="52">
        <v>1522000000</v>
      </c>
      <c r="J1518" s="51" t="s">
        <v>14</v>
      </c>
      <c r="K1518" s="51" t="s">
        <v>15</v>
      </c>
      <c r="L1518" s="41">
        <f t="shared" si="115"/>
        <v>19332000000</v>
      </c>
      <c r="M1518" s="41">
        <f t="shared" si="116"/>
        <v>17970000000</v>
      </c>
      <c r="N1518" s="41">
        <f t="shared" si="117"/>
        <v>1362000000</v>
      </c>
      <c r="O1518" s="41">
        <f t="shared" si="118"/>
        <v>0.51631136950904399</v>
      </c>
      <c r="P1518" s="41">
        <f t="shared" si="119"/>
        <v>3.6660206718346251E-2</v>
      </c>
    </row>
    <row r="1519" spans="1:16" ht="19.95" customHeight="1">
      <c r="A1519" s="49">
        <v>1579</v>
      </c>
      <c r="B1519" s="50" t="s">
        <v>687</v>
      </c>
      <c r="C1519" s="51" t="s">
        <v>16</v>
      </c>
      <c r="D1519" s="51" t="s">
        <v>17</v>
      </c>
      <c r="E1519" s="52">
        <v>38279000000</v>
      </c>
      <c r="F1519" s="52">
        <v>17192000000</v>
      </c>
      <c r="G1519" s="52">
        <v>17629000000</v>
      </c>
      <c r="H1519" s="52" t="s">
        <v>757</v>
      </c>
      <c r="I1519" s="52">
        <v>1689000000</v>
      </c>
      <c r="J1519" s="51" t="s">
        <v>14</v>
      </c>
      <c r="K1519" s="51" t="s">
        <v>15</v>
      </c>
      <c r="L1519" s="41">
        <f t="shared" si="115"/>
        <v>21087000000</v>
      </c>
      <c r="M1519" s="41">
        <f t="shared" si="116"/>
        <v>19318000000</v>
      </c>
      <c r="N1519" s="41">
        <f t="shared" si="117"/>
        <v>1769000000</v>
      </c>
      <c r="O1519" s="41">
        <f t="shared" si="118"/>
        <v>0.49533686877922622</v>
      </c>
      <c r="P1519" s="41">
        <f t="shared" si="119"/>
        <v>4.6213328456856238E-2</v>
      </c>
    </row>
    <row r="1520" spans="1:16" ht="19.95" customHeight="1">
      <c r="A1520" s="49">
        <v>1580</v>
      </c>
      <c r="B1520" s="50" t="s">
        <v>687</v>
      </c>
      <c r="C1520" s="51" t="s">
        <v>18</v>
      </c>
      <c r="D1520" s="51" t="s">
        <v>19</v>
      </c>
      <c r="E1520" s="52">
        <v>38901000000</v>
      </c>
      <c r="F1520" s="52">
        <v>16611000000</v>
      </c>
      <c r="G1520" s="52">
        <v>17795000000</v>
      </c>
      <c r="H1520" s="52" t="s">
        <v>757</v>
      </c>
      <c r="I1520" s="52">
        <v>1679000000</v>
      </c>
      <c r="J1520" s="51" t="s">
        <v>14</v>
      </c>
      <c r="K1520" s="51" t="s">
        <v>15</v>
      </c>
      <c r="L1520" s="41">
        <f t="shared" si="115"/>
        <v>22290000000</v>
      </c>
      <c r="M1520" s="41">
        <f t="shared" si="116"/>
        <v>19474000000</v>
      </c>
      <c r="N1520" s="41">
        <f t="shared" si="117"/>
        <v>2816000000</v>
      </c>
      <c r="O1520" s="41">
        <f t="shared" si="118"/>
        <v>0.49939590241896092</v>
      </c>
      <c r="P1520" s="41">
        <f t="shared" si="119"/>
        <v>7.2388884604508888E-2</v>
      </c>
    </row>
    <row r="1521" spans="1:16" ht="19.95" customHeight="1">
      <c r="A1521" s="49">
        <v>1581</v>
      </c>
      <c r="B1521" s="50" t="s">
        <v>687</v>
      </c>
      <c r="C1521" s="51" t="s">
        <v>20</v>
      </c>
      <c r="D1521" s="51" t="s">
        <v>21</v>
      </c>
      <c r="E1521" s="52">
        <v>37864000000</v>
      </c>
      <c r="F1521" s="52">
        <v>12130000000</v>
      </c>
      <c r="G1521" s="52">
        <v>18423000000</v>
      </c>
      <c r="H1521" s="52" t="s">
        <v>757</v>
      </c>
      <c r="I1521" s="52">
        <v>1819000000</v>
      </c>
      <c r="J1521" s="51" t="s">
        <v>14</v>
      </c>
      <c r="K1521" s="51" t="s">
        <v>15</v>
      </c>
      <c r="L1521" s="41">
        <f t="shared" si="115"/>
        <v>25734000000</v>
      </c>
      <c r="M1521" s="41">
        <f t="shared" si="116"/>
        <v>20242000000</v>
      </c>
      <c r="N1521" s="41">
        <f t="shared" si="117"/>
        <v>5492000000</v>
      </c>
      <c r="O1521" s="41">
        <f t="shared" si="118"/>
        <v>0.46540249313331927</v>
      </c>
      <c r="P1521" s="41">
        <f t="shared" si="119"/>
        <v>0.14504542573420665</v>
      </c>
    </row>
    <row r="1522" spans="1:16" ht="19.95" customHeight="1">
      <c r="A1522" s="49">
        <v>1582</v>
      </c>
      <c r="B1522" s="50" t="s">
        <v>688</v>
      </c>
      <c r="C1522" s="51" t="s">
        <v>11</v>
      </c>
      <c r="D1522" s="51" t="s">
        <v>12</v>
      </c>
      <c r="E1522" s="52">
        <v>716612000</v>
      </c>
      <c r="F1522" s="52">
        <v>245316000</v>
      </c>
      <c r="G1522" s="52">
        <v>58005000</v>
      </c>
      <c r="H1522" s="52" t="s">
        <v>757</v>
      </c>
      <c r="I1522" s="52">
        <v>346031000</v>
      </c>
      <c r="J1522" s="51" t="s">
        <v>80</v>
      </c>
      <c r="K1522" s="51" t="s">
        <v>331</v>
      </c>
      <c r="L1522" s="41">
        <f t="shared" si="115"/>
        <v>471296000</v>
      </c>
      <c r="M1522" s="41">
        <f t="shared" si="116"/>
        <v>404036000</v>
      </c>
      <c r="N1522" s="41">
        <f t="shared" si="117"/>
        <v>67260000</v>
      </c>
      <c r="O1522" s="41">
        <f t="shared" si="118"/>
        <v>0.43618582998889222</v>
      </c>
      <c r="P1522" s="41">
        <f t="shared" si="119"/>
        <v>9.3858322216206255E-2</v>
      </c>
    </row>
    <row r="1523" spans="1:16" ht="19.95" customHeight="1">
      <c r="A1523" s="49">
        <v>1583</v>
      </c>
      <c r="B1523" s="50" t="s">
        <v>688</v>
      </c>
      <c r="C1523" s="51" t="s">
        <v>16</v>
      </c>
      <c r="D1523" s="51" t="s">
        <v>17</v>
      </c>
      <c r="E1523" s="52">
        <v>758926000</v>
      </c>
      <c r="F1523" s="52">
        <v>258612000</v>
      </c>
      <c r="G1523" s="52">
        <v>37121000</v>
      </c>
      <c r="H1523" s="52" t="s">
        <v>757</v>
      </c>
      <c r="I1523" s="52">
        <v>346273000</v>
      </c>
      <c r="J1523" s="51" t="s">
        <v>80</v>
      </c>
      <c r="K1523" s="51" t="s">
        <v>331</v>
      </c>
      <c r="L1523" s="41">
        <f t="shared" si="115"/>
        <v>500314000</v>
      </c>
      <c r="M1523" s="41">
        <f t="shared" si="116"/>
        <v>383394000</v>
      </c>
      <c r="N1523" s="41">
        <f t="shared" si="117"/>
        <v>116920000</v>
      </c>
      <c r="O1523" s="41">
        <f t="shared" si="118"/>
        <v>0.49482031186176256</v>
      </c>
      <c r="P1523" s="41">
        <f t="shared" si="119"/>
        <v>0.1540598161085534</v>
      </c>
    </row>
    <row r="1524" spans="1:16" ht="19.95" customHeight="1">
      <c r="A1524" s="49">
        <v>1584</v>
      </c>
      <c r="B1524" s="50" t="s">
        <v>688</v>
      </c>
      <c r="C1524" s="51" t="s">
        <v>18</v>
      </c>
      <c r="D1524" s="51" t="s">
        <v>19</v>
      </c>
      <c r="E1524" s="52">
        <v>818046000</v>
      </c>
      <c r="F1524" s="52">
        <v>270741000</v>
      </c>
      <c r="G1524" s="52">
        <v>56612000</v>
      </c>
      <c r="H1524" s="52" t="s">
        <v>757</v>
      </c>
      <c r="I1524" s="52">
        <v>363929000</v>
      </c>
      <c r="J1524" s="51" t="s">
        <v>80</v>
      </c>
      <c r="K1524" s="51" t="s">
        <v>331</v>
      </c>
      <c r="L1524" s="41">
        <f t="shared" si="115"/>
        <v>547305000</v>
      </c>
      <c r="M1524" s="41">
        <f t="shared" si="116"/>
        <v>420541000</v>
      </c>
      <c r="N1524" s="41">
        <f t="shared" si="117"/>
        <v>126764000</v>
      </c>
      <c r="O1524" s="41">
        <f t="shared" si="118"/>
        <v>0.48592010718223666</v>
      </c>
      <c r="P1524" s="41">
        <f t="shared" si="119"/>
        <v>0.1549595010549529</v>
      </c>
    </row>
    <row r="1525" spans="1:16" ht="19.95" customHeight="1">
      <c r="A1525" s="49">
        <v>1585</v>
      </c>
      <c r="B1525" s="50" t="s">
        <v>688</v>
      </c>
      <c r="C1525" s="51" t="s">
        <v>20</v>
      </c>
      <c r="D1525" s="51" t="s">
        <v>21</v>
      </c>
      <c r="E1525" s="52">
        <v>894638000</v>
      </c>
      <c r="F1525" s="52">
        <v>282037000</v>
      </c>
      <c r="G1525" s="52">
        <v>71733000</v>
      </c>
      <c r="H1525" s="52" t="s">
        <v>757</v>
      </c>
      <c r="I1525" s="52">
        <v>381277000</v>
      </c>
      <c r="J1525" s="51" t="s">
        <v>80</v>
      </c>
      <c r="K1525" s="51" t="s">
        <v>331</v>
      </c>
      <c r="L1525" s="41">
        <f t="shared" si="115"/>
        <v>612601000</v>
      </c>
      <c r="M1525" s="41">
        <f t="shared" si="116"/>
        <v>453010000</v>
      </c>
      <c r="N1525" s="41">
        <f t="shared" si="117"/>
        <v>159591000</v>
      </c>
      <c r="O1525" s="41">
        <f t="shared" si="118"/>
        <v>0.49363876785917882</v>
      </c>
      <c r="P1525" s="41">
        <f t="shared" si="119"/>
        <v>0.17838611818411471</v>
      </c>
    </row>
    <row r="1526" spans="1:16" ht="19.95" customHeight="1">
      <c r="A1526" s="49">
        <v>1590</v>
      </c>
      <c r="B1526" s="50" t="s">
        <v>689</v>
      </c>
      <c r="C1526" s="51" t="s">
        <v>11</v>
      </c>
      <c r="D1526" s="51" t="s">
        <v>302</v>
      </c>
      <c r="E1526" s="52">
        <v>2220256000</v>
      </c>
      <c r="F1526" s="52">
        <v>1436582000</v>
      </c>
      <c r="G1526" s="52">
        <v>488880000</v>
      </c>
      <c r="H1526" s="52" t="s">
        <v>757</v>
      </c>
      <c r="I1526" s="52" t="s">
        <v>757</v>
      </c>
      <c r="J1526" s="51" t="s">
        <v>24</v>
      </c>
      <c r="K1526" s="51" t="s">
        <v>112</v>
      </c>
      <c r="L1526" s="41">
        <f t="shared" si="115"/>
        <v>783674000</v>
      </c>
      <c r="M1526" s="41">
        <f t="shared" si="116"/>
        <v>488880000</v>
      </c>
      <c r="N1526" s="41">
        <f t="shared" si="117"/>
        <v>294794000</v>
      </c>
      <c r="O1526" s="41">
        <f t="shared" si="118"/>
        <v>0.77980917515817993</v>
      </c>
      <c r="P1526" s="41">
        <f t="shared" si="119"/>
        <v>0.13277477912456942</v>
      </c>
    </row>
    <row r="1527" spans="1:16" ht="19.95" customHeight="1">
      <c r="A1527" s="49">
        <v>1591</v>
      </c>
      <c r="B1527" s="50" t="s">
        <v>689</v>
      </c>
      <c r="C1527" s="51" t="s">
        <v>16</v>
      </c>
      <c r="D1527" s="51" t="s">
        <v>398</v>
      </c>
      <c r="E1527" s="52">
        <v>2670573000</v>
      </c>
      <c r="F1527" s="52">
        <v>1729325000</v>
      </c>
      <c r="G1527" s="52">
        <v>596390000</v>
      </c>
      <c r="H1527" s="52" t="s">
        <v>757</v>
      </c>
      <c r="I1527" s="52" t="s">
        <v>757</v>
      </c>
      <c r="J1527" s="51" t="s">
        <v>24</v>
      </c>
      <c r="K1527" s="51" t="s">
        <v>112</v>
      </c>
      <c r="L1527" s="41">
        <f t="shared" si="115"/>
        <v>941248000</v>
      </c>
      <c r="M1527" s="41">
        <f t="shared" si="116"/>
        <v>596390000</v>
      </c>
      <c r="N1527" s="41">
        <f t="shared" si="117"/>
        <v>344858000</v>
      </c>
      <c r="O1527" s="41">
        <f t="shared" si="118"/>
        <v>0.77668088458918738</v>
      </c>
      <c r="P1527" s="41">
        <f t="shared" si="119"/>
        <v>0.12913258690176227</v>
      </c>
    </row>
    <row r="1528" spans="1:16" ht="19.95" customHeight="1">
      <c r="A1528" s="49">
        <v>1592</v>
      </c>
      <c r="B1528" s="50" t="s">
        <v>689</v>
      </c>
      <c r="C1528" s="51" t="s">
        <v>18</v>
      </c>
      <c r="D1528" s="51" t="s">
        <v>67</v>
      </c>
      <c r="E1528" s="52">
        <v>3241369000</v>
      </c>
      <c r="F1528" s="52">
        <v>2104582000</v>
      </c>
      <c r="G1528" s="52">
        <v>712006000</v>
      </c>
      <c r="H1528" s="52" t="s">
        <v>757</v>
      </c>
      <c r="I1528" s="52" t="s">
        <v>757</v>
      </c>
      <c r="J1528" s="51" t="s">
        <v>24</v>
      </c>
      <c r="K1528" s="51" t="s">
        <v>112</v>
      </c>
      <c r="L1528" s="41">
        <f t="shared" si="115"/>
        <v>1136787000</v>
      </c>
      <c r="M1528" s="41">
        <f t="shared" si="116"/>
        <v>712006000</v>
      </c>
      <c r="N1528" s="41">
        <f t="shared" si="117"/>
        <v>424781000</v>
      </c>
      <c r="O1528" s="41">
        <f t="shared" si="118"/>
        <v>0.78033787575558355</v>
      </c>
      <c r="P1528" s="41">
        <f t="shared" si="119"/>
        <v>0.13104987429694059</v>
      </c>
    </row>
    <row r="1529" spans="1:16" ht="19.95" customHeight="1">
      <c r="A1529" s="49">
        <v>1593</v>
      </c>
      <c r="B1529" s="50" t="s">
        <v>689</v>
      </c>
      <c r="C1529" s="51" t="s">
        <v>20</v>
      </c>
      <c r="D1529" s="51" t="s">
        <v>68</v>
      </c>
      <c r="E1529" s="52">
        <v>3924116000</v>
      </c>
      <c r="F1529" s="52">
        <v>2539783000</v>
      </c>
      <c r="G1529" s="52">
        <v>863354000</v>
      </c>
      <c r="H1529" s="52" t="s">
        <v>757</v>
      </c>
      <c r="I1529" s="52" t="s">
        <v>757</v>
      </c>
      <c r="J1529" s="51" t="s">
        <v>24</v>
      </c>
      <c r="K1529" s="51" t="s">
        <v>112</v>
      </c>
      <c r="L1529" s="41">
        <f t="shared" si="115"/>
        <v>1384333000</v>
      </c>
      <c r="M1529" s="41">
        <f t="shared" si="116"/>
        <v>863354000</v>
      </c>
      <c r="N1529" s="41">
        <f t="shared" si="117"/>
        <v>520979000</v>
      </c>
      <c r="O1529" s="41">
        <f t="shared" si="118"/>
        <v>0.77998764562515488</v>
      </c>
      <c r="P1529" s="41">
        <f t="shared" si="119"/>
        <v>0.13276340454767394</v>
      </c>
    </row>
    <row r="1530" spans="1:16" ht="19.95" customHeight="1">
      <c r="A1530" s="49">
        <v>1594</v>
      </c>
      <c r="B1530" s="50" t="s">
        <v>690</v>
      </c>
      <c r="C1530" s="51" t="s">
        <v>11</v>
      </c>
      <c r="D1530" s="51" t="s">
        <v>17</v>
      </c>
      <c r="E1530" s="52">
        <v>1224890000</v>
      </c>
      <c r="F1530" s="52">
        <v>89659000000</v>
      </c>
      <c r="G1530" s="52" t="s">
        <v>757</v>
      </c>
      <c r="H1530" s="52" t="s">
        <v>757</v>
      </c>
      <c r="I1530" s="52">
        <v>23207000000</v>
      </c>
      <c r="J1530" s="51" t="s">
        <v>37</v>
      </c>
      <c r="K1530" s="51" t="s">
        <v>114</v>
      </c>
      <c r="L1530" s="41">
        <f t="shared" si="115"/>
        <v>-88434110000</v>
      </c>
      <c r="M1530" s="41">
        <f t="shared" si="116"/>
        <v>23207000000</v>
      </c>
      <c r="N1530" s="41">
        <f t="shared" si="117"/>
        <v>-111641110000</v>
      </c>
      <c r="O1530" s="41">
        <f t="shared" si="118"/>
        <v>-17.946191086546548</v>
      </c>
      <c r="P1530" s="41">
        <f t="shared" si="119"/>
        <v>-91.143784339818268</v>
      </c>
    </row>
    <row r="1531" spans="1:16" ht="19.95" customHeight="1">
      <c r="A1531" s="49">
        <v>1595</v>
      </c>
      <c r="B1531" s="50" t="s">
        <v>690</v>
      </c>
      <c r="C1531" s="51" t="s">
        <v>16</v>
      </c>
      <c r="D1531" s="51" t="s">
        <v>19</v>
      </c>
      <c r="E1531" s="52">
        <v>130474000000</v>
      </c>
      <c r="F1531" s="52">
        <v>93633000000</v>
      </c>
      <c r="G1531" s="52" t="s">
        <v>757</v>
      </c>
      <c r="H1531" s="52" t="s">
        <v>757</v>
      </c>
      <c r="I1531" s="52">
        <v>26567000000</v>
      </c>
      <c r="J1531" s="51" t="s">
        <v>37</v>
      </c>
      <c r="K1531" s="51" t="s">
        <v>114</v>
      </c>
      <c r="L1531" s="41">
        <f t="shared" si="115"/>
        <v>36841000000</v>
      </c>
      <c r="M1531" s="41">
        <f t="shared" si="116"/>
        <v>26567000000</v>
      </c>
      <c r="N1531" s="41">
        <f t="shared" si="117"/>
        <v>10274000000</v>
      </c>
      <c r="O1531" s="41">
        <f t="shared" si="118"/>
        <v>0.79638088814629737</v>
      </c>
      <c r="P1531" s="41">
        <f t="shared" si="119"/>
        <v>7.8743657740239434E-2</v>
      </c>
    </row>
    <row r="1532" spans="1:16" ht="19.95" customHeight="1">
      <c r="A1532" s="49">
        <v>1596</v>
      </c>
      <c r="B1532" s="50" t="s">
        <v>690</v>
      </c>
      <c r="C1532" s="51" t="s">
        <v>18</v>
      </c>
      <c r="D1532" s="51" t="s">
        <v>21</v>
      </c>
      <c r="E1532" s="52">
        <v>157107000000</v>
      </c>
      <c r="F1532" s="52">
        <v>103875000000</v>
      </c>
      <c r="G1532" s="52" t="s">
        <v>757</v>
      </c>
      <c r="H1532" s="52" t="s">
        <v>757</v>
      </c>
      <c r="I1532" s="52">
        <v>42211000000</v>
      </c>
      <c r="J1532" s="51" t="s">
        <v>37</v>
      </c>
      <c r="K1532" s="51" t="s">
        <v>114</v>
      </c>
      <c r="L1532" s="41">
        <f t="shared" si="115"/>
        <v>53232000000</v>
      </c>
      <c r="M1532" s="41">
        <f t="shared" si="116"/>
        <v>42211000000</v>
      </c>
      <c r="N1532" s="41">
        <f t="shared" si="117"/>
        <v>11021000000</v>
      </c>
      <c r="O1532" s="41">
        <f t="shared" si="118"/>
        <v>0.73132323830255808</v>
      </c>
      <c r="P1532" s="41">
        <f t="shared" si="119"/>
        <v>7.0149643236774931E-2</v>
      </c>
    </row>
    <row r="1533" spans="1:16" ht="19.95" customHeight="1">
      <c r="A1533" s="49">
        <v>1597</v>
      </c>
      <c r="B1533" s="50" t="s">
        <v>690</v>
      </c>
      <c r="C1533" s="51" t="s">
        <v>20</v>
      </c>
      <c r="D1533" s="51" t="s">
        <v>84</v>
      </c>
      <c r="E1533" s="52">
        <v>184840000000</v>
      </c>
      <c r="F1533" s="52">
        <v>117038000000</v>
      </c>
      <c r="G1533" s="52" t="s">
        <v>757</v>
      </c>
      <c r="H1533" s="52" t="s">
        <v>757</v>
      </c>
      <c r="I1533" s="52">
        <v>54872000000</v>
      </c>
      <c r="J1533" s="51" t="s">
        <v>37</v>
      </c>
      <c r="K1533" s="51" t="s">
        <v>114</v>
      </c>
      <c r="L1533" s="41">
        <f t="shared" si="115"/>
        <v>67802000000</v>
      </c>
      <c r="M1533" s="41">
        <f t="shared" si="116"/>
        <v>54872000000</v>
      </c>
      <c r="N1533" s="41">
        <f t="shared" si="117"/>
        <v>12930000000</v>
      </c>
      <c r="O1533" s="41">
        <f t="shared" si="118"/>
        <v>0.70313784895044362</v>
      </c>
      <c r="P1533" s="41">
        <f t="shared" si="119"/>
        <v>6.9952391257303612E-2</v>
      </c>
    </row>
    <row r="1534" spans="1:16" ht="19.95" customHeight="1">
      <c r="A1534" s="49">
        <v>1598</v>
      </c>
      <c r="B1534" s="50" t="s">
        <v>691</v>
      </c>
      <c r="C1534" s="51" t="s">
        <v>11</v>
      </c>
      <c r="D1534" s="51" t="s">
        <v>12</v>
      </c>
      <c r="E1534" s="52">
        <v>10515400000</v>
      </c>
      <c r="F1534" s="52">
        <v>7172100000</v>
      </c>
      <c r="G1534" s="52">
        <v>786800000</v>
      </c>
      <c r="H1534" s="52" t="s">
        <v>757</v>
      </c>
      <c r="I1534" s="52">
        <v>1161600000</v>
      </c>
      <c r="J1534" s="51" t="s">
        <v>75</v>
      </c>
      <c r="K1534" s="51" t="s">
        <v>511</v>
      </c>
      <c r="L1534" s="41">
        <f t="shared" si="115"/>
        <v>3343300000</v>
      </c>
      <c r="M1534" s="41">
        <f t="shared" si="116"/>
        <v>1948400000</v>
      </c>
      <c r="N1534" s="41">
        <f t="shared" si="117"/>
        <v>1394900000</v>
      </c>
      <c r="O1534" s="41">
        <f t="shared" si="118"/>
        <v>0.8147098541187211</v>
      </c>
      <c r="P1534" s="41">
        <f t="shared" si="119"/>
        <v>0.1326530612244898</v>
      </c>
    </row>
    <row r="1535" spans="1:16" ht="19.95" customHeight="1">
      <c r="A1535" s="53">
        <v>1599</v>
      </c>
      <c r="B1535" s="54" t="s">
        <v>691</v>
      </c>
      <c r="C1535" s="55" t="s">
        <v>16</v>
      </c>
      <c r="D1535" s="55" t="s">
        <v>17</v>
      </c>
      <c r="E1535" s="56">
        <v>10368600000</v>
      </c>
      <c r="F1535" s="56">
        <v>7038400000</v>
      </c>
      <c r="G1535" s="56">
        <v>790400000</v>
      </c>
      <c r="H1535" s="56" t="s">
        <v>757</v>
      </c>
      <c r="I1535" s="56">
        <v>1170400000</v>
      </c>
      <c r="J1535" s="55" t="s">
        <v>75</v>
      </c>
      <c r="K1535" s="55" t="s">
        <v>511</v>
      </c>
      <c r="L1535" s="57">
        <f t="shared" si="115"/>
        <v>3330200000</v>
      </c>
      <c r="M1535" s="57">
        <f t="shared" si="116"/>
        <v>1960800000</v>
      </c>
      <c r="N1535" s="57">
        <f t="shared" si="117"/>
        <v>1369400000</v>
      </c>
      <c r="O1535" s="57">
        <f t="shared" si="118"/>
        <v>0.81089057346218385</v>
      </c>
      <c r="P1535" s="57">
        <f t="shared" si="119"/>
        <v>0.13207183226279343</v>
      </c>
    </row>
    <row r="1536" spans="1:16" ht="19.95" customHeight="1">
      <c r="A1536" s="49">
        <v>1600</v>
      </c>
      <c r="B1536" s="50" t="s">
        <v>691</v>
      </c>
      <c r="C1536" s="51" t="s">
        <v>18</v>
      </c>
      <c r="D1536" s="51" t="s">
        <v>19</v>
      </c>
      <c r="E1536" s="52">
        <v>10524500000</v>
      </c>
      <c r="F1536" s="52">
        <v>7722100000</v>
      </c>
      <c r="G1536" s="52">
        <v>820900000</v>
      </c>
      <c r="H1536" s="52" t="s">
        <v>757</v>
      </c>
      <c r="I1536" s="52">
        <v>1272000000</v>
      </c>
      <c r="J1536" s="51" t="s">
        <v>75</v>
      </c>
      <c r="K1536" s="51" t="s">
        <v>511</v>
      </c>
      <c r="L1536" s="41">
        <f t="shared" si="115"/>
        <v>2802400000</v>
      </c>
      <c r="M1536" s="41">
        <f t="shared" si="116"/>
        <v>2092900000</v>
      </c>
      <c r="N1536" s="41">
        <f t="shared" si="117"/>
        <v>709500000</v>
      </c>
      <c r="O1536" s="41">
        <f t="shared" si="118"/>
        <v>0.801140196683928</v>
      </c>
      <c r="P1536" s="41">
        <f t="shared" si="119"/>
        <v>6.7414128937241677E-2</v>
      </c>
    </row>
    <row r="1537" spans="1:16" ht="19.95" customHeight="1">
      <c r="A1537" s="49">
        <v>1601</v>
      </c>
      <c r="B1537" s="50" t="s">
        <v>691</v>
      </c>
      <c r="C1537" s="51" t="s">
        <v>20</v>
      </c>
      <c r="D1537" s="51" t="s">
        <v>21</v>
      </c>
      <c r="E1537" s="52">
        <v>10731300000</v>
      </c>
      <c r="F1537" s="52">
        <v>7209400000</v>
      </c>
      <c r="G1537" s="52">
        <v>835100000</v>
      </c>
      <c r="H1537" s="52" t="s">
        <v>757</v>
      </c>
      <c r="I1537" s="52">
        <v>1295700000</v>
      </c>
      <c r="J1537" s="51" t="s">
        <v>75</v>
      </c>
      <c r="K1537" s="51" t="s">
        <v>511</v>
      </c>
      <c r="L1537" s="41">
        <f t="shared" si="115"/>
        <v>3521900000</v>
      </c>
      <c r="M1537" s="41">
        <f t="shared" si="116"/>
        <v>2130800000</v>
      </c>
      <c r="N1537" s="41">
        <f t="shared" si="117"/>
        <v>1391100000</v>
      </c>
      <c r="O1537" s="41">
        <f t="shared" si="118"/>
        <v>0.80144064558813932</v>
      </c>
      <c r="P1537" s="41">
        <f t="shared" si="119"/>
        <v>0.12963014732604625</v>
      </c>
    </row>
    <row r="1538" spans="1:16" ht="19.95" customHeight="1">
      <c r="A1538" s="49">
        <v>1602</v>
      </c>
      <c r="B1538" s="50" t="s">
        <v>692</v>
      </c>
      <c r="C1538" s="51" t="s">
        <v>11</v>
      </c>
      <c r="D1538" s="51" t="s">
        <v>17</v>
      </c>
      <c r="E1538" s="52">
        <v>21963000000</v>
      </c>
      <c r="F1538" s="52">
        <v>5849000000</v>
      </c>
      <c r="G1538" s="52">
        <v>6891000000</v>
      </c>
      <c r="H1538" s="52" t="s">
        <v>757</v>
      </c>
      <c r="I1538" s="52">
        <v>1777000000</v>
      </c>
      <c r="J1538" s="51" t="s">
        <v>14</v>
      </c>
      <c r="K1538" s="51" t="s">
        <v>258</v>
      </c>
      <c r="L1538" s="41">
        <f t="shared" si="115"/>
        <v>16114000000</v>
      </c>
      <c r="M1538" s="41">
        <f t="shared" si="116"/>
        <v>8668000000</v>
      </c>
      <c r="N1538" s="41">
        <f t="shared" si="117"/>
        <v>7446000000</v>
      </c>
      <c r="O1538" s="41">
        <f t="shared" si="118"/>
        <v>0.60533624732504665</v>
      </c>
      <c r="P1538" s="41">
        <f t="shared" si="119"/>
        <v>0.33902472339844286</v>
      </c>
    </row>
    <row r="1539" spans="1:16" ht="19.95" customHeight="1">
      <c r="A1539" s="49">
        <v>1603</v>
      </c>
      <c r="B1539" s="50" t="s">
        <v>692</v>
      </c>
      <c r="C1539" s="51" t="s">
        <v>16</v>
      </c>
      <c r="D1539" s="51" t="s">
        <v>19</v>
      </c>
      <c r="E1539" s="52">
        <v>23988000000</v>
      </c>
      <c r="F1539" s="52">
        <v>6097000000</v>
      </c>
      <c r="G1539" s="52">
        <v>7234000000</v>
      </c>
      <c r="H1539" s="52" t="s">
        <v>757</v>
      </c>
      <c r="I1539" s="52">
        <v>1904000000</v>
      </c>
      <c r="J1539" s="51" t="s">
        <v>14</v>
      </c>
      <c r="K1539" s="51" t="s">
        <v>258</v>
      </c>
      <c r="L1539" s="41">
        <f t="shared" ref="L1539:L1602" si="120">Total_Revenue-COGS</f>
        <v>17891000000</v>
      </c>
      <c r="M1539" s="41">
        <f t="shared" ref="M1539:M1602" si="121">SGAA+RandD+OOI</f>
        <v>9138000000</v>
      </c>
      <c r="N1539" s="41">
        <f t="shared" ref="N1539:N1602" si="122">Gross_Profit-Total_Operating_Expenses</f>
        <v>8753000000</v>
      </c>
      <c r="O1539" s="41">
        <f t="shared" ref="O1539:O1602" si="123">1-(Total_Operating_Expenses/Total_Revenue)</f>
        <v>0.61905952976488243</v>
      </c>
      <c r="P1539" s="41">
        <f t="shared" ref="P1539:P1602" si="124">Operating_Profit/Total_Revenue</f>
        <v>0.36489077872269465</v>
      </c>
    </row>
    <row r="1540" spans="1:16" ht="19.95" customHeight="1">
      <c r="A1540" s="49">
        <v>1604</v>
      </c>
      <c r="B1540" s="50" t="s">
        <v>692</v>
      </c>
      <c r="C1540" s="51" t="s">
        <v>18</v>
      </c>
      <c r="D1540" s="51" t="s">
        <v>21</v>
      </c>
      <c r="E1540" s="52">
        <v>21813000000</v>
      </c>
      <c r="F1540" s="52">
        <v>4434000000</v>
      </c>
      <c r="G1540" s="52">
        <v>7315000000</v>
      </c>
      <c r="H1540" s="52" t="s">
        <v>757</v>
      </c>
      <c r="I1540" s="52">
        <v>2012000000</v>
      </c>
      <c r="J1540" s="51" t="s">
        <v>14</v>
      </c>
      <c r="K1540" s="51" t="s">
        <v>258</v>
      </c>
      <c r="L1540" s="41">
        <f t="shared" si="120"/>
        <v>17379000000</v>
      </c>
      <c r="M1540" s="41">
        <f t="shared" si="121"/>
        <v>9327000000</v>
      </c>
      <c r="N1540" s="41">
        <f t="shared" si="122"/>
        <v>8052000000</v>
      </c>
      <c r="O1540" s="41">
        <f t="shared" si="123"/>
        <v>0.57241094760005495</v>
      </c>
      <c r="P1540" s="41">
        <f t="shared" si="124"/>
        <v>0.36913767019667171</v>
      </c>
    </row>
    <row r="1541" spans="1:16" ht="19.95" customHeight="1">
      <c r="A1541" s="49">
        <v>1605</v>
      </c>
      <c r="B1541" s="50" t="s">
        <v>692</v>
      </c>
      <c r="C1541" s="51" t="s">
        <v>20</v>
      </c>
      <c r="D1541" s="51" t="s">
        <v>84</v>
      </c>
      <c r="E1541" s="52">
        <v>19941000000</v>
      </c>
      <c r="F1541" s="52">
        <v>3747000000</v>
      </c>
      <c r="G1541" s="52">
        <v>6884000000</v>
      </c>
      <c r="H1541" s="52" t="s">
        <v>757</v>
      </c>
      <c r="I1541" s="52">
        <v>2038000000</v>
      </c>
      <c r="J1541" s="51" t="s">
        <v>14</v>
      </c>
      <c r="K1541" s="51" t="s">
        <v>258</v>
      </c>
      <c r="L1541" s="41">
        <f t="shared" si="120"/>
        <v>16194000000</v>
      </c>
      <c r="M1541" s="41">
        <f t="shared" si="121"/>
        <v>8922000000</v>
      </c>
      <c r="N1541" s="41">
        <f t="shared" si="122"/>
        <v>7272000000</v>
      </c>
      <c r="O1541" s="41">
        <f t="shared" si="123"/>
        <v>0.55258011132841878</v>
      </c>
      <c r="P1541" s="41">
        <f t="shared" si="124"/>
        <v>0.3646757935910937</v>
      </c>
    </row>
    <row r="1542" spans="1:16" ht="19.95" customHeight="1">
      <c r="A1542" s="49">
        <v>1606</v>
      </c>
      <c r="B1542" s="50" t="s">
        <v>693</v>
      </c>
      <c r="C1542" s="51" t="s">
        <v>11</v>
      </c>
      <c r="D1542" s="51" t="s">
        <v>12</v>
      </c>
      <c r="E1542" s="52">
        <v>54127000000</v>
      </c>
      <c r="F1542" s="52">
        <v>13574000000</v>
      </c>
      <c r="G1542" s="52">
        <v>37352000000</v>
      </c>
      <c r="H1542" s="52" t="s">
        <v>757</v>
      </c>
      <c r="I1542" s="52">
        <v>1858000000</v>
      </c>
      <c r="J1542" s="51" t="s">
        <v>14</v>
      </c>
      <c r="K1542" s="51" t="s">
        <v>206</v>
      </c>
      <c r="L1542" s="41">
        <f t="shared" si="120"/>
        <v>40553000000</v>
      </c>
      <c r="M1542" s="41">
        <f t="shared" si="121"/>
        <v>39210000000</v>
      </c>
      <c r="N1542" s="41">
        <f t="shared" si="122"/>
        <v>1343000000</v>
      </c>
      <c r="O1542" s="41">
        <f t="shared" si="123"/>
        <v>0.27559258780276019</v>
      </c>
      <c r="P1542" s="41">
        <f t="shared" si="124"/>
        <v>2.4812016184159475E-2</v>
      </c>
    </row>
    <row r="1543" spans="1:16" ht="19.95" customHeight="1">
      <c r="A1543" s="49">
        <v>1607</v>
      </c>
      <c r="B1543" s="50" t="s">
        <v>693</v>
      </c>
      <c r="C1543" s="51" t="s">
        <v>16</v>
      </c>
      <c r="D1543" s="51" t="s">
        <v>17</v>
      </c>
      <c r="E1543" s="52">
        <v>55438000000</v>
      </c>
      <c r="F1543" s="52">
        <v>13703000000</v>
      </c>
      <c r="G1543" s="52">
        <v>32834000000</v>
      </c>
      <c r="H1543" s="52" t="s">
        <v>757</v>
      </c>
      <c r="I1543" s="52">
        <v>1867000000</v>
      </c>
      <c r="J1543" s="51" t="s">
        <v>14</v>
      </c>
      <c r="K1543" s="51" t="s">
        <v>206</v>
      </c>
      <c r="L1543" s="41">
        <f t="shared" si="120"/>
        <v>41735000000</v>
      </c>
      <c r="M1543" s="41">
        <f t="shared" si="121"/>
        <v>34701000000</v>
      </c>
      <c r="N1543" s="41">
        <f t="shared" si="122"/>
        <v>7034000000</v>
      </c>
      <c r="O1543" s="41">
        <f t="shared" si="123"/>
        <v>0.37405750568202312</v>
      </c>
      <c r="P1543" s="41">
        <f t="shared" si="124"/>
        <v>0.1268804790937624</v>
      </c>
    </row>
    <row r="1544" spans="1:16" ht="19.95" customHeight="1">
      <c r="A1544" s="49">
        <v>1608</v>
      </c>
      <c r="B1544" s="50" t="s">
        <v>693</v>
      </c>
      <c r="C1544" s="51" t="s">
        <v>18</v>
      </c>
      <c r="D1544" s="51" t="s">
        <v>19</v>
      </c>
      <c r="E1544" s="52">
        <v>58232000000</v>
      </c>
      <c r="F1544" s="52">
        <v>14758000000</v>
      </c>
      <c r="G1544" s="52">
        <v>36583000000</v>
      </c>
      <c r="H1544" s="52" t="s">
        <v>757</v>
      </c>
      <c r="I1544" s="52">
        <v>1923000000</v>
      </c>
      <c r="J1544" s="51" t="s">
        <v>14</v>
      </c>
      <c r="K1544" s="51" t="s">
        <v>206</v>
      </c>
      <c r="L1544" s="41">
        <f t="shared" si="120"/>
        <v>43474000000</v>
      </c>
      <c r="M1544" s="41">
        <f t="shared" si="121"/>
        <v>38506000000</v>
      </c>
      <c r="N1544" s="41">
        <f t="shared" si="122"/>
        <v>4968000000</v>
      </c>
      <c r="O1544" s="41">
        <f t="shared" si="123"/>
        <v>0.33874845445802992</v>
      </c>
      <c r="P1544" s="41">
        <f t="shared" si="124"/>
        <v>8.5313916746805885E-2</v>
      </c>
    </row>
    <row r="1545" spans="1:16" ht="19.95" customHeight="1">
      <c r="A1545" s="49">
        <v>1609</v>
      </c>
      <c r="B1545" s="50" t="s">
        <v>693</v>
      </c>
      <c r="C1545" s="51" t="s">
        <v>20</v>
      </c>
      <c r="D1545" s="51" t="s">
        <v>21</v>
      </c>
      <c r="E1545" s="52">
        <v>58363000000</v>
      </c>
      <c r="F1545" s="52">
        <v>12947000000</v>
      </c>
      <c r="G1545" s="52">
        <v>35664000000</v>
      </c>
      <c r="H1545" s="52" t="s">
        <v>757</v>
      </c>
      <c r="I1545" s="52">
        <v>2084000000</v>
      </c>
      <c r="J1545" s="51" t="s">
        <v>14</v>
      </c>
      <c r="K1545" s="51" t="s">
        <v>206</v>
      </c>
      <c r="L1545" s="41">
        <f t="shared" si="120"/>
        <v>45416000000</v>
      </c>
      <c r="M1545" s="41">
        <f t="shared" si="121"/>
        <v>37748000000</v>
      </c>
      <c r="N1545" s="41">
        <f t="shared" si="122"/>
        <v>7668000000</v>
      </c>
      <c r="O1545" s="41">
        <f t="shared" si="123"/>
        <v>0.35322036221578745</v>
      </c>
      <c r="P1545" s="41">
        <f t="shared" si="124"/>
        <v>0.13138461011257133</v>
      </c>
    </row>
    <row r="1546" spans="1:16" ht="19.95" customHeight="1">
      <c r="A1546" s="49">
        <v>1610</v>
      </c>
      <c r="B1546" s="50" t="s">
        <v>694</v>
      </c>
      <c r="C1546" s="51" t="s">
        <v>11</v>
      </c>
      <c r="D1546" s="51" t="s">
        <v>65</v>
      </c>
      <c r="E1546" s="52">
        <v>2794925000</v>
      </c>
      <c r="F1546" s="52">
        <v>1763394000</v>
      </c>
      <c r="G1546" s="52">
        <v>657246000</v>
      </c>
      <c r="H1546" s="52" t="s">
        <v>757</v>
      </c>
      <c r="I1546" s="52" t="s">
        <v>757</v>
      </c>
      <c r="J1546" s="51" t="s">
        <v>24</v>
      </c>
      <c r="K1546" s="51" t="s">
        <v>354</v>
      </c>
      <c r="L1546" s="41">
        <f t="shared" si="120"/>
        <v>1031531000</v>
      </c>
      <c r="M1546" s="41">
        <f t="shared" si="121"/>
        <v>657246000</v>
      </c>
      <c r="N1546" s="41">
        <f t="shared" si="122"/>
        <v>374285000</v>
      </c>
      <c r="O1546" s="41">
        <f t="shared" si="123"/>
        <v>0.764843063767364</v>
      </c>
      <c r="P1546" s="41">
        <f t="shared" si="124"/>
        <v>0.13391593692138429</v>
      </c>
    </row>
    <row r="1547" spans="1:16" ht="19.95" customHeight="1">
      <c r="A1547" s="49">
        <v>1611</v>
      </c>
      <c r="B1547" s="50" t="s">
        <v>694</v>
      </c>
      <c r="C1547" s="51" t="s">
        <v>16</v>
      </c>
      <c r="D1547" s="51" t="s">
        <v>66</v>
      </c>
      <c r="E1547" s="52">
        <v>3086608000</v>
      </c>
      <c r="F1547" s="52">
        <v>1925266000</v>
      </c>
      <c r="G1547" s="52">
        <v>734511000</v>
      </c>
      <c r="H1547" s="52" t="s">
        <v>757</v>
      </c>
      <c r="I1547" s="52" t="s">
        <v>757</v>
      </c>
      <c r="J1547" s="51" t="s">
        <v>24</v>
      </c>
      <c r="K1547" s="51" t="s">
        <v>354</v>
      </c>
      <c r="L1547" s="41">
        <f t="shared" si="120"/>
        <v>1161342000</v>
      </c>
      <c r="M1547" s="41">
        <f t="shared" si="121"/>
        <v>734511000</v>
      </c>
      <c r="N1547" s="41">
        <f t="shared" si="122"/>
        <v>426831000</v>
      </c>
      <c r="O1547" s="41">
        <f t="shared" si="123"/>
        <v>0.76203295008630834</v>
      </c>
      <c r="P1547" s="41">
        <f t="shared" si="124"/>
        <v>0.13828480973288476</v>
      </c>
    </row>
    <row r="1548" spans="1:16" ht="19.95" customHeight="1">
      <c r="A1548" s="49">
        <v>1612</v>
      </c>
      <c r="B1548" s="50" t="s">
        <v>694</v>
      </c>
      <c r="C1548" s="51" t="s">
        <v>18</v>
      </c>
      <c r="D1548" s="51" t="s">
        <v>67</v>
      </c>
      <c r="E1548" s="52">
        <v>3323077000</v>
      </c>
      <c r="F1548" s="52">
        <v>2148147000</v>
      </c>
      <c r="G1548" s="52">
        <v>809545000</v>
      </c>
      <c r="H1548" s="52" t="s">
        <v>757</v>
      </c>
      <c r="I1548" s="52" t="s">
        <v>757</v>
      </c>
      <c r="J1548" s="51" t="s">
        <v>24</v>
      </c>
      <c r="K1548" s="51" t="s">
        <v>354</v>
      </c>
      <c r="L1548" s="41">
        <f t="shared" si="120"/>
        <v>1174930000</v>
      </c>
      <c r="M1548" s="41">
        <f t="shared" si="121"/>
        <v>809545000</v>
      </c>
      <c r="N1548" s="41">
        <f t="shared" si="122"/>
        <v>365385000</v>
      </c>
      <c r="O1548" s="41">
        <f t="shared" si="123"/>
        <v>0.75638692693548781</v>
      </c>
      <c r="P1548" s="41">
        <f t="shared" si="124"/>
        <v>0.1099538168992172</v>
      </c>
    </row>
    <row r="1549" spans="1:16" ht="19.95" customHeight="1">
      <c r="A1549" s="49">
        <v>1613</v>
      </c>
      <c r="B1549" s="50" t="s">
        <v>694</v>
      </c>
      <c r="C1549" s="51" t="s">
        <v>20</v>
      </c>
      <c r="D1549" s="51" t="s">
        <v>68</v>
      </c>
      <c r="E1549" s="52">
        <v>3445134000</v>
      </c>
      <c r="F1549" s="52">
        <v>2243232000</v>
      </c>
      <c r="G1549" s="52">
        <v>848323000</v>
      </c>
      <c r="H1549" s="52" t="s">
        <v>757</v>
      </c>
      <c r="I1549" s="52" t="s">
        <v>757</v>
      </c>
      <c r="J1549" s="51" t="s">
        <v>24</v>
      </c>
      <c r="K1549" s="51" t="s">
        <v>354</v>
      </c>
      <c r="L1549" s="41">
        <f t="shared" si="120"/>
        <v>1201902000</v>
      </c>
      <c r="M1549" s="41">
        <f t="shared" si="121"/>
        <v>848323000</v>
      </c>
      <c r="N1549" s="41">
        <f t="shared" si="122"/>
        <v>353579000</v>
      </c>
      <c r="O1549" s="41">
        <f t="shared" si="123"/>
        <v>0.75376197268379108</v>
      </c>
      <c r="P1549" s="41">
        <f t="shared" si="124"/>
        <v>0.10263142159347068</v>
      </c>
    </row>
    <row r="1550" spans="1:16" ht="19.95" customHeight="1">
      <c r="A1550" s="49">
        <v>1614</v>
      </c>
      <c r="B1550" s="50" t="s">
        <v>695</v>
      </c>
      <c r="C1550" s="51" t="s">
        <v>11</v>
      </c>
      <c r="D1550" s="51" t="s">
        <v>436</v>
      </c>
      <c r="E1550" s="52">
        <v>2436948000</v>
      </c>
      <c r="F1550" s="52">
        <v>1589821000</v>
      </c>
      <c r="G1550" s="52">
        <v>441168000</v>
      </c>
      <c r="H1550" s="52">
        <v>62630000</v>
      </c>
      <c r="I1550" s="52" t="s">
        <v>757</v>
      </c>
      <c r="J1550" s="51" t="s">
        <v>75</v>
      </c>
      <c r="K1550" s="51" t="s">
        <v>146</v>
      </c>
      <c r="L1550" s="41">
        <f t="shared" si="120"/>
        <v>847127000</v>
      </c>
      <c r="M1550" s="41">
        <f t="shared" si="121"/>
        <v>503798000</v>
      </c>
      <c r="N1550" s="41">
        <f t="shared" si="122"/>
        <v>343329000</v>
      </c>
      <c r="O1550" s="41">
        <f t="shared" si="123"/>
        <v>0.79326682391253323</v>
      </c>
      <c r="P1550" s="41">
        <f t="shared" si="124"/>
        <v>0.14088482807183411</v>
      </c>
    </row>
    <row r="1551" spans="1:16" ht="19.95" customHeight="1">
      <c r="A1551" s="53">
        <v>1615</v>
      </c>
      <c r="B1551" s="54" t="s">
        <v>695</v>
      </c>
      <c r="C1551" s="55" t="s">
        <v>16</v>
      </c>
      <c r="D1551" s="55" t="s">
        <v>437</v>
      </c>
      <c r="E1551" s="56">
        <v>2473500000</v>
      </c>
      <c r="F1551" s="56">
        <v>1595700000</v>
      </c>
      <c r="G1551" s="56">
        <v>460300000</v>
      </c>
      <c r="H1551" s="56">
        <v>61800000</v>
      </c>
      <c r="I1551" s="56" t="s">
        <v>757</v>
      </c>
      <c r="J1551" s="55" t="s">
        <v>75</v>
      </c>
      <c r="K1551" s="55" t="s">
        <v>146</v>
      </c>
      <c r="L1551" s="57">
        <f t="shared" si="120"/>
        <v>877800000</v>
      </c>
      <c r="M1551" s="57">
        <f t="shared" si="121"/>
        <v>522100000</v>
      </c>
      <c r="N1551" s="57">
        <f t="shared" si="122"/>
        <v>355700000</v>
      </c>
      <c r="O1551" s="57">
        <f t="shared" si="123"/>
        <v>0.78892257934101473</v>
      </c>
      <c r="P1551" s="57">
        <f t="shared" si="124"/>
        <v>0.14380432585405295</v>
      </c>
    </row>
    <row r="1552" spans="1:16" ht="19.95" customHeight="1">
      <c r="A1552" s="49">
        <v>1616</v>
      </c>
      <c r="B1552" s="50" t="s">
        <v>695</v>
      </c>
      <c r="C1552" s="51" t="s">
        <v>18</v>
      </c>
      <c r="D1552" s="51" t="s">
        <v>438</v>
      </c>
      <c r="E1552" s="52">
        <v>2371200000</v>
      </c>
      <c r="F1552" s="52">
        <v>1562600000</v>
      </c>
      <c r="G1552" s="52">
        <v>460100000</v>
      </c>
      <c r="H1552" s="52">
        <v>60200000</v>
      </c>
      <c r="I1552" s="52" t="s">
        <v>757</v>
      </c>
      <c r="J1552" s="51" t="s">
        <v>75</v>
      </c>
      <c r="K1552" s="51" t="s">
        <v>146</v>
      </c>
      <c r="L1552" s="41">
        <f t="shared" si="120"/>
        <v>808600000</v>
      </c>
      <c r="M1552" s="41">
        <f t="shared" si="121"/>
        <v>520300000</v>
      </c>
      <c r="N1552" s="41">
        <f t="shared" si="122"/>
        <v>288300000</v>
      </c>
      <c r="O1552" s="41">
        <f t="shared" si="123"/>
        <v>0.78057523616734148</v>
      </c>
      <c r="P1552" s="41">
        <f t="shared" si="124"/>
        <v>0.12158400809716599</v>
      </c>
    </row>
    <row r="1553" spans="1:16" ht="19.95" customHeight="1">
      <c r="A1553" s="49">
        <v>1617</v>
      </c>
      <c r="B1553" s="50" t="s">
        <v>695</v>
      </c>
      <c r="C1553" s="51" t="s">
        <v>20</v>
      </c>
      <c r="D1553" s="51" t="s">
        <v>245</v>
      </c>
      <c r="E1553" s="52">
        <v>2220300000</v>
      </c>
      <c r="F1553" s="52">
        <v>1465500000</v>
      </c>
      <c r="G1553" s="52">
        <v>425100000</v>
      </c>
      <c r="H1553" s="52">
        <v>55500000</v>
      </c>
      <c r="I1553" s="52" t="s">
        <v>757</v>
      </c>
      <c r="J1553" s="51" t="s">
        <v>75</v>
      </c>
      <c r="K1553" s="51" t="s">
        <v>146</v>
      </c>
      <c r="L1553" s="41">
        <f t="shared" si="120"/>
        <v>754800000</v>
      </c>
      <c r="M1553" s="41">
        <f t="shared" si="121"/>
        <v>480600000</v>
      </c>
      <c r="N1553" s="41">
        <f t="shared" si="122"/>
        <v>274200000</v>
      </c>
      <c r="O1553" s="41">
        <f t="shared" si="123"/>
        <v>0.7835427644912849</v>
      </c>
      <c r="P1553" s="41">
        <f t="shared" si="124"/>
        <v>0.1234968247534117</v>
      </c>
    </row>
    <row r="1554" spans="1:16" ht="19.95" customHeight="1">
      <c r="A1554" s="49">
        <v>1618</v>
      </c>
      <c r="B1554" s="50" t="s">
        <v>696</v>
      </c>
      <c r="C1554" s="51" t="s">
        <v>11</v>
      </c>
      <c r="D1554" s="51" t="s">
        <v>17</v>
      </c>
      <c r="E1554" s="52">
        <v>56600000000</v>
      </c>
      <c r="F1554" s="52">
        <v>40468000000</v>
      </c>
      <c r="G1554" s="52">
        <v>5241000000</v>
      </c>
      <c r="H1554" s="52">
        <v>2342000000</v>
      </c>
      <c r="I1554" s="52" t="s">
        <v>757</v>
      </c>
      <c r="J1554" s="51" t="s">
        <v>14</v>
      </c>
      <c r="K1554" s="51" t="s">
        <v>224</v>
      </c>
      <c r="L1554" s="41">
        <f t="shared" si="120"/>
        <v>16132000000</v>
      </c>
      <c r="M1554" s="41">
        <f t="shared" si="121"/>
        <v>7583000000</v>
      </c>
      <c r="N1554" s="41">
        <f t="shared" si="122"/>
        <v>8549000000</v>
      </c>
      <c r="O1554" s="41">
        <f t="shared" si="123"/>
        <v>0.86602473498233212</v>
      </c>
      <c r="P1554" s="41">
        <f t="shared" si="124"/>
        <v>0.15104240282685513</v>
      </c>
    </row>
    <row r="1555" spans="1:16" ht="19.95" customHeight="1">
      <c r="A1555" s="49">
        <v>1619</v>
      </c>
      <c r="B1555" s="50" t="s">
        <v>696</v>
      </c>
      <c r="C1555" s="51" t="s">
        <v>16</v>
      </c>
      <c r="D1555" s="51" t="s">
        <v>19</v>
      </c>
      <c r="E1555" s="52">
        <v>57900000000</v>
      </c>
      <c r="F1555" s="52">
        <v>40898000000</v>
      </c>
      <c r="G1555" s="52">
        <v>4934000000</v>
      </c>
      <c r="H1555" s="52">
        <v>2475000000</v>
      </c>
      <c r="I1555" s="52" t="s">
        <v>757</v>
      </c>
      <c r="J1555" s="51" t="s">
        <v>14</v>
      </c>
      <c r="K1555" s="51" t="s">
        <v>224</v>
      </c>
      <c r="L1555" s="41">
        <f t="shared" si="120"/>
        <v>17002000000</v>
      </c>
      <c r="M1555" s="41">
        <f t="shared" si="121"/>
        <v>7409000000</v>
      </c>
      <c r="N1555" s="41">
        <f t="shared" si="122"/>
        <v>9593000000</v>
      </c>
      <c r="O1555" s="41">
        <f t="shared" si="123"/>
        <v>0.87203799654576852</v>
      </c>
      <c r="P1555" s="41">
        <f t="shared" si="124"/>
        <v>0.16568221070811745</v>
      </c>
    </row>
    <row r="1556" spans="1:16" ht="19.95" customHeight="1">
      <c r="A1556" s="49">
        <v>1620</v>
      </c>
      <c r="B1556" s="50" t="s">
        <v>696</v>
      </c>
      <c r="C1556" s="51" t="s">
        <v>18</v>
      </c>
      <c r="D1556" s="51" t="s">
        <v>21</v>
      </c>
      <c r="E1556" s="52">
        <v>56098000000</v>
      </c>
      <c r="F1556" s="52">
        <v>40431000000</v>
      </c>
      <c r="G1556" s="52">
        <v>6097000000</v>
      </c>
      <c r="H1556" s="52">
        <v>2279000000</v>
      </c>
      <c r="I1556" s="52" t="s">
        <v>757</v>
      </c>
      <c r="J1556" s="51" t="s">
        <v>14</v>
      </c>
      <c r="K1556" s="51" t="s">
        <v>224</v>
      </c>
      <c r="L1556" s="41">
        <f t="shared" si="120"/>
        <v>15667000000</v>
      </c>
      <c r="M1556" s="41">
        <f t="shared" si="121"/>
        <v>8376000000</v>
      </c>
      <c r="N1556" s="41">
        <f t="shared" si="122"/>
        <v>7291000000</v>
      </c>
      <c r="O1556" s="41">
        <f t="shared" si="123"/>
        <v>0.85068986416628045</v>
      </c>
      <c r="P1556" s="41">
        <f t="shared" si="124"/>
        <v>0.12996898285143854</v>
      </c>
    </row>
    <row r="1557" spans="1:16" ht="19.95" customHeight="1">
      <c r="A1557" s="49">
        <v>1621</v>
      </c>
      <c r="B1557" s="50" t="s">
        <v>696</v>
      </c>
      <c r="C1557" s="51" t="s">
        <v>20</v>
      </c>
      <c r="D1557" s="51" t="s">
        <v>84</v>
      </c>
      <c r="E1557" s="52">
        <v>57244000000</v>
      </c>
      <c r="F1557" s="52">
        <v>41460000000</v>
      </c>
      <c r="G1557" s="52">
        <v>5275000000</v>
      </c>
      <c r="H1557" s="52">
        <v>2337000000</v>
      </c>
      <c r="I1557" s="52" t="s">
        <v>757</v>
      </c>
      <c r="J1557" s="51" t="s">
        <v>14</v>
      </c>
      <c r="K1557" s="51" t="s">
        <v>224</v>
      </c>
      <c r="L1557" s="41">
        <f t="shared" si="120"/>
        <v>15784000000</v>
      </c>
      <c r="M1557" s="41">
        <f t="shared" si="121"/>
        <v>7612000000</v>
      </c>
      <c r="N1557" s="41">
        <f t="shared" si="122"/>
        <v>8172000000</v>
      </c>
      <c r="O1557" s="41">
        <f t="shared" si="123"/>
        <v>0.86702536510376627</v>
      </c>
      <c r="P1557" s="41">
        <f t="shared" si="124"/>
        <v>0.1427573195444064</v>
      </c>
    </row>
    <row r="1558" spans="1:16" ht="19.95" customHeight="1">
      <c r="A1558" s="49">
        <v>1622</v>
      </c>
      <c r="B1558" s="50" t="s">
        <v>697</v>
      </c>
      <c r="C1558" s="51" t="s">
        <v>11</v>
      </c>
      <c r="D1558" s="51" t="s">
        <v>40</v>
      </c>
      <c r="E1558" s="52">
        <v>11778000000</v>
      </c>
      <c r="F1558" s="52">
        <v>1932000000</v>
      </c>
      <c r="G1558" s="52">
        <v>2207000000</v>
      </c>
      <c r="H1558" s="52" t="s">
        <v>757</v>
      </c>
      <c r="I1558" s="52">
        <v>397000000</v>
      </c>
      <c r="J1558" s="51" t="s">
        <v>31</v>
      </c>
      <c r="K1558" s="51" t="s">
        <v>86</v>
      </c>
      <c r="L1558" s="41">
        <f t="shared" si="120"/>
        <v>9846000000</v>
      </c>
      <c r="M1558" s="41">
        <f t="shared" si="121"/>
        <v>2604000000</v>
      </c>
      <c r="N1558" s="41">
        <f t="shared" si="122"/>
        <v>7242000000</v>
      </c>
      <c r="O1558" s="41">
        <f t="shared" si="123"/>
        <v>0.77890983188996432</v>
      </c>
      <c r="P1558" s="41">
        <f t="shared" si="124"/>
        <v>0.61487519103413146</v>
      </c>
    </row>
    <row r="1559" spans="1:16" ht="19.95" customHeight="1">
      <c r="A1559" s="49">
        <v>1623</v>
      </c>
      <c r="B1559" s="50" t="s">
        <v>697</v>
      </c>
      <c r="C1559" s="51" t="s">
        <v>16</v>
      </c>
      <c r="D1559" s="51" t="s">
        <v>42</v>
      </c>
      <c r="E1559" s="52">
        <v>12702000000</v>
      </c>
      <c r="F1559" s="52">
        <v>1875000000</v>
      </c>
      <c r="G1559" s="52">
        <v>2242000000</v>
      </c>
      <c r="H1559" s="52" t="s">
        <v>757</v>
      </c>
      <c r="I1559" s="52">
        <v>435000000</v>
      </c>
      <c r="J1559" s="51" t="s">
        <v>31</v>
      </c>
      <c r="K1559" s="51" t="s">
        <v>86</v>
      </c>
      <c r="L1559" s="41">
        <f t="shared" si="120"/>
        <v>10827000000</v>
      </c>
      <c r="M1559" s="41">
        <f t="shared" si="121"/>
        <v>2677000000</v>
      </c>
      <c r="N1559" s="41">
        <f t="shared" si="122"/>
        <v>8150000000</v>
      </c>
      <c r="O1559" s="41">
        <f t="shared" si="123"/>
        <v>0.78924578806487167</v>
      </c>
      <c r="P1559" s="41">
        <f t="shared" si="124"/>
        <v>0.64163123917493303</v>
      </c>
    </row>
    <row r="1560" spans="1:16" ht="19.95" customHeight="1">
      <c r="A1560" s="49">
        <v>1624</v>
      </c>
      <c r="B1560" s="50" t="s">
        <v>697</v>
      </c>
      <c r="C1560" s="51" t="s">
        <v>18</v>
      </c>
      <c r="D1560" s="51" t="s">
        <v>43</v>
      </c>
      <c r="E1560" s="52">
        <v>13880000000</v>
      </c>
      <c r="F1560" s="52">
        <v>2079000000</v>
      </c>
      <c r="G1560" s="52">
        <v>2229000000</v>
      </c>
      <c r="H1560" s="52" t="s">
        <v>757</v>
      </c>
      <c r="I1560" s="52">
        <v>494000000</v>
      </c>
      <c r="J1560" s="51" t="s">
        <v>31</v>
      </c>
      <c r="K1560" s="51" t="s">
        <v>86</v>
      </c>
      <c r="L1560" s="41">
        <f t="shared" si="120"/>
        <v>11801000000</v>
      </c>
      <c r="M1560" s="41">
        <f t="shared" si="121"/>
        <v>2723000000</v>
      </c>
      <c r="N1560" s="41">
        <f t="shared" si="122"/>
        <v>9078000000</v>
      </c>
      <c r="O1560" s="41">
        <f t="shared" si="123"/>
        <v>0.80381844380403455</v>
      </c>
      <c r="P1560" s="41">
        <f t="shared" si="124"/>
        <v>0.65403458213256482</v>
      </c>
    </row>
    <row r="1561" spans="1:16" ht="19.95" customHeight="1">
      <c r="A1561" s="49">
        <v>1625</v>
      </c>
      <c r="B1561" s="50" t="s">
        <v>697</v>
      </c>
      <c r="C1561" s="51" t="s">
        <v>20</v>
      </c>
      <c r="D1561" s="51" t="s">
        <v>44</v>
      </c>
      <c r="E1561" s="52">
        <v>15082000000</v>
      </c>
      <c r="F1561" s="52">
        <v>2226000000</v>
      </c>
      <c r="G1561" s="52">
        <v>4469000000</v>
      </c>
      <c r="H1561" s="52" t="s">
        <v>757</v>
      </c>
      <c r="I1561" s="52">
        <v>502000000</v>
      </c>
      <c r="J1561" s="51" t="s">
        <v>31</v>
      </c>
      <c r="K1561" s="51" t="s">
        <v>86</v>
      </c>
      <c r="L1561" s="41">
        <f t="shared" si="120"/>
        <v>12856000000</v>
      </c>
      <c r="M1561" s="41">
        <f t="shared" si="121"/>
        <v>4971000000</v>
      </c>
      <c r="N1561" s="41">
        <f t="shared" si="122"/>
        <v>7885000000</v>
      </c>
      <c r="O1561" s="41">
        <f t="shared" si="123"/>
        <v>0.6704018034743402</v>
      </c>
      <c r="P1561" s="41">
        <f t="shared" si="124"/>
        <v>0.52280864606816069</v>
      </c>
    </row>
    <row r="1562" spans="1:16" ht="19.95" customHeight="1">
      <c r="A1562" s="49">
        <v>1626</v>
      </c>
      <c r="B1562" s="50" t="s">
        <v>698</v>
      </c>
      <c r="C1562" s="51" t="s">
        <v>11</v>
      </c>
      <c r="D1562" s="51" t="s">
        <v>449</v>
      </c>
      <c r="E1562" s="52">
        <v>2942897000</v>
      </c>
      <c r="F1562" s="52">
        <v>1693210000</v>
      </c>
      <c r="G1562" s="52">
        <v>432589000</v>
      </c>
      <c r="H1562" s="52">
        <v>208208000</v>
      </c>
      <c r="I1562" s="52" t="s">
        <v>757</v>
      </c>
      <c r="J1562" s="51" t="s">
        <v>37</v>
      </c>
      <c r="K1562" s="51" t="s">
        <v>46</v>
      </c>
      <c r="L1562" s="41">
        <f t="shared" si="120"/>
        <v>1249687000</v>
      </c>
      <c r="M1562" s="41">
        <f t="shared" si="121"/>
        <v>640797000</v>
      </c>
      <c r="N1562" s="41">
        <f t="shared" si="122"/>
        <v>608890000</v>
      </c>
      <c r="O1562" s="41">
        <f t="shared" si="123"/>
        <v>0.78225639565367056</v>
      </c>
      <c r="P1562" s="41">
        <f t="shared" si="124"/>
        <v>0.20690156672149926</v>
      </c>
    </row>
    <row r="1563" spans="1:16" ht="19.95" customHeight="1">
      <c r="A1563" s="49">
        <v>1627</v>
      </c>
      <c r="B1563" s="50" t="s">
        <v>698</v>
      </c>
      <c r="C1563" s="51" t="s">
        <v>16</v>
      </c>
      <c r="D1563" s="51" t="s">
        <v>450</v>
      </c>
      <c r="E1563" s="52">
        <v>3049800000</v>
      </c>
      <c r="F1563" s="52">
        <v>1748100000</v>
      </c>
      <c r="G1563" s="52">
        <v>470600000</v>
      </c>
      <c r="H1563" s="52">
        <v>234800000</v>
      </c>
      <c r="I1563" s="52" t="s">
        <v>757</v>
      </c>
      <c r="J1563" s="51" t="s">
        <v>37</v>
      </c>
      <c r="K1563" s="51" t="s">
        <v>46</v>
      </c>
      <c r="L1563" s="41">
        <f t="shared" si="120"/>
        <v>1301700000</v>
      </c>
      <c r="M1563" s="41">
        <f t="shared" si="121"/>
        <v>705400000</v>
      </c>
      <c r="N1563" s="41">
        <f t="shared" si="122"/>
        <v>596300000</v>
      </c>
      <c r="O1563" s="41">
        <f t="shared" si="123"/>
        <v>0.76870614466522391</v>
      </c>
      <c r="P1563" s="41">
        <f t="shared" si="124"/>
        <v>0.19552101777165715</v>
      </c>
    </row>
    <row r="1564" spans="1:16" ht="19.95" customHeight="1">
      <c r="A1564" s="49">
        <v>1628</v>
      </c>
      <c r="B1564" s="50" t="s">
        <v>698</v>
      </c>
      <c r="C1564" s="51" t="s">
        <v>18</v>
      </c>
      <c r="D1564" s="51" t="s">
        <v>451</v>
      </c>
      <c r="E1564" s="52">
        <v>3099100000</v>
      </c>
      <c r="F1564" s="52">
        <v>1816400000</v>
      </c>
      <c r="G1564" s="52">
        <v>488500000</v>
      </c>
      <c r="H1564" s="52">
        <v>245200000</v>
      </c>
      <c r="I1564" s="52" t="s">
        <v>757</v>
      </c>
      <c r="J1564" s="51" t="s">
        <v>37</v>
      </c>
      <c r="K1564" s="51" t="s">
        <v>46</v>
      </c>
      <c r="L1564" s="41">
        <f t="shared" si="120"/>
        <v>1282700000</v>
      </c>
      <c r="M1564" s="41">
        <f t="shared" si="121"/>
        <v>733700000</v>
      </c>
      <c r="N1564" s="41">
        <f t="shared" si="122"/>
        <v>549000000</v>
      </c>
      <c r="O1564" s="41">
        <f t="shared" si="123"/>
        <v>0.76325384789132333</v>
      </c>
      <c r="P1564" s="41">
        <f t="shared" si="124"/>
        <v>0.17714820431738246</v>
      </c>
    </row>
    <row r="1565" spans="1:16" ht="19.95" customHeight="1">
      <c r="A1565" s="49">
        <v>1629</v>
      </c>
      <c r="B1565" s="50" t="s">
        <v>698</v>
      </c>
      <c r="C1565" s="51" t="s">
        <v>20</v>
      </c>
      <c r="D1565" s="51" t="s">
        <v>44</v>
      </c>
      <c r="E1565" s="52">
        <v>3217800000</v>
      </c>
      <c r="F1565" s="52">
        <v>1856500000</v>
      </c>
      <c r="G1565" s="52">
        <v>557000000</v>
      </c>
      <c r="H1565" s="52">
        <v>253500000</v>
      </c>
      <c r="I1565" s="52" t="s">
        <v>757</v>
      </c>
      <c r="J1565" s="51" t="s">
        <v>37</v>
      </c>
      <c r="K1565" s="51" t="s">
        <v>46</v>
      </c>
      <c r="L1565" s="41">
        <f t="shared" si="120"/>
        <v>1361300000</v>
      </c>
      <c r="M1565" s="41">
        <f t="shared" si="121"/>
        <v>810500000</v>
      </c>
      <c r="N1565" s="41">
        <f t="shared" si="122"/>
        <v>550800000</v>
      </c>
      <c r="O1565" s="41">
        <f t="shared" si="123"/>
        <v>0.74811983342656474</v>
      </c>
      <c r="P1565" s="41">
        <f t="shared" si="124"/>
        <v>0.17117285101622226</v>
      </c>
    </row>
    <row r="1566" spans="1:16" ht="19.95" customHeight="1">
      <c r="A1566" s="49">
        <v>1630</v>
      </c>
      <c r="B1566" s="50" t="s">
        <v>699</v>
      </c>
      <c r="C1566" s="51" t="s">
        <v>11</v>
      </c>
      <c r="D1566" s="51" t="s">
        <v>12</v>
      </c>
      <c r="E1566" s="52">
        <v>10879855000</v>
      </c>
      <c r="F1566" s="52">
        <v>5817880000</v>
      </c>
      <c r="G1566" s="52">
        <v>3596708000</v>
      </c>
      <c r="H1566" s="52" t="s">
        <v>757</v>
      </c>
      <c r="I1566" s="52" t="s">
        <v>757</v>
      </c>
      <c r="J1566" s="51" t="s">
        <v>24</v>
      </c>
      <c r="K1566" s="51" t="s">
        <v>391</v>
      </c>
      <c r="L1566" s="41">
        <f t="shared" si="120"/>
        <v>5061975000</v>
      </c>
      <c r="M1566" s="41">
        <f t="shared" si="121"/>
        <v>3596708000</v>
      </c>
      <c r="N1566" s="41">
        <f t="shared" si="122"/>
        <v>1465267000</v>
      </c>
      <c r="O1566" s="41">
        <f t="shared" si="123"/>
        <v>0.669415814824738</v>
      </c>
      <c r="P1566" s="41">
        <f t="shared" si="124"/>
        <v>0.1346770706043417</v>
      </c>
    </row>
    <row r="1567" spans="1:16" ht="19.95" customHeight="1">
      <c r="A1567" s="49">
        <v>1631</v>
      </c>
      <c r="B1567" s="50" t="s">
        <v>699</v>
      </c>
      <c r="C1567" s="51" t="s">
        <v>16</v>
      </c>
      <c r="D1567" s="51" t="s">
        <v>17</v>
      </c>
      <c r="E1567" s="52">
        <v>11419648000</v>
      </c>
      <c r="F1567" s="52">
        <v>5931469000</v>
      </c>
      <c r="G1567" s="52">
        <v>3841032000</v>
      </c>
      <c r="H1567" s="52" t="s">
        <v>757</v>
      </c>
      <c r="I1567" s="52" t="s">
        <v>757</v>
      </c>
      <c r="J1567" s="51" t="s">
        <v>24</v>
      </c>
      <c r="K1567" s="51" t="s">
        <v>391</v>
      </c>
      <c r="L1567" s="41">
        <f t="shared" si="120"/>
        <v>5488179000</v>
      </c>
      <c r="M1567" s="41">
        <f t="shared" si="121"/>
        <v>3841032000</v>
      </c>
      <c r="N1567" s="41">
        <f t="shared" si="122"/>
        <v>1647147000</v>
      </c>
      <c r="O1567" s="41">
        <f t="shared" si="123"/>
        <v>0.66364707563665704</v>
      </c>
      <c r="P1567" s="41">
        <f t="shared" si="124"/>
        <v>0.14423798351753048</v>
      </c>
    </row>
    <row r="1568" spans="1:16" ht="19.95" customHeight="1">
      <c r="A1568" s="49">
        <v>1632</v>
      </c>
      <c r="B1568" s="50" t="s">
        <v>699</v>
      </c>
      <c r="C1568" s="51" t="s">
        <v>18</v>
      </c>
      <c r="D1568" s="51" t="s">
        <v>27</v>
      </c>
      <c r="E1568" s="52">
        <v>12282161000</v>
      </c>
      <c r="F1568" s="52">
        <v>6288190000</v>
      </c>
      <c r="G1568" s="52">
        <v>4159885000</v>
      </c>
      <c r="H1568" s="52" t="s">
        <v>757</v>
      </c>
      <c r="I1568" s="52" t="s">
        <v>757</v>
      </c>
      <c r="J1568" s="51" t="s">
        <v>24</v>
      </c>
      <c r="K1568" s="51" t="s">
        <v>391</v>
      </c>
      <c r="L1568" s="41">
        <f t="shared" si="120"/>
        <v>5993971000</v>
      </c>
      <c r="M1568" s="41">
        <f t="shared" si="121"/>
        <v>4159885000</v>
      </c>
      <c r="N1568" s="41">
        <f t="shared" si="122"/>
        <v>1834086000</v>
      </c>
      <c r="O1568" s="41">
        <f t="shared" si="123"/>
        <v>0.66130675212611201</v>
      </c>
      <c r="P1568" s="41">
        <f t="shared" si="124"/>
        <v>0.1493292589146161</v>
      </c>
    </row>
    <row r="1569" spans="1:16" ht="19.95" customHeight="1">
      <c r="A1569" s="49">
        <v>1633</v>
      </c>
      <c r="B1569" s="50" t="s">
        <v>699</v>
      </c>
      <c r="C1569" s="51" t="s">
        <v>20</v>
      </c>
      <c r="D1569" s="51" t="s">
        <v>28</v>
      </c>
      <c r="E1569" s="52">
        <v>12376744000</v>
      </c>
      <c r="F1569" s="52">
        <v>6393800000</v>
      </c>
      <c r="G1569" s="52">
        <v>4178386000</v>
      </c>
      <c r="H1569" s="52" t="s">
        <v>757</v>
      </c>
      <c r="I1569" s="52" t="s">
        <v>757</v>
      </c>
      <c r="J1569" s="51" t="s">
        <v>24</v>
      </c>
      <c r="K1569" s="51" t="s">
        <v>391</v>
      </c>
      <c r="L1569" s="41">
        <f t="shared" si="120"/>
        <v>5982944000</v>
      </c>
      <c r="M1569" s="41">
        <f t="shared" si="121"/>
        <v>4178386000</v>
      </c>
      <c r="N1569" s="41">
        <f t="shared" si="122"/>
        <v>1804558000</v>
      </c>
      <c r="O1569" s="41">
        <f t="shared" si="123"/>
        <v>0.66240022416234834</v>
      </c>
      <c r="P1569" s="41">
        <f t="shared" si="124"/>
        <v>0.14580232086888117</v>
      </c>
    </row>
    <row r="1570" spans="1:16" ht="19.95" customHeight="1">
      <c r="A1570" s="49">
        <v>1634</v>
      </c>
      <c r="B1570" s="50" t="s">
        <v>700</v>
      </c>
      <c r="C1570" s="51" t="s">
        <v>11</v>
      </c>
      <c r="D1570" s="51" t="s">
        <v>40</v>
      </c>
      <c r="E1570" s="52">
        <v>13794000000</v>
      </c>
      <c r="F1570" s="52">
        <v>6799000000</v>
      </c>
      <c r="G1570" s="52">
        <v>2829000000</v>
      </c>
      <c r="H1570" s="52" t="s">
        <v>757</v>
      </c>
      <c r="I1570" s="52">
        <v>237000000</v>
      </c>
      <c r="J1570" s="51" t="s">
        <v>24</v>
      </c>
      <c r="K1570" s="51" t="s">
        <v>294</v>
      </c>
      <c r="L1570" s="41">
        <f t="shared" si="120"/>
        <v>6995000000</v>
      </c>
      <c r="M1570" s="41">
        <f t="shared" si="121"/>
        <v>3066000000</v>
      </c>
      <c r="N1570" s="41">
        <f t="shared" si="122"/>
        <v>3929000000</v>
      </c>
      <c r="O1570" s="41">
        <f t="shared" si="123"/>
        <v>0.7777294475859069</v>
      </c>
      <c r="P1570" s="41">
        <f t="shared" si="124"/>
        <v>0.28483398579092362</v>
      </c>
    </row>
    <row r="1571" spans="1:16" ht="19.95" customHeight="1">
      <c r="A1571" s="49">
        <v>1635</v>
      </c>
      <c r="B1571" s="50" t="s">
        <v>700</v>
      </c>
      <c r="C1571" s="51" t="s">
        <v>16</v>
      </c>
      <c r="D1571" s="51" t="s">
        <v>42</v>
      </c>
      <c r="E1571" s="52">
        <v>13783000000</v>
      </c>
      <c r="F1571" s="52">
        <v>6542000000</v>
      </c>
      <c r="G1571" s="52">
        <v>2899000000</v>
      </c>
      <c r="H1571" s="52" t="s">
        <v>757</v>
      </c>
      <c r="I1571" s="52">
        <v>217000000</v>
      </c>
      <c r="J1571" s="51" t="s">
        <v>24</v>
      </c>
      <c r="K1571" s="51" t="s">
        <v>294</v>
      </c>
      <c r="L1571" s="41">
        <f t="shared" si="120"/>
        <v>7241000000</v>
      </c>
      <c r="M1571" s="41">
        <f t="shared" si="121"/>
        <v>3116000000</v>
      </c>
      <c r="N1571" s="41">
        <f t="shared" si="122"/>
        <v>4125000000</v>
      </c>
      <c r="O1571" s="41">
        <f t="shared" si="123"/>
        <v>0.77392439962272364</v>
      </c>
      <c r="P1571" s="41">
        <f t="shared" si="124"/>
        <v>0.29928172386272944</v>
      </c>
    </row>
    <row r="1572" spans="1:16" ht="19.95" customHeight="1">
      <c r="A1572" s="49">
        <v>1636</v>
      </c>
      <c r="B1572" s="50" t="s">
        <v>700</v>
      </c>
      <c r="C1572" s="51" t="s">
        <v>18</v>
      </c>
      <c r="D1572" s="51" t="s">
        <v>43</v>
      </c>
      <c r="E1572" s="52">
        <v>13268000000</v>
      </c>
      <c r="F1572" s="52">
        <v>6868000000</v>
      </c>
      <c r="G1572" s="52">
        <v>2860000000</v>
      </c>
      <c r="H1572" s="52" t="s">
        <v>757</v>
      </c>
      <c r="I1572" s="52">
        <v>222000000</v>
      </c>
      <c r="J1572" s="51" t="s">
        <v>24</v>
      </c>
      <c r="K1572" s="51" t="s">
        <v>294</v>
      </c>
      <c r="L1572" s="41">
        <f t="shared" si="120"/>
        <v>6400000000</v>
      </c>
      <c r="M1572" s="41">
        <f t="shared" si="121"/>
        <v>3082000000</v>
      </c>
      <c r="N1572" s="41">
        <f t="shared" si="122"/>
        <v>3318000000</v>
      </c>
      <c r="O1572" s="41">
        <f t="shared" si="123"/>
        <v>0.76771178776002413</v>
      </c>
      <c r="P1572" s="41">
        <f t="shared" si="124"/>
        <v>0.2500753693096171</v>
      </c>
    </row>
    <row r="1573" spans="1:16" ht="19.95" customHeight="1">
      <c r="A1573" s="49">
        <v>1637</v>
      </c>
      <c r="B1573" s="50" t="s">
        <v>700</v>
      </c>
      <c r="C1573" s="51" t="s">
        <v>20</v>
      </c>
      <c r="D1573" s="51" t="s">
        <v>44</v>
      </c>
      <c r="E1573" s="52">
        <v>12488000000</v>
      </c>
      <c r="F1573" s="52">
        <v>6684000000</v>
      </c>
      <c r="G1573" s="52">
        <v>2851000000</v>
      </c>
      <c r="H1573" s="52" t="s">
        <v>757</v>
      </c>
      <c r="I1573" s="52">
        <v>221000000</v>
      </c>
      <c r="J1573" s="51" t="s">
        <v>24</v>
      </c>
      <c r="K1573" s="51" t="s">
        <v>294</v>
      </c>
      <c r="L1573" s="41">
        <f t="shared" si="120"/>
        <v>5804000000</v>
      </c>
      <c r="M1573" s="41">
        <f t="shared" si="121"/>
        <v>3072000000</v>
      </c>
      <c r="N1573" s="41">
        <f t="shared" si="122"/>
        <v>2732000000</v>
      </c>
      <c r="O1573" s="41">
        <f t="shared" si="123"/>
        <v>0.75400384368994233</v>
      </c>
      <c r="P1573" s="41">
        <f t="shared" si="124"/>
        <v>0.21877001921844971</v>
      </c>
    </row>
    <row r="1574" spans="1:16" ht="19.95" customHeight="1">
      <c r="A1574" s="49">
        <v>1638</v>
      </c>
      <c r="B1574" s="50" t="s">
        <v>701</v>
      </c>
      <c r="C1574" s="51" t="s">
        <v>11</v>
      </c>
      <c r="D1574" s="51" t="s">
        <v>12</v>
      </c>
      <c r="E1574" s="52">
        <v>1383930000</v>
      </c>
      <c r="F1574" s="52">
        <v>126485000000</v>
      </c>
      <c r="G1574" s="52">
        <v>5229000000</v>
      </c>
      <c r="H1574" s="52" t="s">
        <v>757</v>
      </c>
      <c r="I1574" s="52">
        <v>1549000000</v>
      </c>
      <c r="J1574" s="51" t="s">
        <v>116</v>
      </c>
      <c r="K1574" s="51" t="s">
        <v>462</v>
      </c>
      <c r="L1574" s="41">
        <f t="shared" si="120"/>
        <v>-125101070000</v>
      </c>
      <c r="M1574" s="41">
        <f t="shared" si="121"/>
        <v>6778000000</v>
      </c>
      <c r="N1574" s="41">
        <f t="shared" si="122"/>
        <v>-131879070000</v>
      </c>
      <c r="O1574" s="41">
        <f t="shared" si="123"/>
        <v>-3.8976465572680699</v>
      </c>
      <c r="P1574" s="41">
        <f t="shared" si="124"/>
        <v>-95.29316511673278</v>
      </c>
    </row>
    <row r="1575" spans="1:16" ht="19.95" customHeight="1">
      <c r="A1575" s="53">
        <v>1639</v>
      </c>
      <c r="B1575" s="54" t="s">
        <v>701</v>
      </c>
      <c r="C1575" s="55" t="s">
        <v>16</v>
      </c>
      <c r="D1575" s="55" t="s">
        <v>17</v>
      </c>
      <c r="E1575" s="56">
        <v>1380740000</v>
      </c>
      <c r="F1575" s="56">
        <v>127316000000</v>
      </c>
      <c r="G1575" s="56">
        <v>5081000000</v>
      </c>
      <c r="H1575" s="56" t="s">
        <v>757</v>
      </c>
      <c r="I1575" s="56">
        <v>1720000000</v>
      </c>
      <c r="J1575" s="55" t="s">
        <v>116</v>
      </c>
      <c r="K1575" s="55" t="s">
        <v>462</v>
      </c>
      <c r="L1575" s="57">
        <f t="shared" si="120"/>
        <v>-125935260000</v>
      </c>
      <c r="M1575" s="57">
        <f t="shared" si="121"/>
        <v>6801000000</v>
      </c>
      <c r="N1575" s="57">
        <f t="shared" si="122"/>
        <v>-132736260000</v>
      </c>
      <c r="O1575" s="57">
        <f t="shared" si="123"/>
        <v>-3.9256195952894828</v>
      </c>
      <c r="P1575" s="57">
        <f t="shared" si="124"/>
        <v>-96.134145458232538</v>
      </c>
    </row>
    <row r="1576" spans="1:16" ht="19.95" customHeight="1">
      <c r="A1576" s="49">
        <v>1640</v>
      </c>
      <c r="B1576" s="50" t="s">
        <v>701</v>
      </c>
      <c r="C1576" s="51" t="s">
        <v>18</v>
      </c>
      <c r="D1576" s="51" t="s">
        <v>19</v>
      </c>
      <c r="E1576" s="52">
        <v>130844000000</v>
      </c>
      <c r="F1576" s="52">
        <v>118141000000</v>
      </c>
      <c r="G1576" s="52">
        <v>5111000000</v>
      </c>
      <c r="H1576" s="52" t="s">
        <v>757</v>
      </c>
      <c r="I1576" s="52">
        <v>1690000000</v>
      </c>
      <c r="J1576" s="51" t="s">
        <v>116</v>
      </c>
      <c r="K1576" s="51" t="s">
        <v>462</v>
      </c>
      <c r="L1576" s="41">
        <f t="shared" si="120"/>
        <v>12703000000</v>
      </c>
      <c r="M1576" s="41">
        <f t="shared" si="121"/>
        <v>6801000000</v>
      </c>
      <c r="N1576" s="41">
        <f t="shared" si="122"/>
        <v>5902000000</v>
      </c>
      <c r="O1576" s="41">
        <f t="shared" si="123"/>
        <v>0.94802207208584266</v>
      </c>
      <c r="P1576" s="41">
        <f t="shared" si="124"/>
        <v>4.5107150499831862E-2</v>
      </c>
    </row>
    <row r="1577" spans="1:16" ht="19.95" customHeight="1">
      <c r="A1577" s="49">
        <v>1641</v>
      </c>
      <c r="B1577" s="50" t="s">
        <v>701</v>
      </c>
      <c r="C1577" s="51" t="s">
        <v>20</v>
      </c>
      <c r="D1577" s="51" t="s">
        <v>21</v>
      </c>
      <c r="E1577" s="52">
        <v>87804000000</v>
      </c>
      <c r="F1577" s="52">
        <v>74651000000</v>
      </c>
      <c r="G1577" s="52">
        <v>4953000000</v>
      </c>
      <c r="H1577" s="52" t="s">
        <v>757</v>
      </c>
      <c r="I1577" s="52">
        <v>1842000000</v>
      </c>
      <c r="J1577" s="51" t="s">
        <v>116</v>
      </c>
      <c r="K1577" s="51" t="s">
        <v>462</v>
      </c>
      <c r="L1577" s="41">
        <f t="shared" si="120"/>
        <v>13153000000</v>
      </c>
      <c r="M1577" s="41">
        <f t="shared" si="121"/>
        <v>6795000000</v>
      </c>
      <c r="N1577" s="41">
        <f t="shared" si="122"/>
        <v>6358000000</v>
      </c>
      <c r="O1577" s="41">
        <f t="shared" si="123"/>
        <v>0.92261172611726117</v>
      </c>
      <c r="P1577" s="41">
        <f t="shared" si="124"/>
        <v>7.2411279668352244E-2</v>
      </c>
    </row>
    <row r="1578" spans="1:16" ht="19.95" customHeight="1">
      <c r="A1578" s="49">
        <v>1642</v>
      </c>
      <c r="B1578" s="50" t="s">
        <v>702</v>
      </c>
      <c r="C1578" s="51" t="s">
        <v>11</v>
      </c>
      <c r="D1578" s="51" t="s">
        <v>12</v>
      </c>
      <c r="E1578" s="52">
        <v>2567310000</v>
      </c>
      <c r="F1578" s="52">
        <v>2233284000</v>
      </c>
      <c r="G1578" s="52">
        <v>308143000</v>
      </c>
      <c r="H1578" s="52" t="s">
        <v>757</v>
      </c>
      <c r="I1578" s="52" t="s">
        <v>757</v>
      </c>
      <c r="J1578" s="51" t="s">
        <v>88</v>
      </c>
      <c r="K1578" s="51" t="s">
        <v>519</v>
      </c>
      <c r="L1578" s="41">
        <f t="shared" si="120"/>
        <v>334026000</v>
      </c>
      <c r="M1578" s="41">
        <f t="shared" si="121"/>
        <v>308143000</v>
      </c>
      <c r="N1578" s="41">
        <f t="shared" si="122"/>
        <v>25883000</v>
      </c>
      <c r="O1578" s="41">
        <f t="shared" si="123"/>
        <v>0.87997437006049128</v>
      </c>
      <c r="P1578" s="41">
        <f t="shared" si="124"/>
        <v>1.0081758728007135E-2</v>
      </c>
    </row>
    <row r="1579" spans="1:16" ht="19.95" customHeight="1">
      <c r="A1579" s="49">
        <v>1643</v>
      </c>
      <c r="B1579" s="50" t="s">
        <v>702</v>
      </c>
      <c r="C1579" s="51" t="s">
        <v>16</v>
      </c>
      <c r="D1579" s="51" t="s">
        <v>17</v>
      </c>
      <c r="E1579" s="52">
        <v>2770709000</v>
      </c>
      <c r="F1579" s="52">
        <v>2343829000</v>
      </c>
      <c r="G1579" s="52">
        <v>274217000</v>
      </c>
      <c r="H1579" s="52" t="s">
        <v>757</v>
      </c>
      <c r="I1579" s="52" t="s">
        <v>757</v>
      </c>
      <c r="J1579" s="51" t="s">
        <v>88</v>
      </c>
      <c r="K1579" s="51" t="s">
        <v>519</v>
      </c>
      <c r="L1579" s="41">
        <f t="shared" si="120"/>
        <v>426880000</v>
      </c>
      <c r="M1579" s="41">
        <f t="shared" si="121"/>
        <v>274217000</v>
      </c>
      <c r="N1579" s="41">
        <f t="shared" si="122"/>
        <v>152663000</v>
      </c>
      <c r="O1579" s="41">
        <f t="shared" si="123"/>
        <v>0.90103002516684361</v>
      </c>
      <c r="P1579" s="41">
        <f t="shared" si="124"/>
        <v>5.5098893460121576E-2</v>
      </c>
    </row>
    <row r="1580" spans="1:16" ht="19.95" customHeight="1">
      <c r="A1580" s="49">
        <v>1644</v>
      </c>
      <c r="B1580" s="50" t="s">
        <v>702</v>
      </c>
      <c r="C1580" s="51" t="s">
        <v>18</v>
      </c>
      <c r="D1580" s="51" t="s">
        <v>19</v>
      </c>
      <c r="E1580" s="52">
        <v>2994169000</v>
      </c>
      <c r="F1580" s="52">
        <v>2406587000</v>
      </c>
      <c r="G1580" s="52">
        <v>292358000</v>
      </c>
      <c r="H1580" s="52" t="s">
        <v>757</v>
      </c>
      <c r="I1580" s="52" t="s">
        <v>757</v>
      </c>
      <c r="J1580" s="51" t="s">
        <v>88</v>
      </c>
      <c r="K1580" s="51" t="s">
        <v>519</v>
      </c>
      <c r="L1580" s="41">
        <f t="shared" si="120"/>
        <v>587582000</v>
      </c>
      <c r="M1580" s="41">
        <f t="shared" si="121"/>
        <v>292358000</v>
      </c>
      <c r="N1580" s="41">
        <f t="shared" si="122"/>
        <v>295224000</v>
      </c>
      <c r="O1580" s="41">
        <f t="shared" si="123"/>
        <v>0.90235754895598741</v>
      </c>
      <c r="P1580" s="41">
        <f t="shared" si="124"/>
        <v>9.8599644843026565E-2</v>
      </c>
    </row>
    <row r="1581" spans="1:16" ht="19.95" customHeight="1">
      <c r="A1581" s="49">
        <v>1645</v>
      </c>
      <c r="B1581" s="50" t="s">
        <v>702</v>
      </c>
      <c r="C1581" s="51" t="s">
        <v>20</v>
      </c>
      <c r="D1581" s="51" t="s">
        <v>21</v>
      </c>
      <c r="E1581" s="52">
        <v>3422181000</v>
      </c>
      <c r="F1581" s="52">
        <v>2564648000</v>
      </c>
      <c r="G1581" s="52">
        <v>312694000</v>
      </c>
      <c r="H1581" s="52" t="s">
        <v>757</v>
      </c>
      <c r="I1581" s="52" t="s">
        <v>757</v>
      </c>
      <c r="J1581" s="51" t="s">
        <v>88</v>
      </c>
      <c r="K1581" s="51" t="s">
        <v>519</v>
      </c>
      <c r="L1581" s="41">
        <f t="shared" si="120"/>
        <v>857533000</v>
      </c>
      <c r="M1581" s="41">
        <f t="shared" si="121"/>
        <v>312694000</v>
      </c>
      <c r="N1581" s="41">
        <f t="shared" si="122"/>
        <v>544839000</v>
      </c>
      <c r="O1581" s="41">
        <f t="shared" si="123"/>
        <v>0.90862727599738291</v>
      </c>
      <c r="P1581" s="41">
        <f t="shared" si="124"/>
        <v>0.15920811903286239</v>
      </c>
    </row>
    <row r="1582" spans="1:16" ht="19.95" customHeight="1">
      <c r="A1582" s="49">
        <v>1646</v>
      </c>
      <c r="B1582" s="50" t="s">
        <v>703</v>
      </c>
      <c r="C1582" s="51" t="s">
        <v>11</v>
      </c>
      <c r="D1582" s="51" t="s">
        <v>17</v>
      </c>
      <c r="E1582" s="52">
        <v>2299176000</v>
      </c>
      <c r="F1582" s="52">
        <v>928565000</v>
      </c>
      <c r="G1582" s="52">
        <v>177366000</v>
      </c>
      <c r="H1582" s="52">
        <v>32210000</v>
      </c>
      <c r="I1582" s="52">
        <v>461627000</v>
      </c>
      <c r="J1582" s="51" t="s">
        <v>80</v>
      </c>
      <c r="K1582" s="51" t="s">
        <v>81</v>
      </c>
      <c r="L1582" s="41">
        <f t="shared" si="120"/>
        <v>1370611000</v>
      </c>
      <c r="M1582" s="41">
        <f t="shared" si="121"/>
        <v>671203000</v>
      </c>
      <c r="N1582" s="41">
        <f t="shared" si="122"/>
        <v>699408000</v>
      </c>
      <c r="O1582" s="41">
        <f t="shared" si="123"/>
        <v>0.70806802089096266</v>
      </c>
      <c r="P1582" s="41">
        <f t="shared" si="124"/>
        <v>0.30419941753045437</v>
      </c>
    </row>
    <row r="1583" spans="1:16" ht="19.95" customHeight="1">
      <c r="A1583" s="49">
        <v>1647</v>
      </c>
      <c r="B1583" s="50" t="s">
        <v>703</v>
      </c>
      <c r="C1583" s="51" t="s">
        <v>16</v>
      </c>
      <c r="D1583" s="51" t="s">
        <v>19</v>
      </c>
      <c r="E1583" s="52">
        <v>2312512000</v>
      </c>
      <c r="F1583" s="52">
        <v>953611000</v>
      </c>
      <c r="G1583" s="52">
        <v>169270000</v>
      </c>
      <c r="H1583" s="52" t="s">
        <v>757</v>
      </c>
      <c r="I1583" s="52">
        <v>481303000</v>
      </c>
      <c r="J1583" s="51" t="s">
        <v>80</v>
      </c>
      <c r="K1583" s="51" t="s">
        <v>81</v>
      </c>
      <c r="L1583" s="41">
        <f t="shared" si="120"/>
        <v>1358901000</v>
      </c>
      <c r="M1583" s="41">
        <f t="shared" si="121"/>
        <v>650573000</v>
      </c>
      <c r="N1583" s="41">
        <f t="shared" si="122"/>
        <v>708328000</v>
      </c>
      <c r="O1583" s="41">
        <f t="shared" si="123"/>
        <v>0.71867259499626379</v>
      </c>
      <c r="P1583" s="41">
        <f t="shared" si="124"/>
        <v>0.30630241053884261</v>
      </c>
    </row>
    <row r="1584" spans="1:16" ht="19.95" customHeight="1">
      <c r="A1584" s="49">
        <v>1648</v>
      </c>
      <c r="B1584" s="50" t="s">
        <v>703</v>
      </c>
      <c r="C1584" s="51" t="s">
        <v>18</v>
      </c>
      <c r="D1584" s="51" t="s">
        <v>21</v>
      </c>
      <c r="E1584" s="52">
        <v>2502267000</v>
      </c>
      <c r="F1584" s="52">
        <v>1011249000</v>
      </c>
      <c r="G1584" s="52">
        <v>175307000</v>
      </c>
      <c r="H1584" s="52" t="s">
        <v>757</v>
      </c>
      <c r="I1584" s="52">
        <v>542952000</v>
      </c>
      <c r="J1584" s="51" t="s">
        <v>80</v>
      </c>
      <c r="K1584" s="51" t="s">
        <v>81</v>
      </c>
      <c r="L1584" s="41">
        <f t="shared" si="120"/>
        <v>1491018000</v>
      </c>
      <c r="M1584" s="41">
        <f t="shared" si="121"/>
        <v>718259000</v>
      </c>
      <c r="N1584" s="41">
        <f t="shared" si="122"/>
        <v>772759000</v>
      </c>
      <c r="O1584" s="41">
        <f t="shared" si="123"/>
        <v>0.71295669087271663</v>
      </c>
      <c r="P1584" s="41">
        <f t="shared" si="124"/>
        <v>0.308823558796883</v>
      </c>
    </row>
    <row r="1585" spans="1:16" ht="19.95" customHeight="1">
      <c r="A1585" s="49">
        <v>1649</v>
      </c>
      <c r="B1585" s="50" t="s">
        <v>703</v>
      </c>
      <c r="C1585" s="51" t="s">
        <v>20</v>
      </c>
      <c r="D1585" s="51" t="s">
        <v>84</v>
      </c>
      <c r="E1585" s="52">
        <v>2506202000</v>
      </c>
      <c r="F1585" s="52">
        <v>1024336000</v>
      </c>
      <c r="G1585" s="52">
        <v>179279000</v>
      </c>
      <c r="H1585" s="52" t="s">
        <v>757</v>
      </c>
      <c r="I1585" s="52">
        <v>565059000</v>
      </c>
      <c r="J1585" s="51" t="s">
        <v>80</v>
      </c>
      <c r="K1585" s="51" t="s">
        <v>81</v>
      </c>
      <c r="L1585" s="41">
        <f t="shared" si="120"/>
        <v>1481866000</v>
      </c>
      <c r="M1585" s="41">
        <f t="shared" si="121"/>
        <v>744338000</v>
      </c>
      <c r="N1585" s="41">
        <f t="shared" si="122"/>
        <v>737528000</v>
      </c>
      <c r="O1585" s="41">
        <f t="shared" si="123"/>
        <v>0.70300159364648174</v>
      </c>
      <c r="P1585" s="41">
        <f t="shared" si="124"/>
        <v>0.29428114732970445</v>
      </c>
    </row>
    <row r="1586" spans="1:16" ht="19.95" customHeight="1">
      <c r="A1586" s="49">
        <v>1650</v>
      </c>
      <c r="B1586" s="50" t="s">
        <v>704</v>
      </c>
      <c r="C1586" s="51" t="s">
        <v>11</v>
      </c>
      <c r="D1586" s="51" t="s">
        <v>12</v>
      </c>
      <c r="E1586" s="52">
        <v>1407848000</v>
      </c>
      <c r="F1586" s="52">
        <v>516708000</v>
      </c>
      <c r="G1586" s="52">
        <v>220068000</v>
      </c>
      <c r="H1586" s="52" t="s">
        <v>757</v>
      </c>
      <c r="I1586" s="52">
        <v>98844000</v>
      </c>
      <c r="J1586" s="51" t="s">
        <v>14</v>
      </c>
      <c r="K1586" s="51" t="s">
        <v>304</v>
      </c>
      <c r="L1586" s="41">
        <f t="shared" si="120"/>
        <v>891140000</v>
      </c>
      <c r="M1586" s="41">
        <f t="shared" si="121"/>
        <v>318912000</v>
      </c>
      <c r="N1586" s="41">
        <f t="shared" si="122"/>
        <v>572228000</v>
      </c>
      <c r="O1586" s="41">
        <f t="shared" si="123"/>
        <v>0.77347554565549692</v>
      </c>
      <c r="P1586" s="41">
        <f t="shared" si="124"/>
        <v>0.40645581057045932</v>
      </c>
    </row>
    <row r="1587" spans="1:16" ht="19.95" customHeight="1">
      <c r="A1587" s="49">
        <v>1651</v>
      </c>
      <c r="B1587" s="50" t="s">
        <v>704</v>
      </c>
      <c r="C1587" s="51" t="s">
        <v>16</v>
      </c>
      <c r="D1587" s="51" t="s">
        <v>17</v>
      </c>
      <c r="E1587" s="52">
        <v>1595703000</v>
      </c>
      <c r="F1587" s="52">
        <v>622523000</v>
      </c>
      <c r="G1587" s="52">
        <v>228982000</v>
      </c>
      <c r="H1587" s="52" t="s">
        <v>757</v>
      </c>
      <c r="I1587" s="52">
        <v>129931000</v>
      </c>
      <c r="J1587" s="51" t="s">
        <v>14</v>
      </c>
      <c r="K1587" s="51" t="s">
        <v>304</v>
      </c>
      <c r="L1587" s="41">
        <f t="shared" si="120"/>
        <v>973180000</v>
      </c>
      <c r="M1587" s="41">
        <f t="shared" si="121"/>
        <v>358913000</v>
      </c>
      <c r="N1587" s="41">
        <f t="shared" si="122"/>
        <v>614267000</v>
      </c>
      <c r="O1587" s="41">
        <f t="shared" si="123"/>
        <v>0.7750753116338065</v>
      </c>
      <c r="P1587" s="41">
        <f t="shared" si="124"/>
        <v>0.38495070824583272</v>
      </c>
    </row>
    <row r="1588" spans="1:16" ht="19.95" customHeight="1">
      <c r="A1588" s="49">
        <v>1652</v>
      </c>
      <c r="B1588" s="50" t="s">
        <v>704</v>
      </c>
      <c r="C1588" s="51" t="s">
        <v>18</v>
      </c>
      <c r="D1588" s="51" t="s">
        <v>19</v>
      </c>
      <c r="E1588" s="52">
        <v>1746726000</v>
      </c>
      <c r="F1588" s="52">
        <v>716598000</v>
      </c>
      <c r="G1588" s="52">
        <v>227306000</v>
      </c>
      <c r="H1588" s="52" t="s">
        <v>757</v>
      </c>
      <c r="I1588" s="52">
        <v>142376000</v>
      </c>
      <c r="J1588" s="51" t="s">
        <v>14</v>
      </c>
      <c r="K1588" s="51" t="s">
        <v>304</v>
      </c>
      <c r="L1588" s="41">
        <f t="shared" si="120"/>
        <v>1030128000</v>
      </c>
      <c r="M1588" s="41">
        <f t="shared" si="121"/>
        <v>369682000</v>
      </c>
      <c r="N1588" s="41">
        <f t="shared" si="122"/>
        <v>660446000</v>
      </c>
      <c r="O1588" s="41">
        <f t="shared" si="123"/>
        <v>0.78835718939318478</v>
      </c>
      <c r="P1588" s="41">
        <f t="shared" si="124"/>
        <v>0.37810509490326472</v>
      </c>
    </row>
    <row r="1589" spans="1:16" ht="19.95" customHeight="1">
      <c r="A1589" s="49">
        <v>1653</v>
      </c>
      <c r="B1589" s="50" t="s">
        <v>704</v>
      </c>
      <c r="C1589" s="51" t="s">
        <v>20</v>
      </c>
      <c r="D1589" s="51" t="s">
        <v>21</v>
      </c>
      <c r="E1589" s="52">
        <v>2068010000</v>
      </c>
      <c r="F1589" s="52">
        <v>803274000</v>
      </c>
      <c r="G1589" s="52">
        <v>312690000</v>
      </c>
      <c r="H1589" s="52" t="s">
        <v>757</v>
      </c>
      <c r="I1589" s="52">
        <v>215484000</v>
      </c>
      <c r="J1589" s="51" t="s">
        <v>14</v>
      </c>
      <c r="K1589" s="51" t="s">
        <v>304</v>
      </c>
      <c r="L1589" s="41">
        <f t="shared" si="120"/>
        <v>1264736000</v>
      </c>
      <c r="M1589" s="41">
        <f t="shared" si="121"/>
        <v>528174000</v>
      </c>
      <c r="N1589" s="41">
        <f t="shared" si="122"/>
        <v>736562000</v>
      </c>
      <c r="O1589" s="41">
        <f t="shared" si="123"/>
        <v>0.74459794681843894</v>
      </c>
      <c r="P1589" s="41">
        <f t="shared" si="124"/>
        <v>0.35616945759449908</v>
      </c>
    </row>
    <row r="1590" spans="1:16" ht="19.95" customHeight="1">
      <c r="A1590" s="49">
        <v>1654</v>
      </c>
      <c r="B1590" s="50" t="s">
        <v>705</v>
      </c>
      <c r="C1590" s="51" t="s">
        <v>11</v>
      </c>
      <c r="D1590" s="51" t="s">
        <v>12</v>
      </c>
      <c r="E1590" s="52">
        <v>873592000</v>
      </c>
      <c r="F1590" s="52">
        <v>167600000</v>
      </c>
      <c r="G1590" s="52">
        <v>186971000</v>
      </c>
      <c r="H1590" s="52">
        <v>61694000</v>
      </c>
      <c r="I1590" s="52" t="s">
        <v>757</v>
      </c>
      <c r="J1590" s="51" t="s">
        <v>31</v>
      </c>
      <c r="K1590" s="51" t="s">
        <v>86</v>
      </c>
      <c r="L1590" s="41">
        <f t="shared" si="120"/>
        <v>705992000</v>
      </c>
      <c r="M1590" s="41">
        <f t="shared" si="121"/>
        <v>248665000</v>
      </c>
      <c r="N1590" s="41">
        <f t="shared" si="122"/>
        <v>457327000</v>
      </c>
      <c r="O1590" s="41">
        <f t="shared" si="123"/>
        <v>0.71535339151457433</v>
      </c>
      <c r="P1590" s="41">
        <f t="shared" si="124"/>
        <v>0.52350181778221416</v>
      </c>
    </row>
    <row r="1591" spans="1:16" ht="19.95" customHeight="1">
      <c r="A1591" s="49">
        <v>1655</v>
      </c>
      <c r="B1591" s="50" t="s">
        <v>705</v>
      </c>
      <c r="C1591" s="51" t="s">
        <v>16</v>
      </c>
      <c r="D1591" s="51" t="s">
        <v>17</v>
      </c>
      <c r="E1591" s="52">
        <v>965087000</v>
      </c>
      <c r="F1591" s="52">
        <v>187013000</v>
      </c>
      <c r="G1591" s="52">
        <v>179545000</v>
      </c>
      <c r="H1591" s="52">
        <v>70297000</v>
      </c>
      <c r="I1591" s="52" t="s">
        <v>757</v>
      </c>
      <c r="J1591" s="51" t="s">
        <v>31</v>
      </c>
      <c r="K1591" s="51" t="s">
        <v>86</v>
      </c>
      <c r="L1591" s="41">
        <f t="shared" si="120"/>
        <v>778074000</v>
      </c>
      <c r="M1591" s="41">
        <f t="shared" si="121"/>
        <v>249842000</v>
      </c>
      <c r="N1591" s="41">
        <f t="shared" si="122"/>
        <v>528232000</v>
      </c>
      <c r="O1591" s="41">
        <f t="shared" si="123"/>
        <v>0.74111971252332687</v>
      </c>
      <c r="P1591" s="41">
        <f t="shared" si="124"/>
        <v>0.54734132777666678</v>
      </c>
    </row>
    <row r="1592" spans="1:16" ht="19.95" customHeight="1">
      <c r="A1592" s="49">
        <v>1656</v>
      </c>
      <c r="B1592" s="50" t="s">
        <v>705</v>
      </c>
      <c r="C1592" s="51" t="s">
        <v>18</v>
      </c>
      <c r="D1592" s="51" t="s">
        <v>19</v>
      </c>
      <c r="E1592" s="52">
        <v>1010117000</v>
      </c>
      <c r="F1592" s="52">
        <v>188425000</v>
      </c>
      <c r="G1592" s="52">
        <v>189488000</v>
      </c>
      <c r="H1592" s="52">
        <v>67777000</v>
      </c>
      <c r="I1592" s="52" t="s">
        <v>757</v>
      </c>
      <c r="J1592" s="51" t="s">
        <v>31</v>
      </c>
      <c r="K1592" s="51" t="s">
        <v>86</v>
      </c>
      <c r="L1592" s="41">
        <f t="shared" si="120"/>
        <v>821692000</v>
      </c>
      <c r="M1592" s="41">
        <f t="shared" si="121"/>
        <v>257265000</v>
      </c>
      <c r="N1592" s="41">
        <f t="shared" si="122"/>
        <v>564427000</v>
      </c>
      <c r="O1592" s="41">
        <f t="shared" si="123"/>
        <v>0.74531168171607842</v>
      </c>
      <c r="P1592" s="41">
        <f t="shared" si="124"/>
        <v>0.55877388460940658</v>
      </c>
    </row>
    <row r="1593" spans="1:16" ht="19.95" customHeight="1">
      <c r="A1593" s="49">
        <v>1657</v>
      </c>
      <c r="B1593" s="50" t="s">
        <v>705</v>
      </c>
      <c r="C1593" s="51" t="s">
        <v>20</v>
      </c>
      <c r="D1593" s="51" t="s">
        <v>21</v>
      </c>
      <c r="E1593" s="52">
        <v>1059366000</v>
      </c>
      <c r="F1593" s="52">
        <v>192788000</v>
      </c>
      <c r="G1593" s="52">
        <v>196914000</v>
      </c>
      <c r="H1593" s="52">
        <v>63718000</v>
      </c>
      <c r="I1593" s="52" t="s">
        <v>757</v>
      </c>
      <c r="J1593" s="51" t="s">
        <v>31</v>
      </c>
      <c r="K1593" s="51" t="s">
        <v>86</v>
      </c>
      <c r="L1593" s="41">
        <f t="shared" si="120"/>
        <v>866578000</v>
      </c>
      <c r="M1593" s="41">
        <f t="shared" si="121"/>
        <v>260632000</v>
      </c>
      <c r="N1593" s="41">
        <f t="shared" si="122"/>
        <v>605946000</v>
      </c>
      <c r="O1593" s="41">
        <f t="shared" si="123"/>
        <v>0.75397360307957784</v>
      </c>
      <c r="P1593" s="41">
        <f t="shared" si="124"/>
        <v>0.57198928415675032</v>
      </c>
    </row>
    <row r="1594" spans="1:16" ht="19.95" customHeight="1">
      <c r="A1594" s="49">
        <v>1658</v>
      </c>
      <c r="B1594" s="50" t="s">
        <v>706</v>
      </c>
      <c r="C1594" s="51" t="s">
        <v>11</v>
      </c>
      <c r="D1594" s="51" t="s">
        <v>12</v>
      </c>
      <c r="E1594" s="52">
        <v>1527042000</v>
      </c>
      <c r="F1594" s="52">
        <v>279885000</v>
      </c>
      <c r="G1594" s="52">
        <v>432681000</v>
      </c>
      <c r="H1594" s="52">
        <v>765905000</v>
      </c>
      <c r="I1594" s="52" t="s">
        <v>757</v>
      </c>
      <c r="J1594" s="51" t="s">
        <v>37</v>
      </c>
      <c r="K1594" s="51" t="s">
        <v>95</v>
      </c>
      <c r="L1594" s="41">
        <f t="shared" si="120"/>
        <v>1247157000</v>
      </c>
      <c r="M1594" s="41">
        <f t="shared" si="121"/>
        <v>1198586000</v>
      </c>
      <c r="N1594" s="41">
        <f t="shared" si="122"/>
        <v>48571000</v>
      </c>
      <c r="O1594" s="41">
        <f t="shared" si="123"/>
        <v>0.21509297059281929</v>
      </c>
      <c r="P1594" s="41">
        <f t="shared" si="124"/>
        <v>3.1807245642228567E-2</v>
      </c>
    </row>
    <row r="1595" spans="1:16" ht="19.95" customHeight="1">
      <c r="A1595" s="49">
        <v>1659</v>
      </c>
      <c r="B1595" s="50" t="s">
        <v>706</v>
      </c>
      <c r="C1595" s="51" t="s">
        <v>16</v>
      </c>
      <c r="D1595" s="51" t="s">
        <v>17</v>
      </c>
      <c r="E1595" s="52">
        <v>1211975000</v>
      </c>
      <c r="F1595" s="52">
        <v>130277000</v>
      </c>
      <c r="G1595" s="52">
        <v>356188000</v>
      </c>
      <c r="H1595" s="52">
        <v>882097000</v>
      </c>
      <c r="I1595" s="52" t="s">
        <v>757</v>
      </c>
      <c r="J1595" s="51" t="s">
        <v>37</v>
      </c>
      <c r="K1595" s="51" t="s">
        <v>95</v>
      </c>
      <c r="L1595" s="41">
        <f t="shared" si="120"/>
        <v>1081698000</v>
      </c>
      <c r="M1595" s="41">
        <f t="shared" si="121"/>
        <v>1238285000</v>
      </c>
      <c r="N1595" s="41">
        <f t="shared" si="122"/>
        <v>-156587000</v>
      </c>
      <c r="O1595" s="41">
        <f t="shared" si="123"/>
        <v>-2.1708368571959014E-2</v>
      </c>
      <c r="P1595" s="41">
        <f t="shared" si="124"/>
        <v>-0.12919985973308029</v>
      </c>
    </row>
    <row r="1596" spans="1:16" ht="19.95" customHeight="1">
      <c r="A1596" s="49">
        <v>1660</v>
      </c>
      <c r="B1596" s="50" t="s">
        <v>706</v>
      </c>
      <c r="C1596" s="51" t="s">
        <v>18</v>
      </c>
      <c r="D1596" s="51" t="s">
        <v>19</v>
      </c>
      <c r="E1596" s="52">
        <v>580415000</v>
      </c>
      <c r="F1596" s="52">
        <v>60987000</v>
      </c>
      <c r="G1596" s="52">
        <v>305409000</v>
      </c>
      <c r="H1596" s="52">
        <v>855506000</v>
      </c>
      <c r="I1596" s="52" t="s">
        <v>757</v>
      </c>
      <c r="J1596" s="51" t="s">
        <v>37</v>
      </c>
      <c r="K1596" s="51" t="s">
        <v>95</v>
      </c>
      <c r="L1596" s="41">
        <f t="shared" si="120"/>
        <v>519428000</v>
      </c>
      <c r="M1596" s="41">
        <f t="shared" si="121"/>
        <v>1160915000</v>
      </c>
      <c r="N1596" s="41">
        <f t="shared" si="122"/>
        <v>-641487000</v>
      </c>
      <c r="O1596" s="41">
        <f t="shared" si="123"/>
        <v>-1.0001464469388281</v>
      </c>
      <c r="P1596" s="41">
        <f t="shared" si="124"/>
        <v>-1.1052212640955179</v>
      </c>
    </row>
    <row r="1597" spans="1:16" ht="19.95" customHeight="1">
      <c r="A1597" s="49">
        <v>1661</v>
      </c>
      <c r="B1597" s="50" t="s">
        <v>706</v>
      </c>
      <c r="C1597" s="51" t="s">
        <v>20</v>
      </c>
      <c r="D1597" s="51" t="s">
        <v>21</v>
      </c>
      <c r="E1597" s="52">
        <v>1032336000</v>
      </c>
      <c r="F1597" s="52">
        <v>124512000</v>
      </c>
      <c r="G1597" s="52">
        <v>376575000</v>
      </c>
      <c r="H1597" s="52">
        <v>995922000</v>
      </c>
      <c r="I1597" s="52" t="s">
        <v>757</v>
      </c>
      <c r="J1597" s="51" t="s">
        <v>37</v>
      </c>
      <c r="K1597" s="51" t="s">
        <v>95</v>
      </c>
      <c r="L1597" s="41">
        <f t="shared" si="120"/>
        <v>907824000</v>
      </c>
      <c r="M1597" s="41">
        <f t="shared" si="121"/>
        <v>1372497000</v>
      </c>
      <c r="N1597" s="41">
        <f t="shared" si="122"/>
        <v>-464673000</v>
      </c>
      <c r="O1597" s="41">
        <f t="shared" si="123"/>
        <v>-0.3295060910401264</v>
      </c>
      <c r="P1597" s="41">
        <f t="shared" si="124"/>
        <v>-0.45011798484214444</v>
      </c>
    </row>
    <row r="1598" spans="1:16" ht="19.95" customHeight="1">
      <c r="A1598" s="49">
        <v>1662</v>
      </c>
      <c r="B1598" s="50" t="s">
        <v>707</v>
      </c>
      <c r="C1598" s="51" t="s">
        <v>11</v>
      </c>
      <c r="D1598" s="51" t="s">
        <v>17</v>
      </c>
      <c r="E1598" s="52">
        <v>2514595000</v>
      </c>
      <c r="F1598" s="52">
        <v>1118240000</v>
      </c>
      <c r="G1598" s="52">
        <v>132447000</v>
      </c>
      <c r="H1598" s="52" t="s">
        <v>757</v>
      </c>
      <c r="I1598" s="52">
        <v>629908000</v>
      </c>
      <c r="J1598" s="51" t="s">
        <v>80</v>
      </c>
      <c r="K1598" s="51" t="s">
        <v>81</v>
      </c>
      <c r="L1598" s="41">
        <f t="shared" si="120"/>
        <v>1396355000</v>
      </c>
      <c r="M1598" s="41">
        <f t="shared" si="121"/>
        <v>762355000</v>
      </c>
      <c r="N1598" s="41">
        <f t="shared" si="122"/>
        <v>634000000</v>
      </c>
      <c r="O1598" s="41">
        <f t="shared" si="123"/>
        <v>0.69682791861114812</v>
      </c>
      <c r="P1598" s="41">
        <f t="shared" si="124"/>
        <v>0.2521280762906154</v>
      </c>
    </row>
    <row r="1599" spans="1:16" ht="19.95" customHeight="1">
      <c r="A1599" s="49">
        <v>1663</v>
      </c>
      <c r="B1599" s="50" t="s">
        <v>707</v>
      </c>
      <c r="C1599" s="51" t="s">
        <v>16</v>
      </c>
      <c r="D1599" s="51" t="s">
        <v>19</v>
      </c>
      <c r="E1599" s="52">
        <v>2772550000</v>
      </c>
      <c r="F1599" s="52">
        <v>1212480000</v>
      </c>
      <c r="G1599" s="52">
        <v>147481000</v>
      </c>
      <c r="H1599" s="52" t="s">
        <v>757</v>
      </c>
      <c r="I1599" s="52">
        <v>725216000</v>
      </c>
      <c r="J1599" s="51" t="s">
        <v>80</v>
      </c>
      <c r="K1599" s="51" t="s">
        <v>81</v>
      </c>
      <c r="L1599" s="41">
        <f t="shared" si="120"/>
        <v>1560070000</v>
      </c>
      <c r="M1599" s="41">
        <f t="shared" si="121"/>
        <v>872697000</v>
      </c>
      <c r="N1599" s="41">
        <f t="shared" si="122"/>
        <v>687373000</v>
      </c>
      <c r="O1599" s="41">
        <f t="shared" si="123"/>
        <v>0.6852366954608573</v>
      </c>
      <c r="P1599" s="41">
        <f t="shared" si="124"/>
        <v>0.24792086707182917</v>
      </c>
    </row>
    <row r="1600" spans="1:16" ht="19.95" customHeight="1">
      <c r="A1600" s="49">
        <v>1664</v>
      </c>
      <c r="B1600" s="50" t="s">
        <v>707</v>
      </c>
      <c r="C1600" s="51" t="s">
        <v>18</v>
      </c>
      <c r="D1600" s="51" t="s">
        <v>21</v>
      </c>
      <c r="E1600" s="52">
        <v>3285346000</v>
      </c>
      <c r="F1600" s="52">
        <v>1410205000</v>
      </c>
      <c r="G1600" s="52">
        <v>145992000</v>
      </c>
      <c r="H1600" s="52" t="s">
        <v>757</v>
      </c>
      <c r="I1600" s="52">
        <v>894057000</v>
      </c>
      <c r="J1600" s="51" t="s">
        <v>80</v>
      </c>
      <c r="K1600" s="51" t="s">
        <v>81</v>
      </c>
      <c r="L1600" s="41">
        <f t="shared" si="120"/>
        <v>1875141000</v>
      </c>
      <c r="M1600" s="41">
        <f t="shared" si="121"/>
        <v>1040049000</v>
      </c>
      <c r="N1600" s="41">
        <f t="shared" si="122"/>
        <v>835092000</v>
      </c>
      <c r="O1600" s="41">
        <f t="shared" si="123"/>
        <v>0.68342786421886759</v>
      </c>
      <c r="P1600" s="41">
        <f t="shared" si="124"/>
        <v>0.25418692582151164</v>
      </c>
    </row>
    <row r="1601" spans="1:16" ht="19.95" customHeight="1">
      <c r="A1601" s="49">
        <v>1665</v>
      </c>
      <c r="B1601" s="50" t="s">
        <v>707</v>
      </c>
      <c r="C1601" s="51" t="s">
        <v>20</v>
      </c>
      <c r="D1601" s="51" t="s">
        <v>84</v>
      </c>
      <c r="E1601" s="52">
        <v>3442646000</v>
      </c>
      <c r="F1601" s="52">
        <v>1442073000</v>
      </c>
      <c r="G1601" s="52">
        <v>136863000</v>
      </c>
      <c r="H1601" s="52" t="s">
        <v>757</v>
      </c>
      <c r="I1601" s="52">
        <v>898924000</v>
      </c>
      <c r="J1601" s="51" t="s">
        <v>80</v>
      </c>
      <c r="K1601" s="51" t="s">
        <v>81</v>
      </c>
      <c r="L1601" s="41">
        <f t="shared" si="120"/>
        <v>2000573000</v>
      </c>
      <c r="M1601" s="41">
        <f t="shared" si="121"/>
        <v>1035787000</v>
      </c>
      <c r="N1601" s="41">
        <f t="shared" si="122"/>
        <v>964786000</v>
      </c>
      <c r="O1601" s="41">
        <f t="shared" si="123"/>
        <v>0.69913055248782485</v>
      </c>
      <c r="P1601" s="41">
        <f t="shared" si="124"/>
        <v>0.28024548559451073</v>
      </c>
    </row>
    <row r="1602" spans="1:16" ht="19.95" customHeight="1">
      <c r="A1602" s="49">
        <v>1666</v>
      </c>
      <c r="B1602" s="50" t="s">
        <v>708</v>
      </c>
      <c r="C1602" s="51" t="s">
        <v>11</v>
      </c>
      <c r="D1602" s="51" t="s">
        <v>12</v>
      </c>
      <c r="E1602" s="52">
        <v>1158460000</v>
      </c>
      <c r="F1602" s="52">
        <v>46275000000</v>
      </c>
      <c r="G1602" s="52">
        <v>39951000000</v>
      </c>
      <c r="H1602" s="52" t="s">
        <v>757</v>
      </c>
      <c r="I1602" s="52">
        <v>16460000000</v>
      </c>
      <c r="J1602" s="51" t="s">
        <v>268</v>
      </c>
      <c r="K1602" s="51" t="s">
        <v>269</v>
      </c>
      <c r="L1602" s="41">
        <f t="shared" si="120"/>
        <v>-45116540000</v>
      </c>
      <c r="M1602" s="41">
        <f t="shared" si="121"/>
        <v>56411000000</v>
      </c>
      <c r="N1602" s="41">
        <f t="shared" si="122"/>
        <v>-101527540000</v>
      </c>
      <c r="O1602" s="41">
        <f t="shared" si="123"/>
        <v>-47.694818983823353</v>
      </c>
      <c r="P1602" s="41">
        <f t="shared" si="124"/>
        <v>-87.640091155499547</v>
      </c>
    </row>
    <row r="1603" spans="1:16" ht="19.95" customHeight="1">
      <c r="A1603" s="49">
        <v>1667</v>
      </c>
      <c r="B1603" s="50" t="s">
        <v>708</v>
      </c>
      <c r="C1603" s="51" t="s">
        <v>16</v>
      </c>
      <c r="D1603" s="51" t="s">
        <v>17</v>
      </c>
      <c r="E1603" s="52">
        <v>120550000000</v>
      </c>
      <c r="F1603" s="52">
        <v>44887000000</v>
      </c>
      <c r="G1603" s="52">
        <v>27089000000</v>
      </c>
      <c r="H1603" s="52" t="s">
        <v>757</v>
      </c>
      <c r="I1603" s="52">
        <v>16606000000</v>
      </c>
      <c r="J1603" s="51" t="s">
        <v>268</v>
      </c>
      <c r="K1603" s="51" t="s">
        <v>269</v>
      </c>
      <c r="L1603" s="41">
        <f t="shared" ref="L1603:L1666" si="125">Total_Revenue-COGS</f>
        <v>75663000000</v>
      </c>
      <c r="M1603" s="41">
        <f t="shared" ref="M1603:M1666" si="126">SGAA+RandD+OOI</f>
        <v>43695000000</v>
      </c>
      <c r="N1603" s="41">
        <f t="shared" ref="N1603:N1666" si="127">Gross_Profit-Total_Operating_Expenses</f>
        <v>31968000000</v>
      </c>
      <c r="O1603" s="41">
        <f t="shared" ref="O1603:O1666" si="128">1-(Total_Operating_Expenses/Total_Revenue)</f>
        <v>0.63753629199502282</v>
      </c>
      <c r="P1603" s="41">
        <f t="shared" ref="P1603:P1666" si="129">Operating_Profit/Total_Revenue</f>
        <v>0.26518457071754459</v>
      </c>
    </row>
    <row r="1604" spans="1:16" ht="19.95" customHeight="1">
      <c r="A1604" s="49">
        <v>1668</v>
      </c>
      <c r="B1604" s="50" t="s">
        <v>708</v>
      </c>
      <c r="C1604" s="51" t="s">
        <v>18</v>
      </c>
      <c r="D1604" s="51" t="s">
        <v>19</v>
      </c>
      <c r="E1604" s="52">
        <v>127079000000</v>
      </c>
      <c r="F1604" s="52">
        <v>49931000000</v>
      </c>
      <c r="G1604" s="52">
        <v>41016000000</v>
      </c>
      <c r="H1604" s="52" t="s">
        <v>757</v>
      </c>
      <c r="I1604" s="52">
        <v>16533000000</v>
      </c>
      <c r="J1604" s="51" t="s">
        <v>268</v>
      </c>
      <c r="K1604" s="51" t="s">
        <v>269</v>
      </c>
      <c r="L1604" s="41">
        <f t="shared" si="125"/>
        <v>77148000000</v>
      </c>
      <c r="M1604" s="41">
        <f t="shared" si="126"/>
        <v>57549000000</v>
      </c>
      <c r="N1604" s="41">
        <f t="shared" si="127"/>
        <v>19599000000</v>
      </c>
      <c r="O1604" s="41">
        <f t="shared" si="128"/>
        <v>0.54713996805136955</v>
      </c>
      <c r="P1604" s="41">
        <f t="shared" si="129"/>
        <v>0.15422689822866092</v>
      </c>
    </row>
    <row r="1605" spans="1:16" ht="19.95" customHeight="1">
      <c r="A1605" s="49">
        <v>1669</v>
      </c>
      <c r="B1605" s="50" t="s">
        <v>708</v>
      </c>
      <c r="C1605" s="51" t="s">
        <v>20</v>
      </c>
      <c r="D1605" s="51" t="s">
        <v>21</v>
      </c>
      <c r="E1605" s="52">
        <v>131620000000</v>
      </c>
      <c r="F1605" s="52">
        <v>52557000000</v>
      </c>
      <c r="G1605" s="52">
        <v>29986000000</v>
      </c>
      <c r="H1605" s="52" t="s">
        <v>757</v>
      </c>
      <c r="I1605" s="52">
        <v>16017000000</v>
      </c>
      <c r="J1605" s="51" t="s">
        <v>268</v>
      </c>
      <c r="K1605" s="51" t="s">
        <v>269</v>
      </c>
      <c r="L1605" s="41">
        <f t="shared" si="125"/>
        <v>79063000000</v>
      </c>
      <c r="M1605" s="41">
        <f t="shared" si="126"/>
        <v>46003000000</v>
      </c>
      <c r="N1605" s="41">
        <f t="shared" si="127"/>
        <v>33060000000</v>
      </c>
      <c r="O1605" s="41">
        <f t="shared" si="128"/>
        <v>0.65048624829053336</v>
      </c>
      <c r="P1605" s="41">
        <f t="shared" si="129"/>
        <v>0.25117763257863546</v>
      </c>
    </row>
    <row r="1606" spans="1:16" ht="19.95" customHeight="1">
      <c r="A1606" s="49">
        <v>1670</v>
      </c>
      <c r="B1606" s="50" t="s">
        <v>709</v>
      </c>
      <c r="C1606" s="51" t="s">
        <v>11</v>
      </c>
      <c r="D1606" s="51" t="s">
        <v>12</v>
      </c>
      <c r="E1606" s="52">
        <v>1843641000</v>
      </c>
      <c r="F1606" s="52">
        <v>737614000</v>
      </c>
      <c r="G1606" s="52">
        <v>477270000</v>
      </c>
      <c r="H1606" s="52">
        <v>96004000</v>
      </c>
      <c r="I1606" s="52">
        <v>13829000</v>
      </c>
      <c r="J1606" s="51" t="s">
        <v>37</v>
      </c>
      <c r="K1606" s="51" t="s">
        <v>41</v>
      </c>
      <c r="L1606" s="41">
        <f t="shared" si="125"/>
        <v>1106027000</v>
      </c>
      <c r="M1606" s="41">
        <f t="shared" si="126"/>
        <v>587103000</v>
      </c>
      <c r="N1606" s="41">
        <f t="shared" si="127"/>
        <v>518924000</v>
      </c>
      <c r="O1606" s="41">
        <f t="shared" si="128"/>
        <v>0.6815524280486277</v>
      </c>
      <c r="P1606" s="41">
        <f t="shared" si="129"/>
        <v>0.28146694502888575</v>
      </c>
    </row>
    <row r="1607" spans="1:16" ht="19.95" customHeight="1">
      <c r="A1607" s="49">
        <v>1671</v>
      </c>
      <c r="B1607" s="50" t="s">
        <v>709</v>
      </c>
      <c r="C1607" s="51" t="s">
        <v>16</v>
      </c>
      <c r="D1607" s="51" t="s">
        <v>17</v>
      </c>
      <c r="E1607" s="52">
        <v>1904218000</v>
      </c>
      <c r="F1607" s="52">
        <v>783456000</v>
      </c>
      <c r="G1607" s="52">
        <v>492965000</v>
      </c>
      <c r="H1607" s="52">
        <v>100536000</v>
      </c>
      <c r="I1607" s="52">
        <v>9918000</v>
      </c>
      <c r="J1607" s="51" t="s">
        <v>37</v>
      </c>
      <c r="K1607" s="51" t="s">
        <v>41</v>
      </c>
      <c r="L1607" s="41">
        <f t="shared" si="125"/>
        <v>1120762000</v>
      </c>
      <c r="M1607" s="41">
        <f t="shared" si="126"/>
        <v>603419000</v>
      </c>
      <c r="N1607" s="41">
        <f t="shared" si="127"/>
        <v>517343000</v>
      </c>
      <c r="O1607" s="41">
        <f t="shared" si="128"/>
        <v>0.68311453835642766</v>
      </c>
      <c r="P1607" s="41">
        <f t="shared" si="129"/>
        <v>0.27168265398184449</v>
      </c>
    </row>
    <row r="1608" spans="1:16" ht="19.95" customHeight="1">
      <c r="A1608" s="49">
        <v>1672</v>
      </c>
      <c r="B1608" s="50" t="s">
        <v>709</v>
      </c>
      <c r="C1608" s="51" t="s">
        <v>18</v>
      </c>
      <c r="D1608" s="51" t="s">
        <v>19</v>
      </c>
      <c r="E1608" s="52">
        <v>1989344000</v>
      </c>
      <c r="F1608" s="52">
        <v>824913000</v>
      </c>
      <c r="G1608" s="52">
        <v>512707000</v>
      </c>
      <c r="H1608" s="52">
        <v>107726000</v>
      </c>
      <c r="I1608" s="52">
        <v>10634000</v>
      </c>
      <c r="J1608" s="51" t="s">
        <v>37</v>
      </c>
      <c r="K1608" s="51" t="s">
        <v>41</v>
      </c>
      <c r="L1608" s="41">
        <f t="shared" si="125"/>
        <v>1164431000</v>
      </c>
      <c r="M1608" s="41">
        <f t="shared" si="126"/>
        <v>631067000</v>
      </c>
      <c r="N1608" s="41">
        <f t="shared" si="127"/>
        <v>533364000</v>
      </c>
      <c r="O1608" s="41">
        <f t="shared" si="128"/>
        <v>0.68277633229848633</v>
      </c>
      <c r="P1608" s="41">
        <f t="shared" si="129"/>
        <v>0.26811049270513293</v>
      </c>
    </row>
    <row r="1609" spans="1:16" ht="19.95" customHeight="1">
      <c r="A1609" s="49">
        <v>1673</v>
      </c>
      <c r="B1609" s="50" t="s">
        <v>709</v>
      </c>
      <c r="C1609" s="51" t="s">
        <v>20</v>
      </c>
      <c r="D1609" s="51" t="s">
        <v>21</v>
      </c>
      <c r="E1609" s="52">
        <v>2042332000</v>
      </c>
      <c r="F1609" s="52">
        <v>842672000</v>
      </c>
      <c r="G1609" s="52">
        <v>495747000</v>
      </c>
      <c r="H1609" s="52">
        <v>118545000</v>
      </c>
      <c r="I1609" s="52">
        <v>10123000</v>
      </c>
      <c r="J1609" s="51" t="s">
        <v>37</v>
      </c>
      <c r="K1609" s="51" t="s">
        <v>41</v>
      </c>
      <c r="L1609" s="41">
        <f t="shared" si="125"/>
        <v>1199660000</v>
      </c>
      <c r="M1609" s="41">
        <f t="shared" si="126"/>
        <v>624415000</v>
      </c>
      <c r="N1609" s="41">
        <f t="shared" si="127"/>
        <v>575245000</v>
      </c>
      <c r="O1609" s="41">
        <f t="shared" si="128"/>
        <v>0.69426371422471966</v>
      </c>
      <c r="P1609" s="41">
        <f t="shared" si="129"/>
        <v>0.28166086610795893</v>
      </c>
    </row>
    <row r="1610" spans="1:16" ht="19.95" customHeight="1">
      <c r="A1610" s="49">
        <v>1674</v>
      </c>
      <c r="B1610" s="50" t="s">
        <v>710</v>
      </c>
      <c r="C1610" s="51" t="s">
        <v>11</v>
      </c>
      <c r="D1610" s="51" t="s">
        <v>418</v>
      </c>
      <c r="E1610" s="52">
        <v>15351000000</v>
      </c>
      <c r="F1610" s="52">
        <v>10988000000</v>
      </c>
      <c r="G1610" s="52">
        <v>1525000000</v>
      </c>
      <c r="H1610" s="52">
        <v>1572000000</v>
      </c>
      <c r="I1610" s="52" t="s">
        <v>757</v>
      </c>
      <c r="J1610" s="51" t="s">
        <v>31</v>
      </c>
      <c r="K1610" s="51" t="s">
        <v>642</v>
      </c>
      <c r="L1610" s="41">
        <f t="shared" si="125"/>
        <v>4363000000</v>
      </c>
      <c r="M1610" s="41">
        <f t="shared" si="126"/>
        <v>3097000000</v>
      </c>
      <c r="N1610" s="41">
        <f t="shared" si="127"/>
        <v>1266000000</v>
      </c>
      <c r="O1610" s="41">
        <f t="shared" si="128"/>
        <v>0.7982541853950883</v>
      </c>
      <c r="P1610" s="41">
        <f t="shared" si="129"/>
        <v>8.2470197381278088E-2</v>
      </c>
    </row>
    <row r="1611" spans="1:16" ht="19.95" customHeight="1">
      <c r="A1611" s="49">
        <v>1675</v>
      </c>
      <c r="B1611" s="50" t="s">
        <v>710</v>
      </c>
      <c r="C1611" s="51" t="s">
        <v>16</v>
      </c>
      <c r="D1611" s="51" t="s">
        <v>420</v>
      </c>
      <c r="E1611" s="52">
        <v>15130000000</v>
      </c>
      <c r="F1611" s="52">
        <v>10770000000</v>
      </c>
      <c r="G1611" s="52">
        <v>908000000</v>
      </c>
      <c r="H1611" s="52">
        <v>1661000000</v>
      </c>
      <c r="I1611" s="52" t="s">
        <v>757</v>
      </c>
      <c r="J1611" s="51" t="s">
        <v>31</v>
      </c>
      <c r="K1611" s="51" t="s">
        <v>642</v>
      </c>
      <c r="L1611" s="41">
        <f t="shared" si="125"/>
        <v>4360000000</v>
      </c>
      <c r="M1611" s="41">
        <f t="shared" si="126"/>
        <v>2569000000</v>
      </c>
      <c r="N1611" s="41">
        <f t="shared" si="127"/>
        <v>1791000000</v>
      </c>
      <c r="O1611" s="41">
        <f t="shared" si="128"/>
        <v>0.83020489094514205</v>
      </c>
      <c r="P1611" s="41">
        <f t="shared" si="129"/>
        <v>0.11837409120951752</v>
      </c>
    </row>
    <row r="1612" spans="1:16" ht="19.95" customHeight="1">
      <c r="A1612" s="49">
        <v>1676</v>
      </c>
      <c r="B1612" s="50" t="s">
        <v>710</v>
      </c>
      <c r="C1612" s="51" t="s">
        <v>18</v>
      </c>
      <c r="D1612" s="51" t="s">
        <v>421</v>
      </c>
      <c r="E1612" s="52">
        <v>14572000000</v>
      </c>
      <c r="F1612" s="52">
        <v>10351000000</v>
      </c>
      <c r="G1612" s="52">
        <v>964000000</v>
      </c>
      <c r="H1612" s="52">
        <v>1646000000</v>
      </c>
      <c r="I1612" s="52" t="s">
        <v>757</v>
      </c>
      <c r="J1612" s="51" t="s">
        <v>31</v>
      </c>
      <c r="K1612" s="51" t="s">
        <v>642</v>
      </c>
      <c r="L1612" s="41">
        <f t="shared" si="125"/>
        <v>4221000000</v>
      </c>
      <c r="M1612" s="41">
        <f t="shared" si="126"/>
        <v>2610000000</v>
      </c>
      <c r="N1612" s="41">
        <f t="shared" si="127"/>
        <v>1611000000</v>
      </c>
      <c r="O1612" s="41">
        <f t="shared" si="128"/>
        <v>0.82088937688718089</v>
      </c>
      <c r="P1612" s="41">
        <f t="shared" si="129"/>
        <v>0.11055448805929179</v>
      </c>
    </row>
    <row r="1613" spans="1:16" ht="19.95" customHeight="1">
      <c r="A1613" s="49">
        <v>1677</v>
      </c>
      <c r="B1613" s="50" t="s">
        <v>710</v>
      </c>
      <c r="C1613" s="51" t="s">
        <v>20</v>
      </c>
      <c r="D1613" s="51" t="s">
        <v>422</v>
      </c>
      <c r="E1613" s="52">
        <v>12994000000</v>
      </c>
      <c r="F1613" s="52">
        <v>9559000000</v>
      </c>
      <c r="G1613" s="52">
        <v>1342000000</v>
      </c>
      <c r="H1613" s="52">
        <v>1627000000</v>
      </c>
      <c r="I1613" s="52" t="s">
        <v>757</v>
      </c>
      <c r="J1613" s="51" t="s">
        <v>31</v>
      </c>
      <c r="K1613" s="51" t="s">
        <v>642</v>
      </c>
      <c r="L1613" s="41">
        <f t="shared" si="125"/>
        <v>3435000000</v>
      </c>
      <c r="M1613" s="41">
        <f t="shared" si="126"/>
        <v>2969000000</v>
      </c>
      <c r="N1613" s="41">
        <f t="shared" si="127"/>
        <v>466000000</v>
      </c>
      <c r="O1613" s="41">
        <f t="shared" si="128"/>
        <v>0.77150992765891946</v>
      </c>
      <c r="P1613" s="41">
        <f t="shared" si="129"/>
        <v>3.5862705864245038E-2</v>
      </c>
    </row>
    <row r="1614" spans="1:16" ht="19.95" customHeight="1">
      <c r="A1614" s="49">
        <v>1678</v>
      </c>
      <c r="B1614" s="50" t="s">
        <v>711</v>
      </c>
      <c r="C1614" s="51" t="s">
        <v>11</v>
      </c>
      <c r="D1614" s="51" t="s">
        <v>12</v>
      </c>
      <c r="E1614" s="52">
        <v>4246400000</v>
      </c>
      <c r="F1614" s="52">
        <v>2760500000</v>
      </c>
      <c r="G1614" s="52">
        <v>121400000</v>
      </c>
      <c r="H1614" s="52" t="s">
        <v>757</v>
      </c>
      <c r="I1614" s="52">
        <v>364200000</v>
      </c>
      <c r="J1614" s="51" t="s">
        <v>70</v>
      </c>
      <c r="K1614" s="51" t="s">
        <v>73</v>
      </c>
      <c r="L1614" s="41">
        <f t="shared" si="125"/>
        <v>1485900000</v>
      </c>
      <c r="M1614" s="41">
        <f t="shared" si="126"/>
        <v>485600000</v>
      </c>
      <c r="N1614" s="41">
        <f t="shared" si="127"/>
        <v>1000300000</v>
      </c>
      <c r="O1614" s="41">
        <f t="shared" si="128"/>
        <v>0.88564431047475511</v>
      </c>
      <c r="P1614" s="41">
        <f t="shared" si="129"/>
        <v>0.23556424265259984</v>
      </c>
    </row>
    <row r="1615" spans="1:16" ht="19.95" customHeight="1">
      <c r="A1615" s="49">
        <v>1679</v>
      </c>
      <c r="B1615" s="50" t="s">
        <v>711</v>
      </c>
      <c r="C1615" s="51" t="s">
        <v>16</v>
      </c>
      <c r="D1615" s="51" t="s">
        <v>17</v>
      </c>
      <c r="E1615" s="52">
        <v>4519000000</v>
      </c>
      <c r="F1615" s="52">
        <v>2982100000</v>
      </c>
      <c r="G1615" s="52">
        <v>116700000</v>
      </c>
      <c r="H1615" s="52" t="s">
        <v>757</v>
      </c>
      <c r="I1615" s="52">
        <v>340100000</v>
      </c>
      <c r="J1615" s="51" t="s">
        <v>70</v>
      </c>
      <c r="K1615" s="51" t="s">
        <v>73</v>
      </c>
      <c r="L1615" s="41">
        <f t="shared" si="125"/>
        <v>1536900000</v>
      </c>
      <c r="M1615" s="41">
        <f t="shared" si="126"/>
        <v>456800000</v>
      </c>
      <c r="N1615" s="41">
        <f t="shared" si="127"/>
        <v>1080100000</v>
      </c>
      <c r="O1615" s="41">
        <f t="shared" si="128"/>
        <v>0.89891568931179466</v>
      </c>
      <c r="P1615" s="41">
        <f t="shared" si="129"/>
        <v>0.23901305598583758</v>
      </c>
    </row>
    <row r="1616" spans="1:16" ht="19.95" customHeight="1">
      <c r="A1616" s="49">
        <v>1680</v>
      </c>
      <c r="B1616" s="50" t="s">
        <v>711</v>
      </c>
      <c r="C1616" s="51" t="s">
        <v>18</v>
      </c>
      <c r="D1616" s="51" t="s">
        <v>19</v>
      </c>
      <c r="E1616" s="52">
        <v>4997100000</v>
      </c>
      <c r="F1616" s="52">
        <v>3371800000</v>
      </c>
      <c r="G1616" s="52">
        <v>121800000</v>
      </c>
      <c r="H1616" s="52" t="s">
        <v>757</v>
      </c>
      <c r="I1616" s="52">
        <v>391400000</v>
      </c>
      <c r="J1616" s="51" t="s">
        <v>70</v>
      </c>
      <c r="K1616" s="51" t="s">
        <v>73</v>
      </c>
      <c r="L1616" s="41">
        <f t="shared" si="125"/>
        <v>1625300000</v>
      </c>
      <c r="M1616" s="41">
        <f t="shared" si="126"/>
        <v>513200000</v>
      </c>
      <c r="N1616" s="41">
        <f t="shared" si="127"/>
        <v>1112100000</v>
      </c>
      <c r="O1616" s="41">
        <f t="shared" si="128"/>
        <v>0.89730043425186612</v>
      </c>
      <c r="P1616" s="41">
        <f t="shared" si="129"/>
        <v>0.22254907846551</v>
      </c>
    </row>
    <row r="1617" spans="1:16" ht="19.95" customHeight="1">
      <c r="A1617" s="49">
        <v>1681</v>
      </c>
      <c r="B1617" s="50" t="s">
        <v>711</v>
      </c>
      <c r="C1617" s="51" t="s">
        <v>20</v>
      </c>
      <c r="D1617" s="51" t="s">
        <v>21</v>
      </c>
      <c r="E1617" s="52">
        <v>5926100000</v>
      </c>
      <c r="F1617" s="52">
        <v>3949400000</v>
      </c>
      <c r="G1617" s="52">
        <v>164400000</v>
      </c>
      <c r="H1617" s="52" t="s">
        <v>757</v>
      </c>
      <c r="I1617" s="52">
        <v>561800000</v>
      </c>
      <c r="J1617" s="51" t="s">
        <v>70</v>
      </c>
      <c r="K1617" s="51" t="s">
        <v>73</v>
      </c>
      <c r="L1617" s="41">
        <f t="shared" si="125"/>
        <v>1976700000</v>
      </c>
      <c r="M1617" s="41">
        <f t="shared" si="126"/>
        <v>726200000</v>
      </c>
      <c r="N1617" s="41">
        <f t="shared" si="127"/>
        <v>1250500000</v>
      </c>
      <c r="O1617" s="41">
        <f t="shared" si="128"/>
        <v>0.87745734969035283</v>
      </c>
      <c r="P1617" s="41">
        <f t="shared" si="129"/>
        <v>0.21101567641450533</v>
      </c>
    </row>
    <row r="1618" spans="1:16" ht="19.95" customHeight="1">
      <c r="A1618" s="49">
        <v>1682</v>
      </c>
      <c r="B1618" s="50" t="s">
        <v>712</v>
      </c>
      <c r="C1618" s="51" t="s">
        <v>11</v>
      </c>
      <c r="D1618" s="51" t="s">
        <v>12</v>
      </c>
      <c r="E1618" s="52">
        <v>91247000000</v>
      </c>
      <c r="F1618" s="52">
        <v>1727000000</v>
      </c>
      <c r="G1618" s="52">
        <v>48724000000</v>
      </c>
      <c r="H1618" s="52" t="s">
        <v>757</v>
      </c>
      <c r="I1618" s="52">
        <v>8891000000</v>
      </c>
      <c r="J1618" s="51" t="s">
        <v>75</v>
      </c>
      <c r="K1618" s="51" t="s">
        <v>146</v>
      </c>
      <c r="L1618" s="41">
        <f t="shared" si="125"/>
        <v>89520000000</v>
      </c>
      <c r="M1618" s="41">
        <f t="shared" si="126"/>
        <v>57615000000</v>
      </c>
      <c r="N1618" s="41">
        <f t="shared" si="127"/>
        <v>31905000000</v>
      </c>
      <c r="O1618" s="41">
        <f t="shared" si="128"/>
        <v>0.36858198077745019</v>
      </c>
      <c r="P1618" s="41">
        <f t="shared" si="129"/>
        <v>0.3496553311341743</v>
      </c>
    </row>
    <row r="1619" spans="1:16" ht="19.95" customHeight="1">
      <c r="A1619" s="53">
        <v>1683</v>
      </c>
      <c r="B1619" s="54" t="s">
        <v>712</v>
      </c>
      <c r="C1619" s="55" t="s">
        <v>16</v>
      </c>
      <c r="D1619" s="55" t="s">
        <v>17</v>
      </c>
      <c r="E1619" s="56">
        <v>88069000000</v>
      </c>
      <c r="F1619" s="56">
        <v>1337000000</v>
      </c>
      <c r="G1619" s="56">
        <v>47338000000</v>
      </c>
      <c r="H1619" s="56" t="s">
        <v>757</v>
      </c>
      <c r="I1619" s="56">
        <v>3813000000</v>
      </c>
      <c r="J1619" s="55" t="s">
        <v>75</v>
      </c>
      <c r="K1619" s="55" t="s">
        <v>146</v>
      </c>
      <c r="L1619" s="57">
        <f t="shared" si="125"/>
        <v>86732000000</v>
      </c>
      <c r="M1619" s="57">
        <f t="shared" si="126"/>
        <v>51151000000</v>
      </c>
      <c r="N1619" s="57">
        <f t="shared" si="127"/>
        <v>35581000000</v>
      </c>
      <c r="O1619" s="57">
        <f t="shared" si="128"/>
        <v>0.41919404103600588</v>
      </c>
      <c r="P1619" s="57">
        <f t="shared" si="129"/>
        <v>0.40401276272013992</v>
      </c>
    </row>
    <row r="1620" spans="1:16" ht="19.95" customHeight="1">
      <c r="A1620" s="49">
        <v>1684</v>
      </c>
      <c r="B1620" s="50" t="s">
        <v>712</v>
      </c>
      <c r="C1620" s="51" t="s">
        <v>18</v>
      </c>
      <c r="D1620" s="51" t="s">
        <v>19</v>
      </c>
      <c r="E1620" s="52">
        <v>88372000000</v>
      </c>
      <c r="F1620" s="52">
        <v>1096000000</v>
      </c>
      <c r="G1620" s="52">
        <v>47667000000</v>
      </c>
      <c r="H1620" s="52" t="s">
        <v>757</v>
      </c>
      <c r="I1620" s="52">
        <v>2765000000</v>
      </c>
      <c r="J1620" s="51" t="s">
        <v>75</v>
      </c>
      <c r="K1620" s="51" t="s">
        <v>146</v>
      </c>
      <c r="L1620" s="41">
        <f t="shared" si="125"/>
        <v>87276000000</v>
      </c>
      <c r="M1620" s="41">
        <f t="shared" si="126"/>
        <v>50432000000</v>
      </c>
      <c r="N1620" s="41">
        <f t="shared" si="127"/>
        <v>36844000000</v>
      </c>
      <c r="O1620" s="41">
        <f t="shared" si="128"/>
        <v>0.42932150454895213</v>
      </c>
      <c r="P1620" s="41">
        <f t="shared" si="129"/>
        <v>0.41691938623093289</v>
      </c>
    </row>
    <row r="1621" spans="1:16" ht="19.95" customHeight="1">
      <c r="A1621" s="49">
        <v>1685</v>
      </c>
      <c r="B1621" s="50" t="s">
        <v>712</v>
      </c>
      <c r="C1621" s="51" t="s">
        <v>20</v>
      </c>
      <c r="D1621" s="51" t="s">
        <v>21</v>
      </c>
      <c r="E1621" s="52">
        <v>90033000000</v>
      </c>
      <c r="F1621" s="52">
        <v>963000000</v>
      </c>
      <c r="G1621" s="52">
        <v>48728000000</v>
      </c>
      <c r="H1621" s="52" t="s">
        <v>757</v>
      </c>
      <c r="I1621" s="52">
        <v>3688000000</v>
      </c>
      <c r="J1621" s="51" t="s">
        <v>75</v>
      </c>
      <c r="K1621" s="51" t="s">
        <v>146</v>
      </c>
      <c r="L1621" s="41">
        <f t="shared" si="125"/>
        <v>89070000000</v>
      </c>
      <c r="M1621" s="41">
        <f t="shared" si="126"/>
        <v>52416000000</v>
      </c>
      <c r="N1621" s="41">
        <f t="shared" si="127"/>
        <v>36654000000</v>
      </c>
      <c r="O1621" s="41">
        <f t="shared" si="128"/>
        <v>0.41781346839492184</v>
      </c>
      <c r="P1621" s="41">
        <f t="shared" si="129"/>
        <v>0.40711739029022692</v>
      </c>
    </row>
    <row r="1622" spans="1:16" ht="19.95" customHeight="1">
      <c r="A1622" s="49">
        <v>1686</v>
      </c>
      <c r="B1622" s="50" t="s">
        <v>713</v>
      </c>
      <c r="C1622" s="51" t="s">
        <v>11</v>
      </c>
      <c r="D1622" s="51" t="s">
        <v>604</v>
      </c>
      <c r="E1622" s="52">
        <v>12917000000</v>
      </c>
      <c r="F1622" s="52">
        <v>8288000000</v>
      </c>
      <c r="G1622" s="52">
        <v>3682000000</v>
      </c>
      <c r="H1622" s="52" t="s">
        <v>757</v>
      </c>
      <c r="I1622" s="52" t="s">
        <v>757</v>
      </c>
      <c r="J1622" s="51" t="s">
        <v>60</v>
      </c>
      <c r="K1622" s="51" t="s">
        <v>474</v>
      </c>
      <c r="L1622" s="41">
        <f t="shared" si="125"/>
        <v>4629000000</v>
      </c>
      <c r="M1622" s="41">
        <f t="shared" si="126"/>
        <v>3682000000</v>
      </c>
      <c r="N1622" s="41">
        <f t="shared" si="127"/>
        <v>947000000</v>
      </c>
      <c r="O1622" s="41">
        <f t="shared" si="128"/>
        <v>0.7149492916311837</v>
      </c>
      <c r="P1622" s="41">
        <f t="shared" si="129"/>
        <v>7.3314237051947048E-2</v>
      </c>
    </row>
    <row r="1623" spans="1:16" ht="19.95" customHeight="1">
      <c r="A1623" s="49">
        <v>1687</v>
      </c>
      <c r="B1623" s="50" t="s">
        <v>713</v>
      </c>
      <c r="C1623" s="51" t="s">
        <v>16</v>
      </c>
      <c r="D1623" s="51" t="s">
        <v>605</v>
      </c>
      <c r="E1623" s="52">
        <v>14194000000</v>
      </c>
      <c r="F1623" s="52">
        <v>9150000000</v>
      </c>
      <c r="G1623" s="52">
        <v>4032000000</v>
      </c>
      <c r="H1623" s="52" t="s">
        <v>757</v>
      </c>
      <c r="I1623" s="52" t="s">
        <v>757</v>
      </c>
      <c r="J1623" s="51" t="s">
        <v>60</v>
      </c>
      <c r="K1623" s="51" t="s">
        <v>474</v>
      </c>
      <c r="L1623" s="41">
        <f t="shared" si="125"/>
        <v>5044000000</v>
      </c>
      <c r="M1623" s="41">
        <f t="shared" si="126"/>
        <v>4032000000</v>
      </c>
      <c r="N1623" s="41">
        <f t="shared" si="127"/>
        <v>1012000000</v>
      </c>
      <c r="O1623" s="41">
        <f t="shared" si="128"/>
        <v>0.71593631111737355</v>
      </c>
      <c r="P1623" s="41">
        <f t="shared" si="129"/>
        <v>7.1297731435817954E-2</v>
      </c>
    </row>
    <row r="1624" spans="1:16" ht="19.95" customHeight="1">
      <c r="A1624" s="49">
        <v>1688</v>
      </c>
      <c r="B1624" s="50" t="s">
        <v>713</v>
      </c>
      <c r="C1624" s="51" t="s">
        <v>18</v>
      </c>
      <c r="D1624" s="51" t="s">
        <v>606</v>
      </c>
      <c r="E1624" s="52">
        <v>15389000000</v>
      </c>
      <c r="F1624" s="52">
        <v>9973000000</v>
      </c>
      <c r="G1624" s="52">
        <v>4472000000</v>
      </c>
      <c r="H1624" s="52" t="s">
        <v>757</v>
      </c>
      <c r="I1624" s="52" t="s">
        <v>757</v>
      </c>
      <c r="J1624" s="51" t="s">
        <v>60</v>
      </c>
      <c r="K1624" s="51" t="s">
        <v>474</v>
      </c>
      <c r="L1624" s="41">
        <f t="shared" si="125"/>
        <v>5416000000</v>
      </c>
      <c r="M1624" s="41">
        <f t="shared" si="126"/>
        <v>4472000000</v>
      </c>
      <c r="N1624" s="41">
        <f t="shared" si="127"/>
        <v>944000000</v>
      </c>
      <c r="O1624" s="41">
        <f t="shared" si="128"/>
        <v>0.70940282019624412</v>
      </c>
      <c r="P1624" s="41">
        <f t="shared" si="129"/>
        <v>6.1342517382545973E-2</v>
      </c>
    </row>
    <row r="1625" spans="1:16" ht="19.95" customHeight="1">
      <c r="A1625" s="49">
        <v>1689</v>
      </c>
      <c r="B1625" s="50" t="s">
        <v>713</v>
      </c>
      <c r="C1625" s="51" t="s">
        <v>20</v>
      </c>
      <c r="D1625" s="51" t="s">
        <v>607</v>
      </c>
      <c r="E1625" s="52">
        <v>15724000000</v>
      </c>
      <c r="F1625" s="52">
        <v>10313000000</v>
      </c>
      <c r="G1625" s="52">
        <v>4477000000</v>
      </c>
      <c r="H1625" s="52" t="s">
        <v>757</v>
      </c>
      <c r="I1625" s="52" t="s">
        <v>757</v>
      </c>
      <c r="J1625" s="51" t="s">
        <v>60</v>
      </c>
      <c r="K1625" s="51" t="s">
        <v>474</v>
      </c>
      <c r="L1625" s="41">
        <f t="shared" si="125"/>
        <v>5411000000</v>
      </c>
      <c r="M1625" s="41">
        <f t="shared" si="126"/>
        <v>4477000000</v>
      </c>
      <c r="N1625" s="41">
        <f t="shared" si="127"/>
        <v>934000000</v>
      </c>
      <c r="O1625" s="41">
        <f t="shared" si="128"/>
        <v>0.71527601119308071</v>
      </c>
      <c r="P1625" s="41">
        <f t="shared" si="129"/>
        <v>5.9399643856525054E-2</v>
      </c>
    </row>
    <row r="1626" spans="1:16" ht="19.95" customHeight="1">
      <c r="A1626" s="49">
        <v>1690</v>
      </c>
      <c r="B1626" s="50" t="s">
        <v>714</v>
      </c>
      <c r="C1626" s="51" t="s">
        <v>11</v>
      </c>
      <c r="D1626" s="51" t="s">
        <v>17</v>
      </c>
      <c r="E1626" s="52">
        <v>18769000000</v>
      </c>
      <c r="F1626" s="52">
        <v>15471000000</v>
      </c>
      <c r="G1626" s="52">
        <v>1828000000</v>
      </c>
      <c r="H1626" s="52" t="s">
        <v>757</v>
      </c>
      <c r="I1626" s="52">
        <v>25000000</v>
      </c>
      <c r="J1626" s="51" t="s">
        <v>24</v>
      </c>
      <c r="K1626" s="51" t="s">
        <v>633</v>
      </c>
      <c r="L1626" s="41">
        <f t="shared" si="125"/>
        <v>3298000000</v>
      </c>
      <c r="M1626" s="41">
        <f t="shared" si="126"/>
        <v>1853000000</v>
      </c>
      <c r="N1626" s="41">
        <f t="shared" si="127"/>
        <v>1445000000</v>
      </c>
      <c r="O1626" s="41">
        <f t="shared" si="128"/>
        <v>0.90127337631200388</v>
      </c>
      <c r="P1626" s="41">
        <f t="shared" si="129"/>
        <v>7.6988651499813529E-2</v>
      </c>
    </row>
    <row r="1627" spans="1:16" ht="19.95" customHeight="1">
      <c r="A1627" s="49">
        <v>1691</v>
      </c>
      <c r="B1627" s="50" t="s">
        <v>714</v>
      </c>
      <c r="C1627" s="51" t="s">
        <v>16</v>
      </c>
      <c r="D1627" s="51" t="s">
        <v>19</v>
      </c>
      <c r="E1627" s="52">
        <v>19872000000</v>
      </c>
      <c r="F1627" s="52">
        <v>16477000000</v>
      </c>
      <c r="G1627" s="52">
        <v>2038000000</v>
      </c>
      <c r="H1627" s="52" t="s">
        <v>757</v>
      </c>
      <c r="I1627" s="52">
        <v>33000000</v>
      </c>
      <c r="J1627" s="51" t="s">
        <v>24</v>
      </c>
      <c r="K1627" s="51" t="s">
        <v>633</v>
      </c>
      <c r="L1627" s="41">
        <f t="shared" si="125"/>
        <v>3395000000</v>
      </c>
      <c r="M1627" s="41">
        <f t="shared" si="126"/>
        <v>2071000000</v>
      </c>
      <c r="N1627" s="41">
        <f t="shared" si="127"/>
        <v>1324000000</v>
      </c>
      <c r="O1627" s="41">
        <f t="shared" si="128"/>
        <v>0.89578301127214166</v>
      </c>
      <c r="P1627" s="41">
        <f t="shared" si="129"/>
        <v>6.662640901771337E-2</v>
      </c>
    </row>
    <row r="1628" spans="1:16" ht="19.95" customHeight="1">
      <c r="A1628" s="49">
        <v>1692</v>
      </c>
      <c r="B1628" s="50" t="s">
        <v>714</v>
      </c>
      <c r="C1628" s="51" t="s">
        <v>18</v>
      </c>
      <c r="D1628" s="51" t="s">
        <v>21</v>
      </c>
      <c r="E1628" s="52">
        <v>20891000000</v>
      </c>
      <c r="F1628" s="52">
        <v>17201000000</v>
      </c>
      <c r="G1628" s="52">
        <v>2130000000</v>
      </c>
      <c r="H1628" s="52" t="s">
        <v>757</v>
      </c>
      <c r="I1628" s="52">
        <v>74000000</v>
      </c>
      <c r="J1628" s="51" t="s">
        <v>24</v>
      </c>
      <c r="K1628" s="51" t="s">
        <v>633</v>
      </c>
      <c r="L1628" s="41">
        <f t="shared" si="125"/>
        <v>3690000000</v>
      </c>
      <c r="M1628" s="41">
        <f t="shared" si="126"/>
        <v>2204000000</v>
      </c>
      <c r="N1628" s="41">
        <f t="shared" si="127"/>
        <v>1486000000</v>
      </c>
      <c r="O1628" s="41">
        <f t="shared" si="128"/>
        <v>0.89450002393375139</v>
      </c>
      <c r="P1628" s="41">
        <f t="shared" si="129"/>
        <v>7.1131109090038766E-2</v>
      </c>
    </row>
    <row r="1629" spans="1:16" ht="19.95" customHeight="1">
      <c r="A1629" s="49">
        <v>1693</v>
      </c>
      <c r="B1629" s="50" t="s">
        <v>714</v>
      </c>
      <c r="C1629" s="51" t="s">
        <v>20</v>
      </c>
      <c r="D1629" s="51" t="s">
        <v>84</v>
      </c>
      <c r="E1629" s="52">
        <v>20718000000</v>
      </c>
      <c r="F1629" s="52">
        <v>17036000000</v>
      </c>
      <c r="G1629" s="52">
        <v>2084000000</v>
      </c>
      <c r="H1629" s="52" t="s">
        <v>757</v>
      </c>
      <c r="I1629" s="52">
        <v>71000000</v>
      </c>
      <c r="J1629" s="51" t="s">
        <v>24</v>
      </c>
      <c r="K1629" s="51" t="s">
        <v>633</v>
      </c>
      <c r="L1629" s="41">
        <f t="shared" si="125"/>
        <v>3682000000</v>
      </c>
      <c r="M1629" s="41">
        <f t="shared" si="126"/>
        <v>2155000000</v>
      </c>
      <c r="N1629" s="41">
        <f t="shared" si="127"/>
        <v>1527000000</v>
      </c>
      <c r="O1629" s="41">
        <f t="shared" si="128"/>
        <v>0.89598416835601891</v>
      </c>
      <c r="P1629" s="41">
        <f t="shared" si="129"/>
        <v>7.3704025485085436E-2</v>
      </c>
    </row>
    <row r="1630" spans="1:16" ht="19.95" customHeight="1">
      <c r="A1630" s="49">
        <v>1698</v>
      </c>
      <c r="B1630" s="50" t="s">
        <v>715</v>
      </c>
      <c r="C1630" s="51" t="s">
        <v>11</v>
      </c>
      <c r="D1630" s="51" t="s">
        <v>17</v>
      </c>
      <c r="E1630" s="52">
        <v>13983000000</v>
      </c>
      <c r="F1630" s="52">
        <v>9112000000</v>
      </c>
      <c r="G1630" s="52">
        <v>1468000000</v>
      </c>
      <c r="H1630" s="52" t="s">
        <v>757</v>
      </c>
      <c r="I1630" s="52">
        <v>1333000000</v>
      </c>
      <c r="J1630" s="51" t="s">
        <v>14</v>
      </c>
      <c r="K1630" s="51" t="s">
        <v>716</v>
      </c>
      <c r="L1630" s="41">
        <f t="shared" si="125"/>
        <v>4871000000</v>
      </c>
      <c r="M1630" s="41">
        <f t="shared" si="126"/>
        <v>2801000000</v>
      </c>
      <c r="N1630" s="41">
        <f t="shared" si="127"/>
        <v>2070000000</v>
      </c>
      <c r="O1630" s="41">
        <f t="shared" si="128"/>
        <v>0.79968533218908677</v>
      </c>
      <c r="P1630" s="41">
        <f t="shared" si="129"/>
        <v>0.14803690195237074</v>
      </c>
    </row>
    <row r="1631" spans="1:16" ht="19.95" customHeight="1">
      <c r="A1631" s="49">
        <v>1699</v>
      </c>
      <c r="B1631" s="50" t="s">
        <v>715</v>
      </c>
      <c r="C1631" s="51" t="s">
        <v>16</v>
      </c>
      <c r="D1631" s="51" t="s">
        <v>19</v>
      </c>
      <c r="E1631" s="52">
        <v>13996000000</v>
      </c>
      <c r="F1631" s="52">
        <v>9002000000</v>
      </c>
      <c r="G1631" s="52">
        <v>1481000000</v>
      </c>
      <c r="H1631" s="52" t="s">
        <v>757</v>
      </c>
      <c r="I1631" s="52">
        <v>1292000000</v>
      </c>
      <c r="J1631" s="51" t="s">
        <v>14</v>
      </c>
      <c r="K1631" s="51" t="s">
        <v>716</v>
      </c>
      <c r="L1631" s="41">
        <f t="shared" si="125"/>
        <v>4994000000</v>
      </c>
      <c r="M1631" s="41">
        <f t="shared" si="126"/>
        <v>2773000000</v>
      </c>
      <c r="N1631" s="41">
        <f t="shared" si="127"/>
        <v>2221000000</v>
      </c>
      <c r="O1631" s="41">
        <f t="shared" si="128"/>
        <v>0.8018719634181195</v>
      </c>
      <c r="P1631" s="41">
        <f t="shared" si="129"/>
        <v>0.15868819662760789</v>
      </c>
    </row>
    <row r="1632" spans="1:16" ht="19.95" customHeight="1">
      <c r="A1632" s="49">
        <v>1700</v>
      </c>
      <c r="B1632" s="50" t="s">
        <v>715</v>
      </c>
      <c r="C1632" s="51" t="s">
        <v>18</v>
      </c>
      <c r="D1632" s="51" t="s">
        <v>21</v>
      </c>
      <c r="E1632" s="52">
        <v>12961000000</v>
      </c>
      <c r="F1632" s="52">
        <v>8231000000</v>
      </c>
      <c r="G1632" s="52">
        <v>1343000000</v>
      </c>
      <c r="H1632" s="52" t="s">
        <v>757</v>
      </c>
      <c r="I1632" s="52">
        <v>1245000000</v>
      </c>
      <c r="J1632" s="51" t="s">
        <v>14</v>
      </c>
      <c r="K1632" s="51" t="s">
        <v>716</v>
      </c>
      <c r="L1632" s="41">
        <f t="shared" si="125"/>
        <v>4730000000</v>
      </c>
      <c r="M1632" s="41">
        <f t="shared" si="126"/>
        <v>2588000000</v>
      </c>
      <c r="N1632" s="41">
        <f t="shared" si="127"/>
        <v>2142000000</v>
      </c>
      <c r="O1632" s="41">
        <f t="shared" si="128"/>
        <v>0.80032404907028776</v>
      </c>
      <c r="P1632" s="41">
        <f t="shared" si="129"/>
        <v>0.16526502584677108</v>
      </c>
    </row>
    <row r="1633" spans="1:16" ht="19.95" customHeight="1">
      <c r="A1633" s="49">
        <v>1701</v>
      </c>
      <c r="B1633" s="50" t="s">
        <v>715</v>
      </c>
      <c r="C1633" s="51" t="s">
        <v>20</v>
      </c>
      <c r="D1633" s="51" t="s">
        <v>84</v>
      </c>
      <c r="E1633" s="52">
        <v>13609000000</v>
      </c>
      <c r="F1633" s="52">
        <v>8486000000</v>
      </c>
      <c r="G1633" s="52">
        <v>1410000000</v>
      </c>
      <c r="H1633" s="52" t="s">
        <v>757</v>
      </c>
      <c r="I1633" s="52">
        <v>1301000000</v>
      </c>
      <c r="J1633" s="51" t="s">
        <v>14</v>
      </c>
      <c r="K1633" s="51" t="s">
        <v>716</v>
      </c>
      <c r="L1633" s="41">
        <f t="shared" si="125"/>
        <v>5123000000</v>
      </c>
      <c r="M1633" s="41">
        <f t="shared" si="126"/>
        <v>2711000000</v>
      </c>
      <c r="N1633" s="41">
        <f t="shared" si="127"/>
        <v>2412000000</v>
      </c>
      <c r="O1633" s="41">
        <f t="shared" si="128"/>
        <v>0.80079359247556758</v>
      </c>
      <c r="P1633" s="41">
        <f t="shared" si="129"/>
        <v>0.17723565287677273</v>
      </c>
    </row>
    <row r="1634" spans="1:16" ht="19.95" customHeight="1">
      <c r="A1634" s="49">
        <v>1702</v>
      </c>
      <c r="B1634" s="50" t="s">
        <v>717</v>
      </c>
      <c r="C1634" s="51" t="s">
        <v>11</v>
      </c>
      <c r="D1634" s="51" t="s">
        <v>12</v>
      </c>
      <c r="E1634" s="52">
        <v>7486000000</v>
      </c>
      <c r="F1634" s="52">
        <v>4523000000</v>
      </c>
      <c r="G1634" s="52">
        <v>595000000</v>
      </c>
      <c r="H1634" s="52" t="s">
        <v>757</v>
      </c>
      <c r="I1634" s="52">
        <v>756000000</v>
      </c>
      <c r="J1634" s="51" t="s">
        <v>116</v>
      </c>
      <c r="K1634" s="51" t="s">
        <v>117</v>
      </c>
      <c r="L1634" s="41">
        <f t="shared" si="125"/>
        <v>2963000000</v>
      </c>
      <c r="M1634" s="41">
        <f t="shared" si="126"/>
        <v>1351000000</v>
      </c>
      <c r="N1634" s="41">
        <f t="shared" si="127"/>
        <v>1612000000</v>
      </c>
      <c r="O1634" s="41">
        <f t="shared" si="128"/>
        <v>0.81952978893935347</v>
      </c>
      <c r="P1634" s="41">
        <f t="shared" si="129"/>
        <v>0.21533529254608602</v>
      </c>
    </row>
    <row r="1635" spans="1:16" ht="19.95" customHeight="1">
      <c r="A1635" s="53">
        <v>1703</v>
      </c>
      <c r="B1635" s="54" t="s">
        <v>717</v>
      </c>
      <c r="C1635" s="55" t="s">
        <v>16</v>
      </c>
      <c r="D1635" s="55" t="s">
        <v>17</v>
      </c>
      <c r="E1635" s="56">
        <v>6860000000</v>
      </c>
      <c r="F1635" s="56">
        <v>4124000000</v>
      </c>
      <c r="G1635" s="56">
        <v>546000000</v>
      </c>
      <c r="H1635" s="56" t="s">
        <v>757</v>
      </c>
      <c r="I1635" s="56">
        <v>815000000</v>
      </c>
      <c r="J1635" s="55" t="s">
        <v>116</v>
      </c>
      <c r="K1635" s="55" t="s">
        <v>117</v>
      </c>
      <c r="L1635" s="57">
        <f t="shared" si="125"/>
        <v>2736000000</v>
      </c>
      <c r="M1635" s="57">
        <f t="shared" si="126"/>
        <v>1361000000</v>
      </c>
      <c r="N1635" s="57">
        <f t="shared" si="127"/>
        <v>1375000000</v>
      </c>
      <c r="O1635" s="57">
        <f t="shared" si="128"/>
        <v>0.80160349854227408</v>
      </c>
      <c r="P1635" s="57">
        <f t="shared" si="129"/>
        <v>0.20043731778425655</v>
      </c>
    </row>
    <row r="1636" spans="1:16" ht="19.95" customHeight="1">
      <c r="A1636" s="49">
        <v>1704</v>
      </c>
      <c r="B1636" s="50" t="s">
        <v>717</v>
      </c>
      <c r="C1636" s="51" t="s">
        <v>18</v>
      </c>
      <c r="D1636" s="51" t="s">
        <v>19</v>
      </c>
      <c r="E1636" s="52">
        <v>7637000000</v>
      </c>
      <c r="F1636" s="52">
        <v>4508000000</v>
      </c>
      <c r="G1636" s="52">
        <v>384000000</v>
      </c>
      <c r="H1636" s="52" t="s">
        <v>757</v>
      </c>
      <c r="I1636" s="52">
        <v>1176000000</v>
      </c>
      <c r="J1636" s="51" t="s">
        <v>116</v>
      </c>
      <c r="K1636" s="51" t="s">
        <v>117</v>
      </c>
      <c r="L1636" s="41">
        <f t="shared" si="125"/>
        <v>3129000000</v>
      </c>
      <c r="M1636" s="41">
        <f t="shared" si="126"/>
        <v>1560000000</v>
      </c>
      <c r="N1636" s="41">
        <f t="shared" si="127"/>
        <v>1569000000</v>
      </c>
      <c r="O1636" s="41">
        <f t="shared" si="128"/>
        <v>0.79573130810527692</v>
      </c>
      <c r="P1636" s="41">
        <f t="shared" si="129"/>
        <v>0.2054471651171926</v>
      </c>
    </row>
    <row r="1637" spans="1:16" ht="19.95" customHeight="1">
      <c r="A1637" s="49">
        <v>1705</v>
      </c>
      <c r="B1637" s="50" t="s">
        <v>717</v>
      </c>
      <c r="C1637" s="51" t="s">
        <v>20</v>
      </c>
      <c r="D1637" s="51" t="s">
        <v>21</v>
      </c>
      <c r="E1637" s="52">
        <v>7360000000</v>
      </c>
      <c r="F1637" s="52">
        <v>3434000000</v>
      </c>
      <c r="G1637" s="52">
        <v>864000000</v>
      </c>
      <c r="H1637" s="52" t="s">
        <v>757</v>
      </c>
      <c r="I1637" s="52">
        <v>1738000000</v>
      </c>
      <c r="J1637" s="51" t="s">
        <v>116</v>
      </c>
      <c r="K1637" s="51" t="s">
        <v>117</v>
      </c>
      <c r="L1637" s="41">
        <f t="shared" si="125"/>
        <v>3926000000</v>
      </c>
      <c r="M1637" s="41">
        <f t="shared" si="126"/>
        <v>2602000000</v>
      </c>
      <c r="N1637" s="41">
        <f t="shared" si="127"/>
        <v>1324000000</v>
      </c>
      <c r="O1637" s="41">
        <f t="shared" si="128"/>
        <v>0.64646739130434783</v>
      </c>
      <c r="P1637" s="41">
        <f t="shared" si="129"/>
        <v>0.17989130434782608</v>
      </c>
    </row>
    <row r="1638" spans="1:16" ht="19.95" customHeight="1">
      <c r="A1638" s="49">
        <v>1706</v>
      </c>
      <c r="B1638" s="50" t="s">
        <v>718</v>
      </c>
      <c r="C1638" s="51" t="s">
        <v>11</v>
      </c>
      <c r="D1638" s="51" t="s">
        <v>65</v>
      </c>
      <c r="E1638" s="52">
        <v>4686510000</v>
      </c>
      <c r="F1638" s="52">
        <v>352297000000</v>
      </c>
      <c r="G1638" s="52">
        <v>88629000000</v>
      </c>
      <c r="H1638" s="52" t="s">
        <v>757</v>
      </c>
      <c r="I1638" s="52" t="s">
        <v>757</v>
      </c>
      <c r="J1638" s="51" t="s">
        <v>60</v>
      </c>
      <c r="K1638" s="51" t="s">
        <v>232</v>
      </c>
      <c r="L1638" s="41">
        <f t="shared" si="125"/>
        <v>-347610490000</v>
      </c>
      <c r="M1638" s="41">
        <f t="shared" si="126"/>
        <v>88629000000</v>
      </c>
      <c r="N1638" s="41">
        <f t="shared" si="127"/>
        <v>-436239490000</v>
      </c>
      <c r="O1638" s="41">
        <f t="shared" si="128"/>
        <v>-17.911514111780409</v>
      </c>
      <c r="P1638" s="41">
        <f t="shared" si="129"/>
        <v>-93.084083891851293</v>
      </c>
    </row>
    <row r="1639" spans="1:16" ht="19.95" customHeight="1">
      <c r="A1639" s="49">
        <v>1707</v>
      </c>
      <c r="B1639" s="50" t="s">
        <v>718</v>
      </c>
      <c r="C1639" s="51" t="s">
        <v>16</v>
      </c>
      <c r="D1639" s="51" t="s">
        <v>66</v>
      </c>
      <c r="E1639" s="52">
        <v>476294000000</v>
      </c>
      <c r="F1639" s="52">
        <v>358069000000</v>
      </c>
      <c r="G1639" s="52">
        <v>91353000000</v>
      </c>
      <c r="H1639" s="52" t="s">
        <v>757</v>
      </c>
      <c r="I1639" s="52" t="s">
        <v>757</v>
      </c>
      <c r="J1639" s="51" t="s">
        <v>60</v>
      </c>
      <c r="K1639" s="51" t="s">
        <v>232</v>
      </c>
      <c r="L1639" s="41">
        <f t="shared" si="125"/>
        <v>118225000000</v>
      </c>
      <c r="M1639" s="41">
        <f t="shared" si="126"/>
        <v>91353000000</v>
      </c>
      <c r="N1639" s="41">
        <f t="shared" si="127"/>
        <v>26872000000</v>
      </c>
      <c r="O1639" s="41">
        <f t="shared" si="128"/>
        <v>0.80820039723364134</v>
      </c>
      <c r="P1639" s="41">
        <f t="shared" si="129"/>
        <v>5.6418934523634563E-2</v>
      </c>
    </row>
    <row r="1640" spans="1:16" ht="19.95" customHeight="1">
      <c r="A1640" s="49">
        <v>1708</v>
      </c>
      <c r="B1640" s="50" t="s">
        <v>718</v>
      </c>
      <c r="C1640" s="51" t="s">
        <v>18</v>
      </c>
      <c r="D1640" s="51" t="s">
        <v>67</v>
      </c>
      <c r="E1640" s="52">
        <v>485651000000</v>
      </c>
      <c r="F1640" s="52">
        <v>365086000000</v>
      </c>
      <c r="G1640" s="52">
        <v>93418000000</v>
      </c>
      <c r="H1640" s="52" t="s">
        <v>757</v>
      </c>
      <c r="I1640" s="52" t="s">
        <v>757</v>
      </c>
      <c r="J1640" s="51" t="s">
        <v>60</v>
      </c>
      <c r="K1640" s="51" t="s">
        <v>232</v>
      </c>
      <c r="L1640" s="41">
        <f t="shared" si="125"/>
        <v>120565000000</v>
      </c>
      <c r="M1640" s="41">
        <f t="shared" si="126"/>
        <v>93418000000</v>
      </c>
      <c r="N1640" s="41">
        <f t="shared" si="127"/>
        <v>27147000000</v>
      </c>
      <c r="O1640" s="41">
        <f t="shared" si="128"/>
        <v>0.80764376064293086</v>
      </c>
      <c r="P1640" s="41">
        <f t="shared" si="129"/>
        <v>5.5898165555100264E-2</v>
      </c>
    </row>
    <row r="1641" spans="1:16" ht="19.95" customHeight="1">
      <c r="A1641" s="49">
        <v>1709</v>
      </c>
      <c r="B1641" s="50" t="s">
        <v>718</v>
      </c>
      <c r="C1641" s="51" t="s">
        <v>20</v>
      </c>
      <c r="D1641" s="51" t="s">
        <v>68</v>
      </c>
      <c r="E1641" s="52">
        <v>482130000000</v>
      </c>
      <c r="F1641" s="52">
        <v>360984000000</v>
      </c>
      <c r="G1641" s="52">
        <v>97041000000</v>
      </c>
      <c r="H1641" s="52" t="s">
        <v>757</v>
      </c>
      <c r="I1641" s="52" t="s">
        <v>757</v>
      </c>
      <c r="J1641" s="51" t="s">
        <v>60</v>
      </c>
      <c r="K1641" s="51" t="s">
        <v>232</v>
      </c>
      <c r="L1641" s="41">
        <f t="shared" si="125"/>
        <v>121146000000</v>
      </c>
      <c r="M1641" s="41">
        <f t="shared" si="126"/>
        <v>97041000000</v>
      </c>
      <c r="N1641" s="41">
        <f t="shared" si="127"/>
        <v>24105000000</v>
      </c>
      <c r="O1641" s="41">
        <f t="shared" si="128"/>
        <v>0.79872441042872255</v>
      </c>
      <c r="P1641" s="41">
        <f t="shared" si="129"/>
        <v>4.9996888805923713E-2</v>
      </c>
    </row>
    <row r="1642" spans="1:16" ht="19.95" customHeight="1">
      <c r="A1642" s="49">
        <v>1710</v>
      </c>
      <c r="B1642" s="50" t="s">
        <v>719</v>
      </c>
      <c r="C1642" s="51" t="s">
        <v>11</v>
      </c>
      <c r="D1642" s="51" t="s">
        <v>42</v>
      </c>
      <c r="E1642" s="52">
        <v>9895100000</v>
      </c>
      <c r="F1642" s="52">
        <v>7961500000</v>
      </c>
      <c r="G1642" s="52">
        <v>937600000</v>
      </c>
      <c r="H1642" s="52" t="s">
        <v>757</v>
      </c>
      <c r="I1642" s="52">
        <v>86000000</v>
      </c>
      <c r="J1642" s="51" t="s">
        <v>88</v>
      </c>
      <c r="K1642" s="51" t="s">
        <v>130</v>
      </c>
      <c r="L1642" s="41">
        <f t="shared" si="125"/>
        <v>1933600000</v>
      </c>
      <c r="M1642" s="41">
        <f t="shared" si="126"/>
        <v>1023600000</v>
      </c>
      <c r="N1642" s="41">
        <f t="shared" si="127"/>
        <v>910000000</v>
      </c>
      <c r="O1642" s="41">
        <f t="shared" si="128"/>
        <v>0.89655486048650346</v>
      </c>
      <c r="P1642" s="41">
        <f t="shared" si="129"/>
        <v>9.1964709805863507E-2</v>
      </c>
    </row>
    <row r="1643" spans="1:16" ht="19.95" customHeight="1">
      <c r="A1643" s="49">
        <v>1711</v>
      </c>
      <c r="B1643" s="50" t="s">
        <v>719</v>
      </c>
      <c r="C1643" s="51" t="s">
        <v>16</v>
      </c>
      <c r="D1643" s="51" t="s">
        <v>43</v>
      </c>
      <c r="E1643" s="52">
        <v>11124800000</v>
      </c>
      <c r="F1643" s="52">
        <v>8986500000</v>
      </c>
      <c r="G1643" s="52">
        <v>1026100000</v>
      </c>
      <c r="H1643" s="52" t="s">
        <v>757</v>
      </c>
      <c r="I1643" s="52">
        <v>118900000</v>
      </c>
      <c r="J1643" s="51" t="s">
        <v>88</v>
      </c>
      <c r="K1643" s="51" t="s">
        <v>130</v>
      </c>
      <c r="L1643" s="41">
        <f t="shared" si="125"/>
        <v>2138300000</v>
      </c>
      <c r="M1643" s="41">
        <f t="shared" si="126"/>
        <v>1145000000</v>
      </c>
      <c r="N1643" s="41">
        <f t="shared" si="127"/>
        <v>993300000</v>
      </c>
      <c r="O1643" s="41">
        <f t="shared" si="128"/>
        <v>0.89707680138069901</v>
      </c>
      <c r="P1643" s="41">
        <f t="shared" si="129"/>
        <v>8.9286998417949084E-2</v>
      </c>
    </row>
    <row r="1644" spans="1:16" ht="19.95" customHeight="1">
      <c r="A1644" s="49">
        <v>1712</v>
      </c>
      <c r="B1644" s="50" t="s">
        <v>719</v>
      </c>
      <c r="C1644" s="51" t="s">
        <v>18</v>
      </c>
      <c r="D1644" s="51" t="s">
        <v>44</v>
      </c>
      <c r="E1644" s="52">
        <v>14171800000</v>
      </c>
      <c r="F1644" s="52">
        <v>11413200000</v>
      </c>
      <c r="G1644" s="52">
        <v>1750100000</v>
      </c>
      <c r="H1644" s="52" t="s">
        <v>757</v>
      </c>
      <c r="I1644" s="52">
        <v>211800000</v>
      </c>
      <c r="J1644" s="51" t="s">
        <v>88</v>
      </c>
      <c r="K1644" s="51" t="s">
        <v>130</v>
      </c>
      <c r="L1644" s="41">
        <f t="shared" si="125"/>
        <v>2758600000</v>
      </c>
      <c r="M1644" s="41">
        <f t="shared" si="126"/>
        <v>1961900000</v>
      </c>
      <c r="N1644" s="41">
        <f t="shared" si="127"/>
        <v>796700000</v>
      </c>
      <c r="O1644" s="41">
        <f t="shared" si="128"/>
        <v>0.86156310419283366</v>
      </c>
      <c r="P1644" s="41">
        <f t="shared" si="129"/>
        <v>5.6217276563315884E-2</v>
      </c>
    </row>
    <row r="1645" spans="1:16" ht="19.95" customHeight="1">
      <c r="A1645" s="49">
        <v>1713</v>
      </c>
      <c r="B1645" s="50" t="s">
        <v>720</v>
      </c>
      <c r="C1645" s="51" t="s">
        <v>11</v>
      </c>
      <c r="D1645" s="51" t="s">
        <v>12</v>
      </c>
      <c r="E1645" s="52">
        <v>5664800000</v>
      </c>
      <c r="F1645" s="52">
        <v>3194200000</v>
      </c>
      <c r="G1645" s="52">
        <v>1140600000</v>
      </c>
      <c r="H1645" s="52" t="s">
        <v>757</v>
      </c>
      <c r="I1645" s="52" t="s">
        <v>757</v>
      </c>
      <c r="J1645" s="51" t="s">
        <v>31</v>
      </c>
      <c r="K1645" s="51" t="s">
        <v>86</v>
      </c>
      <c r="L1645" s="41">
        <f t="shared" si="125"/>
        <v>2470600000</v>
      </c>
      <c r="M1645" s="41">
        <f t="shared" si="126"/>
        <v>1140600000</v>
      </c>
      <c r="N1645" s="41">
        <f t="shared" si="127"/>
        <v>1330000000</v>
      </c>
      <c r="O1645" s="41">
        <f t="shared" si="128"/>
        <v>0.79865132043496678</v>
      </c>
      <c r="P1645" s="41">
        <f t="shared" si="129"/>
        <v>0.23478322270865698</v>
      </c>
    </row>
    <row r="1646" spans="1:16" ht="19.95" customHeight="1">
      <c r="A1646" s="49">
        <v>1714</v>
      </c>
      <c r="B1646" s="50" t="s">
        <v>720</v>
      </c>
      <c r="C1646" s="51" t="s">
        <v>16</v>
      </c>
      <c r="D1646" s="51" t="s">
        <v>17</v>
      </c>
      <c r="E1646" s="52">
        <v>5542000000</v>
      </c>
      <c r="F1646" s="52">
        <v>3235000000</v>
      </c>
      <c r="G1646" s="52">
        <v>1199600000</v>
      </c>
      <c r="H1646" s="52" t="s">
        <v>757</v>
      </c>
      <c r="I1646" s="52" t="s">
        <v>757</v>
      </c>
      <c r="J1646" s="51" t="s">
        <v>31</v>
      </c>
      <c r="K1646" s="51" t="s">
        <v>86</v>
      </c>
      <c r="L1646" s="41">
        <f t="shared" si="125"/>
        <v>2307000000</v>
      </c>
      <c r="M1646" s="41">
        <f t="shared" si="126"/>
        <v>1199600000</v>
      </c>
      <c r="N1646" s="41">
        <f t="shared" si="127"/>
        <v>1107400000</v>
      </c>
      <c r="O1646" s="41">
        <f t="shared" si="128"/>
        <v>0.78354384698664736</v>
      </c>
      <c r="P1646" s="41">
        <f t="shared" si="129"/>
        <v>0.19981955972573079</v>
      </c>
    </row>
    <row r="1647" spans="1:16" ht="19.95" customHeight="1">
      <c r="A1647" s="49">
        <v>1715</v>
      </c>
      <c r="B1647" s="50" t="s">
        <v>720</v>
      </c>
      <c r="C1647" s="51" t="s">
        <v>18</v>
      </c>
      <c r="D1647" s="51" t="s">
        <v>19</v>
      </c>
      <c r="E1647" s="52">
        <v>5607200000</v>
      </c>
      <c r="F1647" s="52">
        <v>3297400000</v>
      </c>
      <c r="G1647" s="52">
        <v>1169300000</v>
      </c>
      <c r="H1647" s="52" t="s">
        <v>757</v>
      </c>
      <c r="I1647" s="52" t="s">
        <v>757</v>
      </c>
      <c r="J1647" s="51" t="s">
        <v>31</v>
      </c>
      <c r="K1647" s="51" t="s">
        <v>86</v>
      </c>
      <c r="L1647" s="41">
        <f t="shared" si="125"/>
        <v>2309800000</v>
      </c>
      <c r="M1647" s="41">
        <f t="shared" si="126"/>
        <v>1169300000</v>
      </c>
      <c r="N1647" s="41">
        <f t="shared" si="127"/>
        <v>1140500000</v>
      </c>
      <c r="O1647" s="41">
        <f t="shared" si="128"/>
        <v>0.79146454558424884</v>
      </c>
      <c r="P1647" s="41">
        <f t="shared" si="129"/>
        <v>0.20339920102725068</v>
      </c>
    </row>
    <row r="1648" spans="1:16" ht="19.95" customHeight="1">
      <c r="A1648" s="49">
        <v>1716</v>
      </c>
      <c r="B1648" s="50" t="s">
        <v>720</v>
      </c>
      <c r="C1648" s="51" t="s">
        <v>20</v>
      </c>
      <c r="D1648" s="51" t="s">
        <v>21</v>
      </c>
      <c r="E1648" s="52">
        <v>5483700000</v>
      </c>
      <c r="F1648" s="52">
        <v>3199400000</v>
      </c>
      <c r="G1648" s="52">
        <v>1174900000</v>
      </c>
      <c r="H1648" s="52" t="s">
        <v>757</v>
      </c>
      <c r="I1648" s="52" t="s">
        <v>757</v>
      </c>
      <c r="J1648" s="51" t="s">
        <v>31</v>
      </c>
      <c r="K1648" s="51" t="s">
        <v>86</v>
      </c>
      <c r="L1648" s="41">
        <f t="shared" si="125"/>
        <v>2284300000</v>
      </c>
      <c r="M1648" s="41">
        <f t="shared" si="126"/>
        <v>1174900000</v>
      </c>
      <c r="N1648" s="41">
        <f t="shared" si="127"/>
        <v>1109400000</v>
      </c>
      <c r="O1648" s="41">
        <f t="shared" si="128"/>
        <v>0.78574684975472764</v>
      </c>
      <c r="P1648" s="41">
        <f t="shared" si="129"/>
        <v>0.20230866021117128</v>
      </c>
    </row>
    <row r="1649" spans="1:16" ht="19.95" customHeight="1">
      <c r="A1649" s="49">
        <v>1717</v>
      </c>
      <c r="B1649" s="50" t="s">
        <v>721</v>
      </c>
      <c r="C1649" s="51" t="s">
        <v>11</v>
      </c>
      <c r="D1649" s="51" t="s">
        <v>12</v>
      </c>
      <c r="E1649" s="52">
        <v>5989000000</v>
      </c>
      <c r="F1649" s="52">
        <v>4993000000</v>
      </c>
      <c r="G1649" s="52">
        <v>320000000</v>
      </c>
      <c r="H1649" s="52">
        <v>32000000</v>
      </c>
      <c r="I1649" s="52" t="s">
        <v>757</v>
      </c>
      <c r="J1649" s="51" t="s">
        <v>80</v>
      </c>
      <c r="K1649" s="51" t="s">
        <v>81</v>
      </c>
      <c r="L1649" s="41">
        <f t="shared" si="125"/>
        <v>996000000</v>
      </c>
      <c r="M1649" s="41">
        <f t="shared" si="126"/>
        <v>352000000</v>
      </c>
      <c r="N1649" s="41">
        <f t="shared" si="127"/>
        <v>644000000</v>
      </c>
      <c r="O1649" s="41">
        <f t="shared" si="128"/>
        <v>0.94122558023042247</v>
      </c>
      <c r="P1649" s="41">
        <f t="shared" si="129"/>
        <v>0.10753047253297712</v>
      </c>
    </row>
    <row r="1650" spans="1:16" ht="19.95" customHeight="1">
      <c r="A1650" s="49">
        <v>1718</v>
      </c>
      <c r="B1650" s="50" t="s">
        <v>721</v>
      </c>
      <c r="C1650" s="51" t="s">
        <v>16</v>
      </c>
      <c r="D1650" s="51" t="s">
        <v>17</v>
      </c>
      <c r="E1650" s="52">
        <v>7254000000</v>
      </c>
      <c r="F1650" s="52">
        <v>5716000000</v>
      </c>
      <c r="G1650" s="52">
        <v>494000000</v>
      </c>
      <c r="H1650" s="52">
        <v>33000000</v>
      </c>
      <c r="I1650" s="52" t="s">
        <v>757</v>
      </c>
      <c r="J1650" s="51" t="s">
        <v>80</v>
      </c>
      <c r="K1650" s="51" t="s">
        <v>81</v>
      </c>
      <c r="L1650" s="41">
        <f t="shared" si="125"/>
        <v>1538000000</v>
      </c>
      <c r="M1650" s="41">
        <f t="shared" si="126"/>
        <v>527000000</v>
      </c>
      <c r="N1650" s="41">
        <f t="shared" si="127"/>
        <v>1011000000</v>
      </c>
      <c r="O1650" s="41">
        <f t="shared" si="128"/>
        <v>0.92735042735042739</v>
      </c>
      <c r="P1650" s="41">
        <f t="shared" si="129"/>
        <v>0.13937138130686519</v>
      </c>
    </row>
    <row r="1651" spans="1:16" ht="19.95" customHeight="1">
      <c r="A1651" s="49">
        <v>1719</v>
      </c>
      <c r="B1651" s="50" t="s">
        <v>721</v>
      </c>
      <c r="C1651" s="51" t="s">
        <v>18</v>
      </c>
      <c r="D1651" s="51" t="s">
        <v>19</v>
      </c>
      <c r="E1651" s="52">
        <v>7403000000</v>
      </c>
      <c r="F1651" s="52">
        <v>5763000000</v>
      </c>
      <c r="G1651" s="52">
        <v>249000000</v>
      </c>
      <c r="H1651" s="52">
        <v>27000000</v>
      </c>
      <c r="I1651" s="52" t="s">
        <v>757</v>
      </c>
      <c r="J1651" s="51" t="s">
        <v>80</v>
      </c>
      <c r="K1651" s="51" t="s">
        <v>81</v>
      </c>
      <c r="L1651" s="41">
        <f t="shared" si="125"/>
        <v>1640000000</v>
      </c>
      <c r="M1651" s="41">
        <f t="shared" si="126"/>
        <v>276000000</v>
      </c>
      <c r="N1651" s="41">
        <f t="shared" si="127"/>
        <v>1364000000</v>
      </c>
      <c r="O1651" s="41">
        <f t="shared" si="128"/>
        <v>0.96271781710117521</v>
      </c>
      <c r="P1651" s="41">
        <f t="shared" si="129"/>
        <v>0.18424962852897475</v>
      </c>
    </row>
    <row r="1652" spans="1:16" ht="19.95" customHeight="1">
      <c r="A1652" s="49">
        <v>1720</v>
      </c>
      <c r="B1652" s="50" t="s">
        <v>721</v>
      </c>
      <c r="C1652" s="51" t="s">
        <v>20</v>
      </c>
      <c r="D1652" s="51" t="s">
        <v>21</v>
      </c>
      <c r="E1652" s="52">
        <v>7082000000</v>
      </c>
      <c r="F1652" s="52">
        <v>5694000000</v>
      </c>
      <c r="G1652" s="52">
        <v>420000000</v>
      </c>
      <c r="H1652" s="52">
        <v>24000000</v>
      </c>
      <c r="I1652" s="52" t="s">
        <v>757</v>
      </c>
      <c r="J1652" s="51" t="s">
        <v>80</v>
      </c>
      <c r="K1652" s="51" t="s">
        <v>81</v>
      </c>
      <c r="L1652" s="41">
        <f t="shared" si="125"/>
        <v>1388000000</v>
      </c>
      <c r="M1652" s="41">
        <f t="shared" si="126"/>
        <v>444000000</v>
      </c>
      <c r="N1652" s="41">
        <f t="shared" si="127"/>
        <v>944000000</v>
      </c>
      <c r="O1652" s="41">
        <f t="shared" si="128"/>
        <v>0.93730584580626941</v>
      </c>
      <c r="P1652" s="41">
        <f t="shared" si="129"/>
        <v>0.13329567918667043</v>
      </c>
    </row>
    <row r="1653" spans="1:16" ht="19.95" customHeight="1">
      <c r="A1653" s="49">
        <v>1721</v>
      </c>
      <c r="B1653" s="50" t="s">
        <v>722</v>
      </c>
      <c r="C1653" s="51" t="s">
        <v>11</v>
      </c>
      <c r="D1653" s="51" t="s">
        <v>12</v>
      </c>
      <c r="E1653" s="52">
        <v>4534000000</v>
      </c>
      <c r="F1653" s="52">
        <v>2093000000</v>
      </c>
      <c r="G1653" s="52">
        <v>1389000000</v>
      </c>
      <c r="H1653" s="52" t="s">
        <v>757</v>
      </c>
      <c r="I1653" s="52">
        <v>185000000</v>
      </c>
      <c r="J1653" s="51" t="s">
        <v>24</v>
      </c>
      <c r="K1653" s="51" t="s">
        <v>190</v>
      </c>
      <c r="L1653" s="41">
        <f t="shared" si="125"/>
        <v>2441000000</v>
      </c>
      <c r="M1653" s="41">
        <f t="shared" si="126"/>
        <v>1574000000</v>
      </c>
      <c r="N1653" s="41">
        <f t="shared" si="127"/>
        <v>867000000</v>
      </c>
      <c r="O1653" s="41">
        <f t="shared" si="128"/>
        <v>0.65284516982796648</v>
      </c>
      <c r="P1653" s="41">
        <f t="shared" si="129"/>
        <v>0.19122187913542127</v>
      </c>
    </row>
    <row r="1654" spans="1:16" ht="19.95" customHeight="1">
      <c r="A1654" s="49">
        <v>1722</v>
      </c>
      <c r="B1654" s="50" t="s">
        <v>722</v>
      </c>
      <c r="C1654" s="51" t="s">
        <v>16</v>
      </c>
      <c r="D1654" s="51" t="s">
        <v>17</v>
      </c>
      <c r="E1654" s="52">
        <v>5009000000</v>
      </c>
      <c r="F1654" s="52">
        <v>2394000000</v>
      </c>
      <c r="G1654" s="52">
        <v>1471000000</v>
      </c>
      <c r="H1654" s="52" t="s">
        <v>757</v>
      </c>
      <c r="I1654" s="52">
        <v>216000000</v>
      </c>
      <c r="J1654" s="51" t="s">
        <v>24</v>
      </c>
      <c r="K1654" s="51" t="s">
        <v>190</v>
      </c>
      <c r="L1654" s="41">
        <f t="shared" si="125"/>
        <v>2615000000</v>
      </c>
      <c r="M1654" s="41">
        <f t="shared" si="126"/>
        <v>1687000000</v>
      </c>
      <c r="N1654" s="41">
        <f t="shared" si="127"/>
        <v>928000000</v>
      </c>
      <c r="O1654" s="41">
        <f t="shared" si="128"/>
        <v>0.66320622878818125</v>
      </c>
      <c r="P1654" s="41">
        <f t="shared" si="129"/>
        <v>0.18526652026352566</v>
      </c>
    </row>
    <row r="1655" spans="1:16" ht="19.95" customHeight="1">
      <c r="A1655" s="49">
        <v>1723</v>
      </c>
      <c r="B1655" s="50" t="s">
        <v>722</v>
      </c>
      <c r="C1655" s="51" t="s">
        <v>18</v>
      </c>
      <c r="D1655" s="51" t="s">
        <v>19</v>
      </c>
      <c r="E1655" s="52">
        <v>5281000000</v>
      </c>
      <c r="F1655" s="52">
        <v>2504000000</v>
      </c>
      <c r="G1655" s="52">
        <v>1557000000</v>
      </c>
      <c r="H1655" s="52" t="s">
        <v>757</v>
      </c>
      <c r="I1655" s="52">
        <v>233000000</v>
      </c>
      <c r="J1655" s="51" t="s">
        <v>24</v>
      </c>
      <c r="K1655" s="51" t="s">
        <v>190</v>
      </c>
      <c r="L1655" s="41">
        <f t="shared" si="125"/>
        <v>2777000000</v>
      </c>
      <c r="M1655" s="41">
        <f t="shared" si="126"/>
        <v>1790000000</v>
      </c>
      <c r="N1655" s="41">
        <f t="shared" si="127"/>
        <v>987000000</v>
      </c>
      <c r="O1655" s="41">
        <f t="shared" si="128"/>
        <v>0.66104904374171558</v>
      </c>
      <c r="P1655" s="41">
        <f t="shared" si="129"/>
        <v>0.1868964211323613</v>
      </c>
    </row>
    <row r="1656" spans="1:16" ht="19.95" customHeight="1">
      <c r="A1656" s="49">
        <v>1724</v>
      </c>
      <c r="B1656" s="50" t="s">
        <v>722</v>
      </c>
      <c r="C1656" s="51" t="s">
        <v>20</v>
      </c>
      <c r="D1656" s="51" t="s">
        <v>21</v>
      </c>
      <c r="E1656" s="52">
        <v>5536000000</v>
      </c>
      <c r="F1656" s="52">
        <v>2700000000</v>
      </c>
      <c r="G1656" s="52">
        <v>1574000000</v>
      </c>
      <c r="H1656" s="52" t="s">
        <v>757</v>
      </c>
      <c r="I1656" s="52">
        <v>234000000</v>
      </c>
      <c r="J1656" s="51" t="s">
        <v>24</v>
      </c>
      <c r="K1656" s="51" t="s">
        <v>190</v>
      </c>
      <c r="L1656" s="41">
        <f t="shared" si="125"/>
        <v>2836000000</v>
      </c>
      <c r="M1656" s="41">
        <f t="shared" si="126"/>
        <v>1808000000</v>
      </c>
      <c r="N1656" s="41">
        <f t="shared" si="127"/>
        <v>1028000000</v>
      </c>
      <c r="O1656" s="41">
        <f t="shared" si="128"/>
        <v>0.67341040462427748</v>
      </c>
      <c r="P1656" s="41">
        <f t="shared" si="129"/>
        <v>0.18569364161849711</v>
      </c>
    </row>
    <row r="1657" spans="1:16" ht="19.95" customHeight="1">
      <c r="A1657" s="49">
        <v>1725</v>
      </c>
      <c r="B1657" s="50" t="s">
        <v>723</v>
      </c>
      <c r="C1657" s="51" t="s">
        <v>11</v>
      </c>
      <c r="D1657" s="51" t="s">
        <v>12</v>
      </c>
      <c r="E1657" s="52">
        <v>5154284000</v>
      </c>
      <c r="F1657" s="52">
        <v>3251575000</v>
      </c>
      <c r="G1657" s="52">
        <v>481677000</v>
      </c>
      <c r="H1657" s="52" t="s">
        <v>757</v>
      </c>
      <c r="I1657" s="52">
        <v>373199000</v>
      </c>
      <c r="J1657" s="51" t="s">
        <v>24</v>
      </c>
      <c r="K1657" s="51" t="s">
        <v>724</v>
      </c>
      <c r="L1657" s="41">
        <f t="shared" si="125"/>
        <v>1902709000</v>
      </c>
      <c r="M1657" s="41">
        <f t="shared" si="126"/>
        <v>854876000</v>
      </c>
      <c r="N1657" s="41">
        <f t="shared" si="127"/>
        <v>1047833000</v>
      </c>
      <c r="O1657" s="41">
        <f t="shared" si="128"/>
        <v>0.83414262776362347</v>
      </c>
      <c r="P1657" s="41">
        <f t="shared" si="129"/>
        <v>0.20329360974288571</v>
      </c>
    </row>
    <row r="1658" spans="1:16" ht="19.95" customHeight="1">
      <c r="A1658" s="49">
        <v>1726</v>
      </c>
      <c r="B1658" s="50" t="s">
        <v>723</v>
      </c>
      <c r="C1658" s="51" t="s">
        <v>16</v>
      </c>
      <c r="D1658" s="51" t="s">
        <v>17</v>
      </c>
      <c r="E1658" s="52">
        <v>5620936000</v>
      </c>
      <c r="F1658" s="52">
        <v>3478822000</v>
      </c>
      <c r="G1658" s="52">
        <v>465926000</v>
      </c>
      <c r="H1658" s="52" t="s">
        <v>757</v>
      </c>
      <c r="I1658" s="52">
        <v>371051000</v>
      </c>
      <c r="J1658" s="51" t="s">
        <v>24</v>
      </c>
      <c r="K1658" s="51" t="s">
        <v>724</v>
      </c>
      <c r="L1658" s="41">
        <f t="shared" si="125"/>
        <v>2142114000</v>
      </c>
      <c r="M1658" s="41">
        <f t="shared" si="126"/>
        <v>836977000</v>
      </c>
      <c r="N1658" s="41">
        <f t="shared" si="127"/>
        <v>1305137000</v>
      </c>
      <c r="O1658" s="41">
        <f t="shared" si="128"/>
        <v>0.85109650777023615</v>
      </c>
      <c r="P1658" s="41">
        <f t="shared" si="129"/>
        <v>0.23219211177640164</v>
      </c>
    </row>
    <row r="1659" spans="1:16" ht="19.95" customHeight="1">
      <c r="A1659" s="49">
        <v>1727</v>
      </c>
      <c r="B1659" s="50" t="s">
        <v>723</v>
      </c>
      <c r="C1659" s="51" t="s">
        <v>18</v>
      </c>
      <c r="D1659" s="51" t="s">
        <v>19</v>
      </c>
      <c r="E1659" s="52">
        <v>5433661000</v>
      </c>
      <c r="F1659" s="52">
        <v>3316311000</v>
      </c>
      <c r="G1659" s="52">
        <v>502901000</v>
      </c>
      <c r="H1659" s="52" t="s">
        <v>757</v>
      </c>
      <c r="I1659" s="52">
        <v>314119000</v>
      </c>
      <c r="J1659" s="51" t="s">
        <v>24</v>
      </c>
      <c r="K1659" s="51" t="s">
        <v>724</v>
      </c>
      <c r="L1659" s="41">
        <f t="shared" si="125"/>
        <v>2117350000</v>
      </c>
      <c r="M1659" s="41">
        <f t="shared" si="126"/>
        <v>817020000</v>
      </c>
      <c r="N1659" s="41">
        <f t="shared" si="127"/>
        <v>1300330000</v>
      </c>
      <c r="O1659" s="41">
        <f t="shared" si="128"/>
        <v>0.84963728874510203</v>
      </c>
      <c r="P1659" s="41">
        <f t="shared" si="129"/>
        <v>0.23931010786282031</v>
      </c>
    </row>
    <row r="1660" spans="1:16" ht="19.95" customHeight="1">
      <c r="A1660" s="49">
        <v>1728</v>
      </c>
      <c r="B1660" s="50" t="s">
        <v>723</v>
      </c>
      <c r="C1660" s="51" t="s">
        <v>20</v>
      </c>
      <c r="D1660" s="51" t="s">
        <v>21</v>
      </c>
      <c r="E1660" s="52">
        <v>4075883000</v>
      </c>
      <c r="F1660" s="52">
        <v>2530374000</v>
      </c>
      <c r="G1660" s="52">
        <v>475328000</v>
      </c>
      <c r="H1660" s="52" t="s">
        <v>757</v>
      </c>
      <c r="I1660" s="52">
        <v>322629000</v>
      </c>
      <c r="J1660" s="51" t="s">
        <v>24</v>
      </c>
      <c r="K1660" s="51" t="s">
        <v>724</v>
      </c>
      <c r="L1660" s="41">
        <f t="shared" si="125"/>
        <v>1545509000</v>
      </c>
      <c r="M1660" s="41">
        <f t="shared" si="126"/>
        <v>797957000</v>
      </c>
      <c r="N1660" s="41">
        <f t="shared" si="127"/>
        <v>747552000</v>
      </c>
      <c r="O1660" s="41">
        <f t="shared" si="128"/>
        <v>0.80422475326205389</v>
      </c>
      <c r="P1660" s="41">
        <f t="shared" si="129"/>
        <v>0.18340860127731831</v>
      </c>
    </row>
    <row r="1661" spans="1:16" ht="19.95" customHeight="1">
      <c r="A1661" s="49">
        <v>1729</v>
      </c>
      <c r="B1661" s="50" t="s">
        <v>725</v>
      </c>
      <c r="C1661" s="51" t="s">
        <v>11</v>
      </c>
      <c r="D1661" s="51" t="s">
        <v>12</v>
      </c>
      <c r="E1661" s="52">
        <v>1623938000</v>
      </c>
      <c r="F1661" s="52">
        <v>337903000</v>
      </c>
      <c r="G1661" s="52">
        <v>188302000</v>
      </c>
      <c r="H1661" s="52" t="s">
        <v>757</v>
      </c>
      <c r="I1661" s="52">
        <v>513916000</v>
      </c>
      <c r="J1661" s="51" t="s">
        <v>116</v>
      </c>
      <c r="K1661" s="51" t="s">
        <v>117</v>
      </c>
      <c r="L1661" s="41">
        <f t="shared" si="125"/>
        <v>1286035000</v>
      </c>
      <c r="M1661" s="41">
        <f t="shared" si="126"/>
        <v>702218000</v>
      </c>
      <c r="N1661" s="41">
        <f t="shared" si="127"/>
        <v>583817000</v>
      </c>
      <c r="O1661" s="41">
        <f t="shared" si="128"/>
        <v>0.56758324517315317</v>
      </c>
      <c r="P1661" s="41">
        <f t="shared" si="129"/>
        <v>0.35950695162007418</v>
      </c>
    </row>
    <row r="1662" spans="1:16" ht="19.95" customHeight="1">
      <c r="A1662" s="53">
        <v>1730</v>
      </c>
      <c r="B1662" s="54" t="s">
        <v>725</v>
      </c>
      <c r="C1662" s="55" t="s">
        <v>16</v>
      </c>
      <c r="D1662" s="55" t="s">
        <v>17</v>
      </c>
      <c r="E1662" s="56">
        <v>1998051000</v>
      </c>
      <c r="F1662" s="56">
        <v>406198000</v>
      </c>
      <c r="G1662" s="56">
        <v>72143000</v>
      </c>
      <c r="H1662" s="56" t="s">
        <v>757</v>
      </c>
      <c r="I1662" s="56">
        <v>615874000</v>
      </c>
      <c r="J1662" s="55" t="s">
        <v>116</v>
      </c>
      <c r="K1662" s="55" t="s">
        <v>117</v>
      </c>
      <c r="L1662" s="57">
        <f t="shared" si="125"/>
        <v>1591853000</v>
      </c>
      <c r="M1662" s="57">
        <f t="shared" si="126"/>
        <v>688017000</v>
      </c>
      <c r="N1662" s="57">
        <f t="shared" si="127"/>
        <v>903836000</v>
      </c>
      <c r="O1662" s="57">
        <f t="shared" si="128"/>
        <v>0.65565593671032429</v>
      </c>
      <c r="P1662" s="57">
        <f t="shared" si="129"/>
        <v>0.45235882367366997</v>
      </c>
    </row>
    <row r="1663" spans="1:16" ht="19.95" customHeight="1">
      <c r="A1663" s="49">
        <v>1731</v>
      </c>
      <c r="B1663" s="50" t="s">
        <v>725</v>
      </c>
      <c r="C1663" s="51" t="s">
        <v>18</v>
      </c>
      <c r="D1663" s="51" t="s">
        <v>19</v>
      </c>
      <c r="E1663" s="52">
        <v>2424176000</v>
      </c>
      <c r="F1663" s="52">
        <v>572831000</v>
      </c>
      <c r="G1663" s="52">
        <v>225070000</v>
      </c>
      <c r="H1663" s="52" t="s">
        <v>757</v>
      </c>
      <c r="I1663" s="52">
        <v>806021000</v>
      </c>
      <c r="J1663" s="51" t="s">
        <v>116</v>
      </c>
      <c r="K1663" s="51" t="s">
        <v>117</v>
      </c>
      <c r="L1663" s="41">
        <f t="shared" si="125"/>
        <v>1851345000</v>
      </c>
      <c r="M1663" s="41">
        <f t="shared" si="126"/>
        <v>1031091000</v>
      </c>
      <c r="N1663" s="41">
        <f t="shared" si="127"/>
        <v>820254000</v>
      </c>
      <c r="O1663" s="41">
        <f t="shared" si="128"/>
        <v>0.57466330827464673</v>
      </c>
      <c r="P1663" s="41">
        <f t="shared" si="129"/>
        <v>0.33836404617486521</v>
      </c>
    </row>
    <row r="1664" spans="1:16" ht="19.95" customHeight="1">
      <c r="A1664" s="49">
        <v>1732</v>
      </c>
      <c r="B1664" s="50" t="s">
        <v>725</v>
      </c>
      <c r="C1664" s="51" t="s">
        <v>20</v>
      </c>
      <c r="D1664" s="51" t="s">
        <v>21</v>
      </c>
      <c r="E1664" s="52">
        <v>1452619000</v>
      </c>
      <c r="F1664" s="52">
        <v>519874000</v>
      </c>
      <c r="G1664" s="52">
        <v>179867000</v>
      </c>
      <c r="H1664" s="52" t="s">
        <v>757</v>
      </c>
      <c r="I1664" s="52">
        <v>778923000</v>
      </c>
      <c r="J1664" s="51" t="s">
        <v>116</v>
      </c>
      <c r="K1664" s="51" t="s">
        <v>117</v>
      </c>
      <c r="L1664" s="41">
        <f t="shared" si="125"/>
        <v>932745000</v>
      </c>
      <c r="M1664" s="41">
        <f t="shared" si="126"/>
        <v>958790000</v>
      </c>
      <c r="N1664" s="41">
        <f t="shared" si="127"/>
        <v>-26045000</v>
      </c>
      <c r="O1664" s="41">
        <f t="shared" si="128"/>
        <v>0.33995769021333189</v>
      </c>
      <c r="P1664" s="41">
        <f t="shared" si="129"/>
        <v>-1.7929684246178797E-2</v>
      </c>
    </row>
    <row r="1665" spans="1:16" ht="19.95" customHeight="1">
      <c r="A1665" s="49">
        <v>1733</v>
      </c>
      <c r="B1665" s="50" t="s">
        <v>726</v>
      </c>
      <c r="C1665" s="51" t="s">
        <v>11</v>
      </c>
      <c r="D1665" s="51" t="s">
        <v>12</v>
      </c>
      <c r="E1665" s="52">
        <v>10128223000</v>
      </c>
      <c r="F1665" s="52">
        <v>6710036000</v>
      </c>
      <c r="G1665" s="52">
        <v>669451000</v>
      </c>
      <c r="H1665" s="52" t="s">
        <v>757</v>
      </c>
      <c r="I1665" s="52">
        <v>926053000</v>
      </c>
      <c r="J1665" s="51" t="s">
        <v>70</v>
      </c>
      <c r="K1665" s="51" t="s">
        <v>71</v>
      </c>
      <c r="L1665" s="41">
        <f t="shared" si="125"/>
        <v>3418187000</v>
      </c>
      <c r="M1665" s="41">
        <f t="shared" si="126"/>
        <v>1595504000</v>
      </c>
      <c r="N1665" s="41">
        <f t="shared" si="127"/>
        <v>1822683000</v>
      </c>
      <c r="O1665" s="41">
        <f t="shared" si="128"/>
        <v>0.84246950328799042</v>
      </c>
      <c r="P1665" s="41">
        <f t="shared" si="129"/>
        <v>0.17996078877805119</v>
      </c>
    </row>
    <row r="1666" spans="1:16" ht="19.95" customHeight="1">
      <c r="A1666" s="49">
        <v>1734</v>
      </c>
      <c r="B1666" s="50" t="s">
        <v>726</v>
      </c>
      <c r="C1666" s="51" t="s">
        <v>16</v>
      </c>
      <c r="D1666" s="51" t="s">
        <v>17</v>
      </c>
      <c r="E1666" s="52">
        <v>10914922000</v>
      </c>
      <c r="F1666" s="52">
        <v>7408278000</v>
      </c>
      <c r="G1666" s="52">
        <v>681226000</v>
      </c>
      <c r="H1666" s="52" t="s">
        <v>757</v>
      </c>
      <c r="I1666" s="52">
        <v>977863000</v>
      </c>
      <c r="J1666" s="51" t="s">
        <v>70</v>
      </c>
      <c r="K1666" s="51" t="s">
        <v>71</v>
      </c>
      <c r="L1666" s="41">
        <f t="shared" si="125"/>
        <v>3506644000</v>
      </c>
      <c r="M1666" s="41">
        <f t="shared" si="126"/>
        <v>1659089000</v>
      </c>
      <c r="N1666" s="41">
        <f t="shared" si="127"/>
        <v>1847555000</v>
      </c>
      <c r="O1666" s="41">
        <f t="shared" si="128"/>
        <v>0.84799808922134301</v>
      </c>
      <c r="P1666" s="41">
        <f t="shared" si="129"/>
        <v>0.16926873137526774</v>
      </c>
    </row>
    <row r="1667" spans="1:16" ht="19.95" customHeight="1">
      <c r="A1667" s="49">
        <v>1735</v>
      </c>
      <c r="B1667" s="50" t="s">
        <v>726</v>
      </c>
      <c r="C1667" s="51" t="s">
        <v>18</v>
      </c>
      <c r="D1667" s="51" t="s">
        <v>19</v>
      </c>
      <c r="E1667" s="52">
        <v>11686135000</v>
      </c>
      <c r="F1667" s="52">
        <v>7951352000</v>
      </c>
      <c r="G1667" s="52">
        <v>767608000</v>
      </c>
      <c r="H1667" s="52" t="s">
        <v>757</v>
      </c>
      <c r="I1667" s="52">
        <v>1019045000</v>
      </c>
      <c r="J1667" s="51" t="s">
        <v>70</v>
      </c>
      <c r="K1667" s="51" t="s">
        <v>71</v>
      </c>
      <c r="L1667" s="41">
        <f t="shared" ref="L1667:L1712" si="130">Total_Revenue-COGS</f>
        <v>3734783000</v>
      </c>
      <c r="M1667" s="41">
        <f t="shared" ref="M1667:M1712" si="131">SGAA+RandD+OOI</f>
        <v>1786653000</v>
      </c>
      <c r="N1667" s="41">
        <f t="shared" ref="N1667:N1712" si="132">Gross_Profit-Total_Operating_Expenses</f>
        <v>1948130000</v>
      </c>
      <c r="O1667" s="41">
        <f t="shared" ref="O1667:O1712" si="133">1-(Total_Operating_Expenses/Total_Revenue)</f>
        <v>0.8471134382753579</v>
      </c>
      <c r="P1667" s="41">
        <f t="shared" ref="P1667:P1712" si="134">Operating_Profit/Total_Revenue</f>
        <v>0.16670438943243424</v>
      </c>
    </row>
    <row r="1668" spans="1:16" ht="19.95" customHeight="1">
      <c r="A1668" s="49">
        <v>1736</v>
      </c>
      <c r="B1668" s="50" t="s">
        <v>726</v>
      </c>
      <c r="C1668" s="51" t="s">
        <v>20</v>
      </c>
      <c r="D1668" s="51" t="s">
        <v>21</v>
      </c>
      <c r="E1668" s="52">
        <v>11024486000</v>
      </c>
      <c r="F1668" s="52">
        <v>7033633000</v>
      </c>
      <c r="G1668" s="52">
        <v>865817000</v>
      </c>
      <c r="H1668" s="52" t="s">
        <v>757</v>
      </c>
      <c r="I1668" s="52">
        <v>1124524000</v>
      </c>
      <c r="J1668" s="51" t="s">
        <v>70</v>
      </c>
      <c r="K1668" s="51" t="s">
        <v>71</v>
      </c>
      <c r="L1668" s="41">
        <f t="shared" si="130"/>
        <v>3990853000</v>
      </c>
      <c r="M1668" s="41">
        <f t="shared" si="131"/>
        <v>1990341000</v>
      </c>
      <c r="N1668" s="41">
        <f t="shared" si="132"/>
        <v>2000512000</v>
      </c>
      <c r="O1668" s="41">
        <f t="shared" si="133"/>
        <v>0.81946178715270723</v>
      </c>
      <c r="P1668" s="41">
        <f t="shared" si="134"/>
        <v>0.1814607955418511</v>
      </c>
    </row>
    <row r="1669" spans="1:16" ht="19.95" customHeight="1">
      <c r="A1669" s="49">
        <v>1737</v>
      </c>
      <c r="B1669" s="50" t="s">
        <v>727</v>
      </c>
      <c r="C1669" s="51" t="s">
        <v>11</v>
      </c>
      <c r="D1669" s="51" t="s">
        <v>12</v>
      </c>
      <c r="E1669" s="52">
        <v>7232397000</v>
      </c>
      <c r="F1669" s="52">
        <v>5165169000</v>
      </c>
      <c r="G1669" s="52" t="s">
        <v>757</v>
      </c>
      <c r="H1669" s="52" t="s">
        <v>757</v>
      </c>
      <c r="I1669" s="52">
        <v>1173955000</v>
      </c>
      <c r="J1669" s="51" t="s">
        <v>75</v>
      </c>
      <c r="K1669" s="51" t="s">
        <v>78</v>
      </c>
      <c r="L1669" s="41">
        <f t="shared" si="130"/>
        <v>2067228000</v>
      </c>
      <c r="M1669" s="41">
        <f t="shared" si="131"/>
        <v>1173955000</v>
      </c>
      <c r="N1669" s="41">
        <f t="shared" si="132"/>
        <v>893273000</v>
      </c>
      <c r="O1669" s="41">
        <f t="shared" si="133"/>
        <v>0.83768106203240777</v>
      </c>
      <c r="P1669" s="41">
        <f t="shared" si="134"/>
        <v>0.12350995112685324</v>
      </c>
    </row>
    <row r="1670" spans="1:16" ht="19.95" customHeight="1">
      <c r="A1670" s="53">
        <v>1738</v>
      </c>
      <c r="B1670" s="54" t="s">
        <v>727</v>
      </c>
      <c r="C1670" s="55" t="s">
        <v>16</v>
      </c>
      <c r="D1670" s="55" t="s">
        <v>17</v>
      </c>
      <c r="E1670" s="56">
        <v>7541234000</v>
      </c>
      <c r="F1670" s="56">
        <v>5106489000</v>
      </c>
      <c r="G1670" s="56" t="s">
        <v>757</v>
      </c>
      <c r="H1670" s="56" t="s">
        <v>757</v>
      </c>
      <c r="I1670" s="56">
        <v>1213178000</v>
      </c>
      <c r="J1670" s="55" t="s">
        <v>75</v>
      </c>
      <c r="K1670" s="55" t="s">
        <v>78</v>
      </c>
      <c r="L1670" s="57">
        <f t="shared" si="130"/>
        <v>2434745000</v>
      </c>
      <c r="M1670" s="57">
        <f t="shared" si="131"/>
        <v>1213178000</v>
      </c>
      <c r="N1670" s="57">
        <f t="shared" si="132"/>
        <v>1221567000</v>
      </c>
      <c r="O1670" s="57">
        <f t="shared" si="133"/>
        <v>0.8391273894962018</v>
      </c>
      <c r="P1670" s="57">
        <f t="shared" si="134"/>
        <v>0.16198502791452965</v>
      </c>
    </row>
    <row r="1671" spans="1:16" ht="19.95" customHeight="1">
      <c r="A1671" s="49">
        <v>1739</v>
      </c>
      <c r="B1671" s="50" t="s">
        <v>727</v>
      </c>
      <c r="C1671" s="51" t="s">
        <v>18</v>
      </c>
      <c r="D1671" s="51" t="s">
        <v>19</v>
      </c>
      <c r="E1671" s="52">
        <v>6602267000</v>
      </c>
      <c r="F1671" s="52">
        <v>4239474000</v>
      </c>
      <c r="G1671" s="52" t="s">
        <v>757</v>
      </c>
      <c r="H1671" s="52" t="s">
        <v>757</v>
      </c>
      <c r="I1671" s="52">
        <v>1341315000</v>
      </c>
      <c r="J1671" s="51" t="s">
        <v>75</v>
      </c>
      <c r="K1671" s="51" t="s">
        <v>78</v>
      </c>
      <c r="L1671" s="41">
        <f t="shared" si="130"/>
        <v>2362793000</v>
      </c>
      <c r="M1671" s="41">
        <f t="shared" si="131"/>
        <v>1341315000</v>
      </c>
      <c r="N1671" s="41">
        <f t="shared" si="132"/>
        <v>1021478000</v>
      </c>
      <c r="O1671" s="41">
        <f t="shared" si="133"/>
        <v>0.79684023684591976</v>
      </c>
      <c r="P1671" s="41">
        <f t="shared" si="134"/>
        <v>0.15471625125127475</v>
      </c>
    </row>
    <row r="1672" spans="1:16" ht="19.95" customHeight="1">
      <c r="A1672" s="49">
        <v>1740</v>
      </c>
      <c r="B1672" s="50" t="s">
        <v>727</v>
      </c>
      <c r="C1672" s="51" t="s">
        <v>20</v>
      </c>
      <c r="D1672" s="51" t="s">
        <v>21</v>
      </c>
      <c r="E1672" s="52">
        <v>9308926000</v>
      </c>
      <c r="F1672" s="52">
        <v>6199645000</v>
      </c>
      <c r="G1672" s="52" t="s">
        <v>757</v>
      </c>
      <c r="H1672" s="52" t="s">
        <v>757</v>
      </c>
      <c r="I1672" s="52">
        <v>1966939000</v>
      </c>
      <c r="J1672" s="51" t="s">
        <v>75</v>
      </c>
      <c r="K1672" s="51" t="s">
        <v>78</v>
      </c>
      <c r="L1672" s="41">
        <f t="shared" si="130"/>
        <v>3109281000</v>
      </c>
      <c r="M1672" s="41">
        <f t="shared" si="131"/>
        <v>1966939000</v>
      </c>
      <c r="N1672" s="41">
        <f t="shared" si="132"/>
        <v>1142342000</v>
      </c>
      <c r="O1672" s="41">
        <f t="shared" si="133"/>
        <v>0.78870398153342292</v>
      </c>
      <c r="P1672" s="41">
        <f t="shared" si="134"/>
        <v>0.12271469340286946</v>
      </c>
    </row>
    <row r="1673" spans="1:16" ht="19.95" customHeight="1">
      <c r="A1673" s="49">
        <v>1741</v>
      </c>
      <c r="B1673" s="50" t="s">
        <v>728</v>
      </c>
      <c r="C1673" s="51" t="s">
        <v>11</v>
      </c>
      <c r="D1673" s="51" t="s">
        <v>469</v>
      </c>
      <c r="E1673" s="52">
        <v>2168652000</v>
      </c>
      <c r="F1673" s="52">
        <v>737206000</v>
      </c>
      <c r="G1673" s="52">
        <v>365684000</v>
      </c>
      <c r="H1673" s="52">
        <v>475522000</v>
      </c>
      <c r="I1673" s="52">
        <v>9508000</v>
      </c>
      <c r="J1673" s="51" t="s">
        <v>31</v>
      </c>
      <c r="K1673" s="51" t="s">
        <v>55</v>
      </c>
      <c r="L1673" s="41">
        <f t="shared" si="130"/>
        <v>1431446000</v>
      </c>
      <c r="M1673" s="41">
        <f t="shared" si="131"/>
        <v>850714000</v>
      </c>
      <c r="N1673" s="41">
        <f t="shared" si="132"/>
        <v>580732000</v>
      </c>
      <c r="O1673" s="41">
        <f t="shared" si="133"/>
        <v>0.60772221638142032</v>
      </c>
      <c r="P1673" s="41">
        <f t="shared" si="134"/>
        <v>0.26778478059181465</v>
      </c>
    </row>
    <row r="1674" spans="1:16" ht="19.95" customHeight="1">
      <c r="A1674" s="49">
        <v>1742</v>
      </c>
      <c r="B1674" s="50" t="s">
        <v>728</v>
      </c>
      <c r="C1674" s="51" t="s">
        <v>16</v>
      </c>
      <c r="D1674" s="51" t="s">
        <v>470</v>
      </c>
      <c r="E1674" s="52">
        <v>2382531000</v>
      </c>
      <c r="F1674" s="52">
        <v>743253000</v>
      </c>
      <c r="G1674" s="52">
        <v>378607000</v>
      </c>
      <c r="H1674" s="52">
        <v>492447000</v>
      </c>
      <c r="I1674" s="52">
        <v>9887000</v>
      </c>
      <c r="J1674" s="51" t="s">
        <v>31</v>
      </c>
      <c r="K1674" s="51" t="s">
        <v>55</v>
      </c>
      <c r="L1674" s="41">
        <f t="shared" si="130"/>
        <v>1639278000</v>
      </c>
      <c r="M1674" s="41">
        <f t="shared" si="131"/>
        <v>880941000</v>
      </c>
      <c r="N1674" s="41">
        <f t="shared" si="132"/>
        <v>758337000</v>
      </c>
      <c r="O1674" s="41">
        <f t="shared" si="133"/>
        <v>0.63024993169029075</v>
      </c>
      <c r="P1674" s="41">
        <f t="shared" si="134"/>
        <v>0.3182905070280303</v>
      </c>
    </row>
    <row r="1675" spans="1:16" ht="19.95" customHeight="1">
      <c r="A1675" s="49">
        <v>1743</v>
      </c>
      <c r="B1675" s="50" t="s">
        <v>728</v>
      </c>
      <c r="C1675" s="51" t="s">
        <v>18</v>
      </c>
      <c r="D1675" s="51" t="s">
        <v>471</v>
      </c>
      <c r="E1675" s="52">
        <v>2377344000</v>
      </c>
      <c r="F1675" s="52">
        <v>708823000</v>
      </c>
      <c r="G1675" s="52">
        <v>353670000</v>
      </c>
      <c r="H1675" s="52">
        <v>525745000</v>
      </c>
      <c r="I1675" s="52">
        <v>9537000</v>
      </c>
      <c r="J1675" s="51" t="s">
        <v>31</v>
      </c>
      <c r="K1675" s="51" t="s">
        <v>55</v>
      </c>
      <c r="L1675" s="41">
        <f t="shared" si="130"/>
        <v>1668521000</v>
      </c>
      <c r="M1675" s="41">
        <f t="shared" si="131"/>
        <v>888952000</v>
      </c>
      <c r="N1675" s="41">
        <f t="shared" si="132"/>
        <v>779569000</v>
      </c>
      <c r="O1675" s="41">
        <f t="shared" si="133"/>
        <v>0.62607346686049636</v>
      </c>
      <c r="P1675" s="41">
        <f t="shared" si="134"/>
        <v>0.32791594317019329</v>
      </c>
    </row>
    <row r="1676" spans="1:16" ht="19.95" customHeight="1">
      <c r="A1676" s="49">
        <v>1744</v>
      </c>
      <c r="B1676" s="50" t="s">
        <v>728</v>
      </c>
      <c r="C1676" s="51" t="s">
        <v>20</v>
      </c>
      <c r="D1676" s="51" t="s">
        <v>472</v>
      </c>
      <c r="E1676" s="52">
        <v>2213881000</v>
      </c>
      <c r="F1676" s="52">
        <v>671907000</v>
      </c>
      <c r="G1676" s="52">
        <v>331652000</v>
      </c>
      <c r="H1676" s="52">
        <v>533891000</v>
      </c>
      <c r="I1676" s="52">
        <v>6550000</v>
      </c>
      <c r="J1676" s="51" t="s">
        <v>31</v>
      </c>
      <c r="K1676" s="51" t="s">
        <v>55</v>
      </c>
      <c r="L1676" s="41">
        <f t="shared" si="130"/>
        <v>1541974000</v>
      </c>
      <c r="M1676" s="41">
        <f t="shared" si="131"/>
        <v>872093000</v>
      </c>
      <c r="N1676" s="41">
        <f t="shared" si="132"/>
        <v>669881000</v>
      </c>
      <c r="O1676" s="41">
        <f t="shared" si="133"/>
        <v>0.60607954989450652</v>
      </c>
      <c r="P1676" s="41">
        <f t="shared" si="134"/>
        <v>0.30258220744475428</v>
      </c>
    </row>
    <row r="1677" spans="1:16" ht="19.95" customHeight="1">
      <c r="A1677" s="49">
        <v>1745</v>
      </c>
      <c r="B1677" s="50" t="s">
        <v>729</v>
      </c>
      <c r="C1677" s="51" t="s">
        <v>11</v>
      </c>
      <c r="D1677" s="51" t="s">
        <v>12</v>
      </c>
      <c r="E1677" s="52">
        <v>4515090000</v>
      </c>
      <c r="F1677" s="52">
        <v>302056000000</v>
      </c>
      <c r="G1677" s="52">
        <v>81844000000</v>
      </c>
      <c r="H1677" s="52" t="s">
        <v>757</v>
      </c>
      <c r="I1677" s="52">
        <v>15888000000</v>
      </c>
      <c r="J1677" s="51" t="s">
        <v>116</v>
      </c>
      <c r="K1677" s="51" t="s">
        <v>204</v>
      </c>
      <c r="L1677" s="41">
        <f t="shared" si="130"/>
        <v>-297540910000</v>
      </c>
      <c r="M1677" s="41">
        <f t="shared" si="131"/>
        <v>97732000000</v>
      </c>
      <c r="N1677" s="41">
        <f t="shared" si="132"/>
        <v>-395272910000</v>
      </c>
      <c r="O1677" s="41">
        <f t="shared" si="133"/>
        <v>-20.645637185526756</v>
      </c>
      <c r="P1677" s="41">
        <f t="shared" si="134"/>
        <v>-87.544857356110285</v>
      </c>
    </row>
    <row r="1678" spans="1:16" ht="19.95" customHeight="1">
      <c r="A1678" s="53">
        <v>1746</v>
      </c>
      <c r="B1678" s="54" t="s">
        <v>729</v>
      </c>
      <c r="C1678" s="55" t="s">
        <v>16</v>
      </c>
      <c r="D1678" s="55" t="s">
        <v>17</v>
      </c>
      <c r="E1678" s="56">
        <v>4208360000</v>
      </c>
      <c r="F1678" s="56">
        <v>284681000000</v>
      </c>
      <c r="G1678" s="56">
        <v>76696000000</v>
      </c>
      <c r="H1678" s="56" t="s">
        <v>757</v>
      </c>
      <c r="I1678" s="56">
        <v>17182000000</v>
      </c>
      <c r="J1678" s="55" t="s">
        <v>116</v>
      </c>
      <c r="K1678" s="55" t="s">
        <v>204</v>
      </c>
      <c r="L1678" s="57">
        <f t="shared" si="130"/>
        <v>-280472640000</v>
      </c>
      <c r="M1678" s="57">
        <f t="shared" si="131"/>
        <v>93878000000</v>
      </c>
      <c r="N1678" s="57">
        <f t="shared" si="132"/>
        <v>-374350640000</v>
      </c>
      <c r="O1678" s="57">
        <f t="shared" si="133"/>
        <v>-21.307502209886987</v>
      </c>
      <c r="P1678" s="57">
        <f t="shared" si="134"/>
        <v>-88.954043855563683</v>
      </c>
    </row>
    <row r="1679" spans="1:16" ht="19.95" customHeight="1">
      <c r="A1679" s="49">
        <v>1747</v>
      </c>
      <c r="B1679" s="50" t="s">
        <v>729</v>
      </c>
      <c r="C1679" s="51" t="s">
        <v>18</v>
      </c>
      <c r="D1679" s="51" t="s">
        <v>19</v>
      </c>
      <c r="E1679" s="52">
        <v>394105000000</v>
      </c>
      <c r="F1679" s="52">
        <v>266831000000</v>
      </c>
      <c r="G1679" s="52">
        <v>74226000000</v>
      </c>
      <c r="H1679" s="52" t="s">
        <v>757</v>
      </c>
      <c r="I1679" s="52">
        <v>17297000000</v>
      </c>
      <c r="J1679" s="51" t="s">
        <v>116</v>
      </c>
      <c r="K1679" s="51" t="s">
        <v>204</v>
      </c>
      <c r="L1679" s="41">
        <f t="shared" si="130"/>
        <v>127274000000</v>
      </c>
      <c r="M1679" s="41">
        <f t="shared" si="131"/>
        <v>91523000000</v>
      </c>
      <c r="N1679" s="41">
        <f t="shared" si="132"/>
        <v>35751000000</v>
      </c>
      <c r="O1679" s="41">
        <f t="shared" si="133"/>
        <v>0.76777001053018867</v>
      </c>
      <c r="P1679" s="41">
        <f t="shared" si="134"/>
        <v>9.0714403521904061E-2</v>
      </c>
    </row>
    <row r="1680" spans="1:16" ht="19.95" customHeight="1">
      <c r="A1680" s="49">
        <v>1748</v>
      </c>
      <c r="B1680" s="50" t="s">
        <v>729</v>
      </c>
      <c r="C1680" s="51" t="s">
        <v>20</v>
      </c>
      <c r="D1680" s="51" t="s">
        <v>21</v>
      </c>
      <c r="E1680" s="52">
        <v>259488000000</v>
      </c>
      <c r="F1680" s="52">
        <v>165590000000</v>
      </c>
      <c r="G1680" s="52">
        <v>61444000000</v>
      </c>
      <c r="H1680" s="52" t="s">
        <v>757</v>
      </c>
      <c r="I1680" s="52">
        <v>18048000000</v>
      </c>
      <c r="J1680" s="51" t="s">
        <v>116</v>
      </c>
      <c r="K1680" s="51" t="s">
        <v>204</v>
      </c>
      <c r="L1680" s="41">
        <f t="shared" si="130"/>
        <v>93898000000</v>
      </c>
      <c r="M1680" s="41">
        <f t="shared" si="131"/>
        <v>79492000000</v>
      </c>
      <c r="N1680" s="41">
        <f t="shared" si="132"/>
        <v>14406000000</v>
      </c>
      <c r="O1680" s="41">
        <f t="shared" si="133"/>
        <v>0.69365828092243187</v>
      </c>
      <c r="P1680" s="41">
        <f t="shared" si="134"/>
        <v>5.551701812800592E-2</v>
      </c>
    </row>
    <row r="1681" spans="1:16" ht="19.95" customHeight="1">
      <c r="A1681" s="49">
        <v>1749</v>
      </c>
      <c r="B1681" s="50" t="s">
        <v>730</v>
      </c>
      <c r="C1681" s="51" t="s">
        <v>11</v>
      </c>
      <c r="D1681" s="51" t="s">
        <v>12</v>
      </c>
      <c r="E1681" s="52">
        <v>2928429000</v>
      </c>
      <c r="F1681" s="52">
        <v>1372042000</v>
      </c>
      <c r="G1681" s="52">
        <v>1148731000</v>
      </c>
      <c r="H1681" s="52" t="s">
        <v>757</v>
      </c>
      <c r="I1681" s="52" t="s">
        <v>757</v>
      </c>
      <c r="J1681" s="51" t="s">
        <v>37</v>
      </c>
      <c r="K1681" s="51" t="s">
        <v>227</v>
      </c>
      <c r="L1681" s="41">
        <f t="shared" si="130"/>
        <v>1556387000</v>
      </c>
      <c r="M1681" s="41">
        <f t="shared" si="131"/>
        <v>1148731000</v>
      </c>
      <c r="N1681" s="41">
        <f t="shared" si="132"/>
        <v>407656000</v>
      </c>
      <c r="O1681" s="41">
        <f t="shared" si="133"/>
        <v>0.60773131259115387</v>
      </c>
      <c r="P1681" s="41">
        <f t="shared" si="134"/>
        <v>0.13920637993955121</v>
      </c>
    </row>
    <row r="1682" spans="1:16" ht="19.95" customHeight="1">
      <c r="A1682" s="49">
        <v>1750</v>
      </c>
      <c r="B1682" s="50" t="s">
        <v>730</v>
      </c>
      <c r="C1682" s="51" t="s">
        <v>16</v>
      </c>
      <c r="D1682" s="51" t="s">
        <v>17</v>
      </c>
      <c r="E1682" s="52">
        <v>2950800000</v>
      </c>
      <c r="F1682" s="52">
        <v>1373400000</v>
      </c>
      <c r="G1682" s="52">
        <v>1144800000</v>
      </c>
      <c r="H1682" s="52" t="s">
        <v>757</v>
      </c>
      <c r="I1682" s="52" t="s">
        <v>757</v>
      </c>
      <c r="J1682" s="51" t="s">
        <v>37</v>
      </c>
      <c r="K1682" s="51" t="s">
        <v>227</v>
      </c>
      <c r="L1682" s="41">
        <f t="shared" si="130"/>
        <v>1577400000</v>
      </c>
      <c r="M1682" s="41">
        <f t="shared" si="131"/>
        <v>1144800000</v>
      </c>
      <c r="N1682" s="41">
        <f t="shared" si="132"/>
        <v>432600000</v>
      </c>
      <c r="O1682" s="41">
        <f t="shared" si="133"/>
        <v>0.61203741358275721</v>
      </c>
      <c r="P1682" s="41">
        <f t="shared" si="134"/>
        <v>0.14660431069540464</v>
      </c>
    </row>
    <row r="1683" spans="1:16" ht="19.95" customHeight="1">
      <c r="A1683" s="49">
        <v>1751</v>
      </c>
      <c r="B1683" s="50" t="s">
        <v>730</v>
      </c>
      <c r="C1683" s="51" t="s">
        <v>18</v>
      </c>
      <c r="D1683" s="51" t="s">
        <v>19</v>
      </c>
      <c r="E1683" s="52">
        <v>2922600000</v>
      </c>
      <c r="F1683" s="52">
        <v>1322800000</v>
      </c>
      <c r="G1683" s="52">
        <v>1143100000</v>
      </c>
      <c r="H1683" s="52" t="s">
        <v>757</v>
      </c>
      <c r="I1683" s="52" t="s">
        <v>757</v>
      </c>
      <c r="J1683" s="51" t="s">
        <v>37</v>
      </c>
      <c r="K1683" s="51" t="s">
        <v>227</v>
      </c>
      <c r="L1683" s="41">
        <f t="shared" si="130"/>
        <v>1599800000</v>
      </c>
      <c r="M1683" s="41">
        <f t="shared" si="131"/>
        <v>1143100000</v>
      </c>
      <c r="N1683" s="41">
        <f t="shared" si="132"/>
        <v>456700000</v>
      </c>
      <c r="O1683" s="41">
        <f t="shared" si="133"/>
        <v>0.60887565866009719</v>
      </c>
      <c r="P1683" s="41">
        <f t="shared" si="134"/>
        <v>0.15626496954766303</v>
      </c>
    </row>
    <row r="1684" spans="1:16" ht="19.95" customHeight="1">
      <c r="A1684" s="49">
        <v>1752</v>
      </c>
      <c r="B1684" s="50" t="s">
        <v>730</v>
      </c>
      <c r="C1684" s="51" t="s">
        <v>20</v>
      </c>
      <c r="D1684" s="51" t="s">
        <v>21</v>
      </c>
      <c r="E1684" s="52">
        <v>2674300000</v>
      </c>
      <c r="F1684" s="52">
        <v>1157100000</v>
      </c>
      <c r="G1684" s="52">
        <v>1077300000</v>
      </c>
      <c r="H1684" s="52" t="s">
        <v>757</v>
      </c>
      <c r="I1684" s="52" t="s">
        <v>757</v>
      </c>
      <c r="J1684" s="51" t="s">
        <v>37</v>
      </c>
      <c r="K1684" s="51" t="s">
        <v>227</v>
      </c>
      <c r="L1684" s="41">
        <f t="shared" si="130"/>
        <v>1517200000</v>
      </c>
      <c r="M1684" s="41">
        <f t="shared" si="131"/>
        <v>1077300000</v>
      </c>
      <c r="N1684" s="41">
        <f t="shared" si="132"/>
        <v>439900000</v>
      </c>
      <c r="O1684" s="41">
        <f t="shared" si="133"/>
        <v>0.59716561343155217</v>
      </c>
      <c r="P1684" s="41">
        <f t="shared" si="134"/>
        <v>0.16449164267284896</v>
      </c>
    </row>
    <row r="1685" spans="1:16" ht="19.95" customHeight="1">
      <c r="A1685" s="49">
        <v>1753</v>
      </c>
      <c r="B1685" s="50" t="s">
        <v>731</v>
      </c>
      <c r="C1685" s="51" t="s">
        <v>11</v>
      </c>
      <c r="D1685" s="51" t="s">
        <v>12</v>
      </c>
      <c r="E1685" s="52">
        <v>20421000000</v>
      </c>
      <c r="F1685" s="52">
        <v>13634000000</v>
      </c>
      <c r="G1685" s="52">
        <v>4398000000</v>
      </c>
      <c r="H1685" s="52">
        <v>655000000</v>
      </c>
      <c r="I1685" s="52">
        <v>301000000</v>
      </c>
      <c r="J1685" s="51" t="s">
        <v>31</v>
      </c>
      <c r="K1685" s="51" t="s">
        <v>255</v>
      </c>
      <c r="L1685" s="41">
        <f t="shared" si="130"/>
        <v>6787000000</v>
      </c>
      <c r="M1685" s="41">
        <f t="shared" si="131"/>
        <v>5354000000</v>
      </c>
      <c r="N1685" s="41">
        <f t="shared" si="132"/>
        <v>1433000000</v>
      </c>
      <c r="O1685" s="41">
        <f t="shared" si="133"/>
        <v>0.73781891190441207</v>
      </c>
      <c r="P1685" s="41">
        <f t="shared" si="134"/>
        <v>7.0172861270261011E-2</v>
      </c>
    </row>
    <row r="1686" spans="1:16" ht="19.95" customHeight="1">
      <c r="A1686" s="49">
        <v>1754</v>
      </c>
      <c r="B1686" s="50" t="s">
        <v>731</v>
      </c>
      <c r="C1686" s="51" t="s">
        <v>16</v>
      </c>
      <c r="D1686" s="51" t="s">
        <v>17</v>
      </c>
      <c r="E1686" s="52">
        <v>20006000000</v>
      </c>
      <c r="F1686" s="52">
        <v>13521000000</v>
      </c>
      <c r="G1686" s="52">
        <v>4219000000</v>
      </c>
      <c r="H1686" s="52">
        <v>603000000</v>
      </c>
      <c r="I1686" s="52">
        <v>305000000</v>
      </c>
      <c r="J1686" s="51" t="s">
        <v>31</v>
      </c>
      <c r="K1686" s="51" t="s">
        <v>255</v>
      </c>
      <c r="L1686" s="41">
        <f t="shared" si="130"/>
        <v>6485000000</v>
      </c>
      <c r="M1686" s="41">
        <f t="shared" si="131"/>
        <v>5127000000</v>
      </c>
      <c r="N1686" s="41">
        <f t="shared" si="132"/>
        <v>1358000000</v>
      </c>
      <c r="O1686" s="41">
        <f t="shared" si="133"/>
        <v>0.74372688193541936</v>
      </c>
      <c r="P1686" s="41">
        <f t="shared" si="134"/>
        <v>6.7879636109167252E-2</v>
      </c>
    </row>
    <row r="1687" spans="1:16" ht="19.95" customHeight="1">
      <c r="A1687" s="49">
        <v>1755</v>
      </c>
      <c r="B1687" s="50" t="s">
        <v>731</v>
      </c>
      <c r="C1687" s="51" t="s">
        <v>18</v>
      </c>
      <c r="D1687" s="51" t="s">
        <v>19</v>
      </c>
      <c r="E1687" s="52">
        <v>19540000000</v>
      </c>
      <c r="F1687" s="52">
        <v>13294000000</v>
      </c>
      <c r="G1687" s="52">
        <v>4020000000</v>
      </c>
      <c r="H1687" s="52">
        <v>577000000</v>
      </c>
      <c r="I1687" s="52">
        <v>315000000</v>
      </c>
      <c r="J1687" s="51" t="s">
        <v>31</v>
      </c>
      <c r="K1687" s="51" t="s">
        <v>255</v>
      </c>
      <c r="L1687" s="41">
        <f t="shared" si="130"/>
        <v>6246000000</v>
      </c>
      <c r="M1687" s="41">
        <f t="shared" si="131"/>
        <v>4912000000</v>
      </c>
      <c r="N1687" s="41">
        <f t="shared" si="132"/>
        <v>1334000000</v>
      </c>
      <c r="O1687" s="41">
        <f t="shared" si="133"/>
        <v>0.74861821903787096</v>
      </c>
      <c r="P1687" s="41">
        <f t="shared" si="134"/>
        <v>6.8270214943705221E-2</v>
      </c>
    </row>
    <row r="1688" spans="1:16" ht="19.95" customHeight="1">
      <c r="A1688" s="49">
        <v>1756</v>
      </c>
      <c r="B1688" s="50" t="s">
        <v>731</v>
      </c>
      <c r="C1688" s="51" t="s">
        <v>20</v>
      </c>
      <c r="D1688" s="51" t="s">
        <v>21</v>
      </c>
      <c r="E1688" s="52">
        <v>18045000000</v>
      </c>
      <c r="F1688" s="52">
        <v>12782000000</v>
      </c>
      <c r="G1688" s="52">
        <v>3792000000</v>
      </c>
      <c r="H1688" s="52">
        <v>563000000</v>
      </c>
      <c r="I1688" s="52">
        <v>310000000</v>
      </c>
      <c r="J1688" s="51" t="s">
        <v>31</v>
      </c>
      <c r="K1688" s="51" t="s">
        <v>255</v>
      </c>
      <c r="L1688" s="41">
        <f t="shared" si="130"/>
        <v>5263000000</v>
      </c>
      <c r="M1688" s="41">
        <f t="shared" si="131"/>
        <v>4665000000</v>
      </c>
      <c r="N1688" s="41">
        <f t="shared" si="132"/>
        <v>598000000</v>
      </c>
      <c r="O1688" s="41">
        <f t="shared" si="133"/>
        <v>0.74147963424771413</v>
      </c>
      <c r="P1688" s="41">
        <f t="shared" si="134"/>
        <v>3.3139373787752842E-2</v>
      </c>
    </row>
    <row r="1689" spans="1:16" ht="19.95" customHeight="1">
      <c r="A1689" s="49">
        <v>1757</v>
      </c>
      <c r="B1689" s="50" t="s">
        <v>732</v>
      </c>
      <c r="C1689" s="51" t="s">
        <v>11</v>
      </c>
      <c r="D1689" s="51" t="s">
        <v>12</v>
      </c>
      <c r="E1689" s="52">
        <v>3791000000</v>
      </c>
      <c r="F1689" s="52">
        <v>2289000000</v>
      </c>
      <c r="G1689" s="52">
        <v>936000000</v>
      </c>
      <c r="H1689" s="52">
        <v>106000000</v>
      </c>
      <c r="I1689" s="52" t="s">
        <v>757</v>
      </c>
      <c r="J1689" s="51" t="s">
        <v>14</v>
      </c>
      <c r="K1689" s="51" t="s">
        <v>224</v>
      </c>
      <c r="L1689" s="41">
        <f t="shared" si="130"/>
        <v>1502000000</v>
      </c>
      <c r="M1689" s="41">
        <f t="shared" si="131"/>
        <v>1042000000</v>
      </c>
      <c r="N1689" s="41">
        <f t="shared" si="132"/>
        <v>460000000</v>
      </c>
      <c r="O1689" s="41">
        <f t="shared" si="133"/>
        <v>0.72513848588762864</v>
      </c>
      <c r="P1689" s="41">
        <f t="shared" si="134"/>
        <v>0.12134001582695858</v>
      </c>
    </row>
    <row r="1690" spans="1:16" ht="19.95" customHeight="1">
      <c r="A1690" s="49">
        <v>1758</v>
      </c>
      <c r="B1690" s="50" t="s">
        <v>732</v>
      </c>
      <c r="C1690" s="51" t="s">
        <v>16</v>
      </c>
      <c r="D1690" s="51" t="s">
        <v>17</v>
      </c>
      <c r="E1690" s="52">
        <v>3837000000</v>
      </c>
      <c r="F1690" s="52">
        <v>2338000000</v>
      </c>
      <c r="G1690" s="52">
        <v>990000000</v>
      </c>
      <c r="H1690" s="52">
        <v>104000000</v>
      </c>
      <c r="I1690" s="52" t="s">
        <v>757</v>
      </c>
      <c r="J1690" s="51" t="s">
        <v>14</v>
      </c>
      <c r="K1690" s="51" t="s">
        <v>224</v>
      </c>
      <c r="L1690" s="41">
        <f t="shared" si="130"/>
        <v>1499000000</v>
      </c>
      <c r="M1690" s="41">
        <f t="shared" si="131"/>
        <v>1094000000</v>
      </c>
      <c r="N1690" s="41">
        <f t="shared" si="132"/>
        <v>405000000</v>
      </c>
      <c r="O1690" s="41">
        <f t="shared" si="133"/>
        <v>0.71488141777430281</v>
      </c>
      <c r="P1690" s="41">
        <f t="shared" si="134"/>
        <v>0.1055512118842846</v>
      </c>
    </row>
    <row r="1691" spans="1:16" ht="19.95" customHeight="1">
      <c r="A1691" s="49">
        <v>1759</v>
      </c>
      <c r="B1691" s="50" t="s">
        <v>732</v>
      </c>
      <c r="C1691" s="51" t="s">
        <v>18</v>
      </c>
      <c r="D1691" s="51" t="s">
        <v>19</v>
      </c>
      <c r="E1691" s="52">
        <v>3916000000</v>
      </c>
      <c r="F1691" s="52">
        <v>2403000000</v>
      </c>
      <c r="G1691" s="52">
        <v>920000000</v>
      </c>
      <c r="H1691" s="52">
        <v>104000000</v>
      </c>
      <c r="I1691" s="52" t="s">
        <v>757</v>
      </c>
      <c r="J1691" s="51" t="s">
        <v>14</v>
      </c>
      <c r="K1691" s="51" t="s">
        <v>224</v>
      </c>
      <c r="L1691" s="41">
        <f t="shared" si="130"/>
        <v>1513000000</v>
      </c>
      <c r="M1691" s="41">
        <f t="shared" si="131"/>
        <v>1024000000</v>
      </c>
      <c r="N1691" s="41">
        <f t="shared" si="132"/>
        <v>489000000</v>
      </c>
      <c r="O1691" s="41">
        <f t="shared" si="133"/>
        <v>0.7385086823289071</v>
      </c>
      <c r="P1691" s="41">
        <f t="shared" si="134"/>
        <v>0.12487231869254341</v>
      </c>
    </row>
    <row r="1692" spans="1:16" ht="19.95" customHeight="1">
      <c r="A1692" s="49">
        <v>1760</v>
      </c>
      <c r="B1692" s="50" t="s">
        <v>732</v>
      </c>
      <c r="C1692" s="51" t="s">
        <v>20</v>
      </c>
      <c r="D1692" s="51" t="s">
        <v>21</v>
      </c>
      <c r="E1692" s="52">
        <v>3653000000</v>
      </c>
      <c r="F1692" s="52">
        <v>2249000000</v>
      </c>
      <c r="G1692" s="52">
        <v>854000000</v>
      </c>
      <c r="H1692" s="52">
        <v>95000000</v>
      </c>
      <c r="I1692" s="52" t="s">
        <v>757</v>
      </c>
      <c r="J1692" s="51" t="s">
        <v>14</v>
      </c>
      <c r="K1692" s="51" t="s">
        <v>224</v>
      </c>
      <c r="L1692" s="41">
        <f t="shared" si="130"/>
        <v>1404000000</v>
      </c>
      <c r="M1692" s="41">
        <f t="shared" si="131"/>
        <v>949000000</v>
      </c>
      <c r="N1692" s="41">
        <f t="shared" si="132"/>
        <v>455000000</v>
      </c>
      <c r="O1692" s="41">
        <f t="shared" si="133"/>
        <v>0.74021352313167266</v>
      </c>
      <c r="P1692" s="41">
        <f t="shared" si="134"/>
        <v>0.12455516014234876</v>
      </c>
    </row>
    <row r="1693" spans="1:16" ht="19.95" customHeight="1">
      <c r="A1693" s="49">
        <v>1761</v>
      </c>
      <c r="B1693" s="50" t="s">
        <v>733</v>
      </c>
      <c r="C1693" s="51" t="s">
        <v>11</v>
      </c>
      <c r="D1693" s="51" t="s">
        <v>12</v>
      </c>
      <c r="E1693" s="52">
        <v>4986566000</v>
      </c>
      <c r="F1693" s="52">
        <v>1620566000</v>
      </c>
      <c r="G1693" s="52">
        <v>1641819000</v>
      </c>
      <c r="H1693" s="52">
        <v>885824000</v>
      </c>
      <c r="I1693" s="52">
        <v>35819000</v>
      </c>
      <c r="J1693" s="51" t="s">
        <v>31</v>
      </c>
      <c r="K1693" s="51" t="s">
        <v>86</v>
      </c>
      <c r="L1693" s="41">
        <f t="shared" si="130"/>
        <v>3366000000</v>
      </c>
      <c r="M1693" s="41">
        <f t="shared" si="131"/>
        <v>2563462000</v>
      </c>
      <c r="N1693" s="41">
        <f t="shared" si="132"/>
        <v>802538000</v>
      </c>
      <c r="O1693" s="41">
        <f t="shared" si="133"/>
        <v>0.48592638701663626</v>
      </c>
      <c r="P1693" s="41">
        <f t="shared" si="134"/>
        <v>0.16094001362861737</v>
      </c>
    </row>
    <row r="1694" spans="1:16" ht="19.95" customHeight="1">
      <c r="A1694" s="49">
        <v>1762</v>
      </c>
      <c r="B1694" s="50" t="s">
        <v>733</v>
      </c>
      <c r="C1694" s="51" t="s">
        <v>16</v>
      </c>
      <c r="D1694" s="51" t="s">
        <v>17</v>
      </c>
      <c r="E1694" s="52">
        <v>4680380000</v>
      </c>
      <c r="F1694" s="52">
        <v>1349380000</v>
      </c>
      <c r="G1694" s="52">
        <v>1751275000</v>
      </c>
      <c r="H1694" s="52">
        <v>957587000</v>
      </c>
      <c r="I1694" s="52">
        <v>44841000</v>
      </c>
      <c r="J1694" s="51" t="s">
        <v>31</v>
      </c>
      <c r="K1694" s="51" t="s">
        <v>86</v>
      </c>
      <c r="L1694" s="41">
        <f t="shared" si="130"/>
        <v>3331000000</v>
      </c>
      <c r="M1694" s="41">
        <f t="shared" si="131"/>
        <v>2753703000</v>
      </c>
      <c r="N1694" s="41">
        <f t="shared" si="132"/>
        <v>577297000</v>
      </c>
      <c r="O1694" s="41">
        <f t="shared" si="133"/>
        <v>0.41164969511022609</v>
      </c>
      <c r="P1694" s="41">
        <f t="shared" si="134"/>
        <v>0.12334404471431806</v>
      </c>
    </row>
    <row r="1695" spans="1:16" ht="19.95" customHeight="1">
      <c r="A1695" s="49">
        <v>1763</v>
      </c>
      <c r="B1695" s="50" t="s">
        <v>733</v>
      </c>
      <c r="C1695" s="51" t="s">
        <v>18</v>
      </c>
      <c r="D1695" s="51" t="s">
        <v>19</v>
      </c>
      <c r="E1695" s="52">
        <v>4618133000</v>
      </c>
      <c r="F1695" s="52">
        <v>1387375000</v>
      </c>
      <c r="G1695" s="52">
        <v>1770710000</v>
      </c>
      <c r="H1695" s="52">
        <v>1156386000</v>
      </c>
      <c r="I1695" s="52">
        <v>66750000</v>
      </c>
      <c r="J1695" s="51" t="s">
        <v>31</v>
      </c>
      <c r="K1695" s="51" t="s">
        <v>86</v>
      </c>
      <c r="L1695" s="41">
        <f t="shared" si="130"/>
        <v>3230758000</v>
      </c>
      <c r="M1695" s="41">
        <f t="shared" si="131"/>
        <v>2993846000</v>
      </c>
      <c r="N1695" s="41">
        <f t="shared" si="132"/>
        <v>236912000</v>
      </c>
      <c r="O1695" s="41">
        <f t="shared" si="133"/>
        <v>0.35171940695514836</v>
      </c>
      <c r="P1695" s="41">
        <f t="shared" si="134"/>
        <v>5.1300384809185876E-2</v>
      </c>
    </row>
    <row r="1696" spans="1:16" ht="19.95" customHeight="1">
      <c r="A1696" s="49">
        <v>1764</v>
      </c>
      <c r="B1696" s="50" t="s">
        <v>733</v>
      </c>
      <c r="C1696" s="51" t="s">
        <v>20</v>
      </c>
      <c r="D1696" s="51" t="s">
        <v>21</v>
      </c>
      <c r="E1696" s="52">
        <v>4968301000</v>
      </c>
      <c r="F1696" s="52">
        <v>2077748000</v>
      </c>
      <c r="G1696" s="52">
        <v>1768522000</v>
      </c>
      <c r="H1696" s="52">
        <v>1177923000</v>
      </c>
      <c r="I1696" s="52">
        <v>79042000</v>
      </c>
      <c r="J1696" s="51" t="s">
        <v>31</v>
      </c>
      <c r="K1696" s="51" t="s">
        <v>86</v>
      </c>
      <c r="L1696" s="41">
        <f t="shared" si="130"/>
        <v>2890553000</v>
      </c>
      <c r="M1696" s="41">
        <f t="shared" si="131"/>
        <v>3025487000</v>
      </c>
      <c r="N1696" s="41">
        <f t="shared" si="132"/>
        <v>-134934000</v>
      </c>
      <c r="O1696" s="41">
        <f t="shared" si="133"/>
        <v>0.39104192761267886</v>
      </c>
      <c r="P1696" s="41">
        <f t="shared" si="134"/>
        <v>-2.7158982517363581E-2</v>
      </c>
    </row>
    <row r="1697" spans="1:16" ht="19.95" customHeight="1">
      <c r="A1697" s="49">
        <v>1765</v>
      </c>
      <c r="B1697" s="50" t="s">
        <v>734</v>
      </c>
      <c r="C1697" s="51" t="s">
        <v>11</v>
      </c>
      <c r="D1697" s="51" t="s">
        <v>23</v>
      </c>
      <c r="E1697" s="52">
        <v>13633000000</v>
      </c>
      <c r="F1697" s="52">
        <v>9852000000</v>
      </c>
      <c r="G1697" s="52">
        <v>1450000000</v>
      </c>
      <c r="H1697" s="52" t="s">
        <v>757</v>
      </c>
      <c r="I1697" s="52" t="s">
        <v>757</v>
      </c>
      <c r="J1697" s="51" t="s">
        <v>24</v>
      </c>
      <c r="K1697" s="51" t="s">
        <v>215</v>
      </c>
      <c r="L1697" s="41">
        <f t="shared" si="130"/>
        <v>3781000000</v>
      </c>
      <c r="M1697" s="41">
        <f t="shared" si="131"/>
        <v>1450000000</v>
      </c>
      <c r="N1697" s="41">
        <f t="shared" si="132"/>
        <v>2331000000</v>
      </c>
      <c r="O1697" s="41">
        <f t="shared" si="133"/>
        <v>0.89364043130638893</v>
      </c>
      <c r="P1697" s="41">
        <f t="shared" si="134"/>
        <v>0.17098217560331549</v>
      </c>
    </row>
    <row r="1698" spans="1:16" ht="19.95" customHeight="1">
      <c r="A1698" s="49">
        <v>1766</v>
      </c>
      <c r="B1698" s="50" t="s">
        <v>734</v>
      </c>
      <c r="C1698" s="51" t="s">
        <v>16</v>
      </c>
      <c r="D1698" s="51" t="s">
        <v>26</v>
      </c>
      <c r="E1698" s="52">
        <v>13084000000</v>
      </c>
      <c r="F1698" s="52">
        <v>9501000000</v>
      </c>
      <c r="G1698" s="52">
        <v>1454000000</v>
      </c>
      <c r="H1698" s="52" t="s">
        <v>757</v>
      </c>
      <c r="I1698" s="52" t="s">
        <v>757</v>
      </c>
      <c r="J1698" s="51" t="s">
        <v>24</v>
      </c>
      <c r="K1698" s="51" t="s">
        <v>215</v>
      </c>
      <c r="L1698" s="41">
        <f t="shared" si="130"/>
        <v>3583000000</v>
      </c>
      <c r="M1698" s="41">
        <f t="shared" si="131"/>
        <v>1454000000</v>
      </c>
      <c r="N1698" s="41">
        <f t="shared" si="132"/>
        <v>2129000000</v>
      </c>
      <c r="O1698" s="41">
        <f t="shared" si="133"/>
        <v>0.88887190461632526</v>
      </c>
      <c r="P1698" s="41">
        <f t="shared" si="134"/>
        <v>0.16271782329562826</v>
      </c>
    </row>
    <row r="1699" spans="1:16" ht="19.95" customHeight="1">
      <c r="A1699" s="49">
        <v>1767</v>
      </c>
      <c r="B1699" s="50" t="s">
        <v>734</v>
      </c>
      <c r="C1699" s="51" t="s">
        <v>18</v>
      </c>
      <c r="D1699" s="51" t="s">
        <v>376</v>
      </c>
      <c r="E1699" s="52">
        <v>13279000000</v>
      </c>
      <c r="F1699" s="52">
        <v>9682000000</v>
      </c>
      <c r="G1699" s="52">
        <v>1505000000</v>
      </c>
      <c r="H1699" s="52" t="s">
        <v>757</v>
      </c>
      <c r="I1699" s="52" t="s">
        <v>757</v>
      </c>
      <c r="J1699" s="51" t="s">
        <v>24</v>
      </c>
      <c r="K1699" s="51" t="s">
        <v>215</v>
      </c>
      <c r="L1699" s="41">
        <f t="shared" si="130"/>
        <v>3597000000</v>
      </c>
      <c r="M1699" s="41">
        <f t="shared" si="131"/>
        <v>1505000000</v>
      </c>
      <c r="N1699" s="41">
        <f t="shared" si="132"/>
        <v>2092000000</v>
      </c>
      <c r="O1699" s="41">
        <f t="shared" si="133"/>
        <v>0.88666315234580917</v>
      </c>
      <c r="P1699" s="41">
        <f t="shared" si="134"/>
        <v>0.15754198358310115</v>
      </c>
    </row>
    <row r="1700" spans="1:16" ht="19.95" customHeight="1">
      <c r="A1700" s="49">
        <v>1768</v>
      </c>
      <c r="B1700" s="50" t="s">
        <v>734</v>
      </c>
      <c r="C1700" s="51" t="s">
        <v>20</v>
      </c>
      <c r="D1700" s="51" t="s">
        <v>377</v>
      </c>
      <c r="E1700" s="52">
        <v>13105000000</v>
      </c>
      <c r="F1700" s="52">
        <v>9359000000</v>
      </c>
      <c r="G1700" s="52">
        <v>1746000000</v>
      </c>
      <c r="H1700" s="52" t="s">
        <v>757</v>
      </c>
      <c r="I1700" s="52" t="s">
        <v>757</v>
      </c>
      <c r="J1700" s="51" t="s">
        <v>24</v>
      </c>
      <c r="K1700" s="51" t="s">
        <v>215</v>
      </c>
      <c r="L1700" s="41">
        <f t="shared" si="130"/>
        <v>3746000000</v>
      </c>
      <c r="M1700" s="41">
        <f t="shared" si="131"/>
        <v>1746000000</v>
      </c>
      <c r="N1700" s="41">
        <f t="shared" si="132"/>
        <v>2000000000</v>
      </c>
      <c r="O1700" s="41">
        <f t="shared" si="133"/>
        <v>0.86676840900419694</v>
      </c>
      <c r="P1700" s="41">
        <f t="shared" si="134"/>
        <v>0.15261350629530712</v>
      </c>
    </row>
    <row r="1701" spans="1:16" ht="19.95" customHeight="1">
      <c r="A1701" s="49">
        <v>1769</v>
      </c>
      <c r="B1701" s="50" t="s">
        <v>735</v>
      </c>
      <c r="C1701" s="51" t="s">
        <v>11</v>
      </c>
      <c r="D1701" s="51" t="s">
        <v>12</v>
      </c>
      <c r="E1701" s="52">
        <v>4471700000</v>
      </c>
      <c r="F1701" s="52">
        <v>1125200000</v>
      </c>
      <c r="G1701" s="52">
        <v>1822100000</v>
      </c>
      <c r="H1701" s="52">
        <v>225600000</v>
      </c>
      <c r="I1701" s="52" t="s">
        <v>757</v>
      </c>
      <c r="J1701" s="51" t="s">
        <v>37</v>
      </c>
      <c r="K1701" s="51" t="s">
        <v>46</v>
      </c>
      <c r="L1701" s="41">
        <f t="shared" si="130"/>
        <v>3346500000</v>
      </c>
      <c r="M1701" s="41">
        <f t="shared" si="131"/>
        <v>2047700000</v>
      </c>
      <c r="N1701" s="41">
        <f t="shared" si="132"/>
        <v>1298800000</v>
      </c>
      <c r="O1701" s="41">
        <f t="shared" si="133"/>
        <v>0.5420757206431559</v>
      </c>
      <c r="P1701" s="41">
        <f t="shared" si="134"/>
        <v>0.29044882259543353</v>
      </c>
    </row>
    <row r="1702" spans="1:16" ht="19.95" customHeight="1">
      <c r="A1702" s="49">
        <v>1770</v>
      </c>
      <c r="B1702" s="50" t="s">
        <v>735</v>
      </c>
      <c r="C1702" s="51" t="s">
        <v>16</v>
      </c>
      <c r="D1702" s="51" t="s">
        <v>17</v>
      </c>
      <c r="E1702" s="52">
        <v>4623400000</v>
      </c>
      <c r="F1702" s="52">
        <v>1266700000</v>
      </c>
      <c r="G1702" s="52">
        <v>1796300000</v>
      </c>
      <c r="H1702" s="52">
        <v>203000000</v>
      </c>
      <c r="I1702" s="52">
        <v>78500000</v>
      </c>
      <c r="J1702" s="51" t="s">
        <v>37</v>
      </c>
      <c r="K1702" s="51" t="s">
        <v>46</v>
      </c>
      <c r="L1702" s="41">
        <f t="shared" si="130"/>
        <v>3356700000</v>
      </c>
      <c r="M1702" s="41">
        <f t="shared" si="131"/>
        <v>2077800000</v>
      </c>
      <c r="N1702" s="41">
        <f t="shared" si="132"/>
        <v>1278900000</v>
      </c>
      <c r="O1702" s="41">
        <f t="shared" si="133"/>
        <v>0.55059047454254451</v>
      </c>
      <c r="P1702" s="41">
        <f t="shared" si="134"/>
        <v>0.27661461262274517</v>
      </c>
    </row>
    <row r="1703" spans="1:16" ht="19.95" customHeight="1">
      <c r="A1703" s="49">
        <v>1771</v>
      </c>
      <c r="B1703" s="50" t="s">
        <v>735</v>
      </c>
      <c r="C1703" s="51" t="s">
        <v>18</v>
      </c>
      <c r="D1703" s="51" t="s">
        <v>19</v>
      </c>
      <c r="E1703" s="52">
        <v>4673300000</v>
      </c>
      <c r="F1703" s="52">
        <v>1242800000</v>
      </c>
      <c r="G1703" s="52">
        <v>1772200000</v>
      </c>
      <c r="H1703" s="52">
        <v>187400000</v>
      </c>
      <c r="I1703" s="52">
        <v>92500000</v>
      </c>
      <c r="J1703" s="51" t="s">
        <v>37</v>
      </c>
      <c r="K1703" s="51" t="s">
        <v>46</v>
      </c>
      <c r="L1703" s="41">
        <f t="shared" si="130"/>
        <v>3430500000</v>
      </c>
      <c r="M1703" s="41">
        <f t="shared" si="131"/>
        <v>2052100000</v>
      </c>
      <c r="N1703" s="41">
        <f t="shared" si="132"/>
        <v>1378400000</v>
      </c>
      <c r="O1703" s="41">
        <f t="shared" si="133"/>
        <v>0.56088845141548793</v>
      </c>
      <c r="P1703" s="41">
        <f t="shared" si="134"/>
        <v>0.29495217512250443</v>
      </c>
    </row>
    <row r="1704" spans="1:16" ht="19.95" customHeight="1">
      <c r="A1704" s="49">
        <v>1772</v>
      </c>
      <c r="B1704" s="50" t="s">
        <v>735</v>
      </c>
      <c r="C1704" s="51" t="s">
        <v>20</v>
      </c>
      <c r="D1704" s="51" t="s">
        <v>21</v>
      </c>
      <c r="E1704" s="52">
        <v>5997800000</v>
      </c>
      <c r="F1704" s="52">
        <v>1800600000</v>
      </c>
      <c r="G1704" s="52">
        <v>2291900000</v>
      </c>
      <c r="H1704" s="52">
        <v>268800000</v>
      </c>
      <c r="I1704" s="52">
        <v>337400000</v>
      </c>
      <c r="J1704" s="51" t="s">
        <v>37</v>
      </c>
      <c r="K1704" s="51" t="s">
        <v>46</v>
      </c>
      <c r="L1704" s="41">
        <f t="shared" si="130"/>
        <v>4197200000</v>
      </c>
      <c r="M1704" s="41">
        <f t="shared" si="131"/>
        <v>2898100000</v>
      </c>
      <c r="N1704" s="41">
        <f t="shared" si="132"/>
        <v>1299100000</v>
      </c>
      <c r="O1704" s="41">
        <f t="shared" si="133"/>
        <v>0.51680616225949516</v>
      </c>
      <c r="P1704" s="41">
        <f t="shared" si="134"/>
        <v>0.21659608523125146</v>
      </c>
    </row>
    <row r="1705" spans="1:16" ht="19.95" customHeight="1">
      <c r="A1705" s="49">
        <v>1773</v>
      </c>
      <c r="B1705" s="50" t="s">
        <v>736</v>
      </c>
      <c r="C1705" s="51" t="s">
        <v>11</v>
      </c>
      <c r="D1705" s="51" t="s">
        <v>12</v>
      </c>
      <c r="E1705" s="52">
        <v>2458592000</v>
      </c>
      <c r="F1705" s="52">
        <v>80146000</v>
      </c>
      <c r="G1705" s="52">
        <v>1579007000</v>
      </c>
      <c r="H1705" s="52" t="s">
        <v>757</v>
      </c>
      <c r="I1705" s="52">
        <v>31237000</v>
      </c>
      <c r="J1705" s="51" t="s">
        <v>75</v>
      </c>
      <c r="K1705" s="51" t="s">
        <v>200</v>
      </c>
      <c r="L1705" s="41">
        <f t="shared" si="130"/>
        <v>2378446000</v>
      </c>
      <c r="M1705" s="41">
        <f t="shared" si="131"/>
        <v>1610244000</v>
      </c>
      <c r="N1705" s="41">
        <f t="shared" si="132"/>
        <v>768202000</v>
      </c>
      <c r="O1705" s="41">
        <f t="shared" si="133"/>
        <v>0.34505440512293217</v>
      </c>
      <c r="P1705" s="41">
        <f t="shared" si="134"/>
        <v>0.31245607241868517</v>
      </c>
    </row>
    <row r="1706" spans="1:16" ht="19.95" customHeight="1">
      <c r="A1706" s="53">
        <v>1774</v>
      </c>
      <c r="B1706" s="54" t="s">
        <v>736</v>
      </c>
      <c r="C1706" s="55" t="s">
        <v>16</v>
      </c>
      <c r="D1706" s="55" t="s">
        <v>17</v>
      </c>
      <c r="E1706" s="56">
        <v>2278812000</v>
      </c>
      <c r="F1706" s="56">
        <v>58913000</v>
      </c>
      <c r="G1706" s="56">
        <v>1700064000</v>
      </c>
      <c r="H1706" s="56" t="s">
        <v>757</v>
      </c>
      <c r="I1706" s="56">
        <v>-72761000</v>
      </c>
      <c r="J1706" s="55" t="s">
        <v>75</v>
      </c>
      <c r="K1706" s="55" t="s">
        <v>200</v>
      </c>
      <c r="L1706" s="57">
        <f t="shared" si="130"/>
        <v>2219899000</v>
      </c>
      <c r="M1706" s="57">
        <f t="shared" si="131"/>
        <v>1627303000</v>
      </c>
      <c r="N1706" s="57">
        <f t="shared" si="132"/>
        <v>592596000</v>
      </c>
      <c r="O1706" s="57">
        <f t="shared" si="133"/>
        <v>0.2858985295847134</v>
      </c>
      <c r="P1706" s="57">
        <f t="shared" si="134"/>
        <v>0.26004602398091636</v>
      </c>
    </row>
    <row r="1707" spans="1:16" ht="19.95" customHeight="1">
      <c r="A1707" s="49">
        <v>1775</v>
      </c>
      <c r="B1707" s="50" t="s">
        <v>736</v>
      </c>
      <c r="C1707" s="51" t="s">
        <v>18</v>
      </c>
      <c r="D1707" s="51" t="s">
        <v>19</v>
      </c>
      <c r="E1707" s="52">
        <v>2361631000</v>
      </c>
      <c r="F1707" s="52">
        <v>49736000</v>
      </c>
      <c r="G1707" s="52">
        <v>1654369000</v>
      </c>
      <c r="H1707" s="52" t="s">
        <v>757</v>
      </c>
      <c r="I1707" s="52">
        <v>-87159000</v>
      </c>
      <c r="J1707" s="51" t="s">
        <v>75</v>
      </c>
      <c r="K1707" s="51" t="s">
        <v>200</v>
      </c>
      <c r="L1707" s="41">
        <f t="shared" si="130"/>
        <v>2311895000</v>
      </c>
      <c r="M1707" s="41">
        <f t="shared" si="131"/>
        <v>1567210000</v>
      </c>
      <c r="N1707" s="41">
        <f t="shared" si="132"/>
        <v>744685000</v>
      </c>
      <c r="O1707" s="41">
        <f t="shared" si="133"/>
        <v>0.33638659045380082</v>
      </c>
      <c r="P1707" s="41">
        <f t="shared" si="134"/>
        <v>0.31532656879927473</v>
      </c>
    </row>
    <row r="1708" spans="1:16" ht="19.95" customHeight="1">
      <c r="A1708" s="49">
        <v>1776</v>
      </c>
      <c r="B1708" s="50" t="s">
        <v>736</v>
      </c>
      <c r="C1708" s="51" t="s">
        <v>20</v>
      </c>
      <c r="D1708" s="51" t="s">
        <v>21</v>
      </c>
      <c r="E1708" s="52">
        <v>2210591000</v>
      </c>
      <c r="F1708" s="52">
        <v>49344000</v>
      </c>
      <c r="G1708" s="52">
        <v>1591239000</v>
      </c>
      <c r="H1708" s="52" t="s">
        <v>757</v>
      </c>
      <c r="I1708" s="52">
        <v>49282000</v>
      </c>
      <c r="J1708" s="51" t="s">
        <v>75</v>
      </c>
      <c r="K1708" s="51" t="s">
        <v>200</v>
      </c>
      <c r="L1708" s="41">
        <f t="shared" si="130"/>
        <v>2161247000</v>
      </c>
      <c r="M1708" s="41">
        <f t="shared" si="131"/>
        <v>1640521000</v>
      </c>
      <c r="N1708" s="41">
        <f t="shared" si="132"/>
        <v>520726000</v>
      </c>
      <c r="O1708" s="41">
        <f t="shared" si="133"/>
        <v>0.25788126342683926</v>
      </c>
      <c r="P1708" s="41">
        <f t="shared" si="134"/>
        <v>0.23555963088603907</v>
      </c>
    </row>
    <row r="1709" spans="1:16" ht="19.95" customHeight="1">
      <c r="A1709" s="49">
        <v>1777</v>
      </c>
      <c r="B1709" s="50" t="s">
        <v>737</v>
      </c>
      <c r="C1709" s="51" t="s">
        <v>11</v>
      </c>
      <c r="D1709" s="51" t="s">
        <v>17</v>
      </c>
      <c r="E1709" s="52">
        <v>4561000000</v>
      </c>
      <c r="F1709" s="52">
        <v>1669000000</v>
      </c>
      <c r="G1709" s="52">
        <v>1613000000</v>
      </c>
      <c r="H1709" s="52">
        <v>399000000</v>
      </c>
      <c r="I1709" s="52">
        <v>60000000</v>
      </c>
      <c r="J1709" s="51" t="s">
        <v>37</v>
      </c>
      <c r="K1709" s="51" t="s">
        <v>38</v>
      </c>
      <c r="L1709" s="41">
        <f t="shared" si="130"/>
        <v>2892000000</v>
      </c>
      <c r="M1709" s="41">
        <f t="shared" si="131"/>
        <v>2072000000</v>
      </c>
      <c r="N1709" s="41">
        <f t="shared" si="132"/>
        <v>820000000</v>
      </c>
      <c r="O1709" s="41">
        <f t="shared" si="133"/>
        <v>0.54571365928524451</v>
      </c>
      <c r="P1709" s="41">
        <f t="shared" si="134"/>
        <v>0.17978513483885114</v>
      </c>
    </row>
    <row r="1710" spans="1:16" ht="19.95" customHeight="1">
      <c r="A1710" s="49">
        <v>1778</v>
      </c>
      <c r="B1710" s="50" t="s">
        <v>737</v>
      </c>
      <c r="C1710" s="51" t="s">
        <v>16</v>
      </c>
      <c r="D1710" s="51" t="s">
        <v>19</v>
      </c>
      <c r="E1710" s="52">
        <v>4785000000</v>
      </c>
      <c r="F1710" s="52">
        <v>1717000000</v>
      </c>
      <c r="G1710" s="52">
        <v>1643000000</v>
      </c>
      <c r="H1710" s="52">
        <v>396000000</v>
      </c>
      <c r="I1710" s="52">
        <v>60000000</v>
      </c>
      <c r="J1710" s="51" t="s">
        <v>37</v>
      </c>
      <c r="K1710" s="51" t="s">
        <v>38</v>
      </c>
      <c r="L1710" s="41">
        <f t="shared" si="130"/>
        <v>3068000000</v>
      </c>
      <c r="M1710" s="41">
        <f t="shared" si="131"/>
        <v>2099000000</v>
      </c>
      <c r="N1710" s="41">
        <f t="shared" si="132"/>
        <v>969000000</v>
      </c>
      <c r="O1710" s="41">
        <f t="shared" si="133"/>
        <v>0.56133751306165092</v>
      </c>
      <c r="P1710" s="41">
        <f t="shared" si="134"/>
        <v>0.2025078369905956</v>
      </c>
    </row>
    <row r="1711" spans="1:16" ht="19.95" customHeight="1">
      <c r="A1711" s="49">
        <v>1779</v>
      </c>
      <c r="B1711" s="50" t="s">
        <v>737</v>
      </c>
      <c r="C1711" s="51" t="s">
        <v>18</v>
      </c>
      <c r="D1711" s="51" t="s">
        <v>21</v>
      </c>
      <c r="E1711" s="52">
        <v>4765000000</v>
      </c>
      <c r="F1711" s="52">
        <v>1738000000</v>
      </c>
      <c r="G1711" s="52">
        <v>1532000000</v>
      </c>
      <c r="H1711" s="52">
        <v>364000000</v>
      </c>
      <c r="I1711" s="52">
        <v>61000000</v>
      </c>
      <c r="J1711" s="51" t="s">
        <v>37</v>
      </c>
      <c r="K1711" s="51" t="s">
        <v>38</v>
      </c>
      <c r="L1711" s="41">
        <f t="shared" si="130"/>
        <v>3027000000</v>
      </c>
      <c r="M1711" s="41">
        <f t="shared" si="131"/>
        <v>1957000000</v>
      </c>
      <c r="N1711" s="41">
        <f t="shared" si="132"/>
        <v>1070000000</v>
      </c>
      <c r="O1711" s="41">
        <f t="shared" si="133"/>
        <v>0.58929695697796425</v>
      </c>
      <c r="P1711" s="41">
        <f t="shared" si="134"/>
        <v>0.22455403987408185</v>
      </c>
    </row>
    <row r="1712" spans="1:16" ht="19.95" customHeight="1">
      <c r="A1712" s="49">
        <v>1780</v>
      </c>
      <c r="B1712" s="50" t="s">
        <v>737</v>
      </c>
      <c r="C1712" s="51" t="s">
        <v>20</v>
      </c>
      <c r="D1712" s="51" t="s">
        <v>84</v>
      </c>
      <c r="E1712" s="52">
        <v>4888000000</v>
      </c>
      <c r="F1712" s="52">
        <v>1666000000</v>
      </c>
      <c r="G1712" s="52">
        <v>1364000000</v>
      </c>
      <c r="H1712" s="52">
        <v>376000000</v>
      </c>
      <c r="I1712" s="52">
        <v>85000000</v>
      </c>
      <c r="J1712" s="51" t="s">
        <v>37</v>
      </c>
      <c r="K1712" s="51" t="s">
        <v>38</v>
      </c>
      <c r="L1712" s="41">
        <f t="shared" si="130"/>
        <v>3222000000</v>
      </c>
      <c r="M1712" s="41">
        <f t="shared" si="131"/>
        <v>1825000000</v>
      </c>
      <c r="N1712" s="41">
        <f t="shared" si="132"/>
        <v>1397000000</v>
      </c>
      <c r="O1712" s="41">
        <f t="shared" si="133"/>
        <v>0.62663666121112938</v>
      </c>
      <c r="P1712" s="41">
        <f t="shared" si="134"/>
        <v>0.28580196399345337</v>
      </c>
    </row>
    <row r="1713" spans="5:5" ht="19.95" customHeight="1">
      <c r="E1713" s="2"/>
    </row>
  </sheetData>
  <mergeCells count="1">
    <mergeCell ref="A1:K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071C9-A113-48DB-BEDF-C502419AE999}">
  <sheetPr>
    <tabColor theme="4" tint="-0.499984740745262"/>
  </sheetPr>
  <dimension ref="E7:I31"/>
  <sheetViews>
    <sheetView topLeftCell="A7" workbookViewId="0">
      <selection activeCell="H10" sqref="H10:I10"/>
    </sheetView>
  </sheetViews>
  <sheetFormatPr defaultRowHeight="13.8"/>
  <cols>
    <col min="1" max="4" width="8.88671875" style="37"/>
    <col min="5" max="5" width="26.6640625" style="37" customWidth="1"/>
    <col min="6" max="6" width="24" style="37" customWidth="1"/>
    <col min="7" max="16384" width="8.88671875" style="37"/>
  </cols>
  <sheetData>
    <row r="7" spans="5:9">
      <c r="E7" s="36" t="s">
        <v>781</v>
      </c>
      <c r="G7" s="61" t="s">
        <v>783</v>
      </c>
      <c r="H7" s="61"/>
      <c r="I7" s="61"/>
    </row>
    <row r="8" spans="5:9">
      <c r="E8" s="38" t="s">
        <v>782</v>
      </c>
      <c r="G8" s="39" t="s">
        <v>738</v>
      </c>
      <c r="H8" s="60">
        <f>AVERAGE(E9:E31)</f>
        <v>10954398043.47826</v>
      </c>
      <c r="I8" s="60"/>
    </row>
    <row r="9" spans="5:9">
      <c r="E9" s="40">
        <v>3651335000</v>
      </c>
      <c r="G9" s="39" t="s">
        <v>740</v>
      </c>
      <c r="H9" s="60">
        <f>MEDIAN(E9:E31)</f>
        <v>9524400000</v>
      </c>
      <c r="I9" s="60"/>
    </row>
    <row r="10" spans="5:9">
      <c r="E10" s="40">
        <v>9524400000</v>
      </c>
      <c r="G10" s="39" t="s">
        <v>739</v>
      </c>
      <c r="H10" s="62">
        <f>STDEV(E9:E31)</f>
        <v>7637862920.0133038</v>
      </c>
      <c r="I10" s="62"/>
    </row>
    <row r="11" spans="5:9">
      <c r="E11" s="40">
        <v>5966900000</v>
      </c>
      <c r="G11" s="39" t="s">
        <v>742</v>
      </c>
      <c r="H11" s="60">
        <f>MAX(E9:E31)</f>
        <v>32735000000</v>
      </c>
      <c r="I11" s="60"/>
    </row>
    <row r="12" spans="5:9">
      <c r="E12" s="40">
        <v>7997000000</v>
      </c>
      <c r="G12" s="39" t="s">
        <v>743</v>
      </c>
      <c r="H12" s="60">
        <f>MIN(E9:E31)</f>
        <v>3023189000</v>
      </c>
      <c r="I12" s="60"/>
    </row>
    <row r="13" spans="5:9">
      <c r="E13" s="40">
        <v>4308300000</v>
      </c>
      <c r="G13" s="39" t="s">
        <v>741</v>
      </c>
      <c r="H13" s="60">
        <f>(H11-H12)</f>
        <v>29711811000</v>
      </c>
      <c r="I13" s="60"/>
    </row>
    <row r="14" spans="5:9">
      <c r="E14" s="40">
        <v>24594000000</v>
      </c>
    </row>
    <row r="15" spans="5:9">
      <c r="E15" s="40">
        <v>13545100000</v>
      </c>
    </row>
    <row r="16" spans="5:9">
      <c r="E16" s="40">
        <v>9648000000</v>
      </c>
    </row>
    <row r="17" spans="5:5">
      <c r="E17" s="40">
        <v>15877000000</v>
      </c>
    </row>
    <row r="18" spans="5:5">
      <c r="E18" s="40">
        <v>3276500000</v>
      </c>
    </row>
    <row r="19" spans="5:5">
      <c r="E19" s="40">
        <v>3023189000</v>
      </c>
    </row>
    <row r="20" spans="5:5">
      <c r="E20" s="40">
        <v>22365000000</v>
      </c>
    </row>
    <row r="21" spans="5:5">
      <c r="E21" s="40">
        <v>32735000000</v>
      </c>
    </row>
    <row r="22" spans="5:5">
      <c r="E22" s="40">
        <v>3539570000</v>
      </c>
    </row>
    <row r="23" spans="5:5">
      <c r="E23" s="40">
        <v>13502000000</v>
      </c>
    </row>
    <row r="24" spans="5:5">
      <c r="E24" s="40">
        <v>7162800000</v>
      </c>
    </row>
    <row r="25" spans="5:5">
      <c r="E25" s="40">
        <v>7729000000</v>
      </c>
    </row>
    <row r="26" spans="5:5">
      <c r="E26" s="40">
        <v>16439276000</v>
      </c>
    </row>
    <row r="27" spans="5:5">
      <c r="E27" s="40">
        <v>14751000000</v>
      </c>
    </row>
    <row r="28" spans="5:5">
      <c r="E28" s="40">
        <v>10776000000</v>
      </c>
    </row>
    <row r="29" spans="5:5">
      <c r="E29" s="40">
        <v>6778300000</v>
      </c>
    </row>
    <row r="30" spans="5:5">
      <c r="E30" s="40">
        <v>11339304000</v>
      </c>
    </row>
    <row r="31" spans="5:5">
      <c r="E31" s="40">
        <v>3422181000</v>
      </c>
    </row>
  </sheetData>
  <mergeCells count="7">
    <mergeCell ref="H13:I13"/>
    <mergeCell ref="G7:I7"/>
    <mergeCell ref="H8:I8"/>
    <mergeCell ref="H9:I9"/>
    <mergeCell ref="H10:I10"/>
    <mergeCell ref="H11:I11"/>
    <mergeCell ref="H12:I1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249977111117893"/>
  </sheetPr>
  <dimension ref="A2:G14"/>
  <sheetViews>
    <sheetView workbookViewId="0">
      <selection activeCell="B2" sqref="B2"/>
    </sheetView>
  </sheetViews>
  <sheetFormatPr defaultColWidth="11.5546875" defaultRowHeight="13.2"/>
  <cols>
    <col min="1" max="2" width="15.77734375" customWidth="1"/>
    <col min="4" max="7" width="25.77734375" customWidth="1"/>
  </cols>
  <sheetData>
    <row r="2" spans="1:7">
      <c r="A2" s="5" t="s">
        <v>753</v>
      </c>
      <c r="B2" s="15" t="s">
        <v>225</v>
      </c>
    </row>
    <row r="4" spans="1:7" ht="15">
      <c r="B4" s="65" t="s">
        <v>744</v>
      </c>
      <c r="C4" s="65"/>
      <c r="D4" s="65"/>
      <c r="E4" s="65"/>
      <c r="F4" s="65"/>
      <c r="G4" s="65"/>
    </row>
    <row r="5" spans="1:7" ht="15.6" thickBot="1">
      <c r="B5" s="3"/>
      <c r="C5" s="3"/>
      <c r="D5" s="66" t="s">
        <v>745</v>
      </c>
      <c r="E5" s="66"/>
      <c r="F5" s="66"/>
      <c r="G5" s="66"/>
    </row>
    <row r="6" spans="1:7" ht="16.2" thickTop="1">
      <c r="B6" s="3"/>
      <c r="C6" s="3"/>
      <c r="D6" s="4" t="s">
        <v>11</v>
      </c>
      <c r="E6" s="4" t="s">
        <v>16</v>
      </c>
      <c r="F6" s="4" t="s">
        <v>18</v>
      </c>
      <c r="G6" s="4" t="s">
        <v>20</v>
      </c>
    </row>
    <row r="7" spans="1:7" ht="15.6">
      <c r="B7" s="10" t="s">
        <v>746</v>
      </c>
      <c r="C7" s="11"/>
      <c r="D7" s="12" cm="1">
        <f t="array" ref="D7">INDEX(Total_Revenue,MATCH(1,($B$2=TickerSymbol)*(D6=Years),0))</f>
        <v>1587725000</v>
      </c>
      <c r="E7" s="12">
        <f t="array" ref="E7">INDEX(Total_Revenue,MATCH(1,($B$2=TickerSymbol)*(E6=Years),0))</f>
        <v>1717776000</v>
      </c>
      <c r="F7" s="12">
        <f t="array" ref="F7">INDEX(Total_Revenue,MATCH(1,($B$2=TickerSymbol)*(F6=Years),0))</f>
        <v>1797060000</v>
      </c>
      <c r="G7" s="12">
        <f t="array" ref="G7">INDEX(Total_Revenue,MATCH(1,($B$2=TickerSymbol)*(G6=Years),0))</f>
        <v>1966814000</v>
      </c>
    </row>
    <row r="8" spans="1:7" ht="15">
      <c r="B8" s="11" t="s">
        <v>747</v>
      </c>
      <c r="C8" s="11"/>
      <c r="D8" s="12">
        <f t="array" ref="D8">INDEX(COGS,MATCH(1,($B$2=TickerSymbol)*(D6=Years),0))</f>
        <v>560917000</v>
      </c>
      <c r="E8" s="12">
        <f t="array" ref="E8">INDEX(COGS,MATCH(1,($B$2=TickerSymbol)*(E6=Years),0))</f>
        <v>626206000</v>
      </c>
      <c r="F8" s="12">
        <f t="array" ref="F8">INDEX(COGS,MATCH(1,($B$2=TickerSymbol)*(F6=Years),0))</f>
        <v>726798000</v>
      </c>
      <c r="G8" s="12">
        <f t="array" ref="G8">INDEX(COGS,MATCH(1,($B$2=TickerSymbol)*(G6=Years),0))</f>
        <v>793735000</v>
      </c>
    </row>
    <row r="9" spans="1:7" ht="15.6">
      <c r="B9" s="67" t="s">
        <v>748</v>
      </c>
      <c r="C9" s="67"/>
      <c r="D9" s="12">
        <f t="array" ref="D9">INDEX(Gross_Profit,MATCH(1,($B$2=TickerSymbol)*(D6=Years),0))</f>
        <v>1026808000</v>
      </c>
      <c r="E9" s="12">
        <f t="array" ref="E9">INDEX(Gross_Profit,MATCH(1,($B$2=TickerSymbol)*(E6=Years),0))</f>
        <v>1091570000</v>
      </c>
      <c r="F9" s="12">
        <f t="array" ref="F9">INDEX(Gross_Profit,MATCH(1,($B$2=TickerSymbol)*(F6=Years),0))</f>
        <v>1070262000</v>
      </c>
      <c r="G9" s="12">
        <f t="array" ref="G9">INDEX(Gross_Profit,MATCH(1,($B$2=TickerSymbol)*(G6=Years),0))</f>
        <v>1173079000</v>
      </c>
    </row>
    <row r="10" spans="1:7" ht="15">
      <c r="B10" s="63" t="s">
        <v>766</v>
      </c>
      <c r="C10" s="63"/>
      <c r="D10" s="12">
        <f t="array" ref="D10">INDEX(SGAA,MATCH(1,($B$2=TickerSymbol)*(D6=Years),0))</f>
        <v>610735000</v>
      </c>
      <c r="E10" s="12">
        <f t="array" ref="E10">INDEX(SGAA,MATCH(1,($B$2=TickerSymbol)*(E6=Years),0))</f>
        <v>683115000</v>
      </c>
      <c r="F10" s="12">
        <f t="array" ref="F10">INDEX(SGAA,MATCH(1,($B$2=TickerSymbol)*(F6=Years),0))</f>
        <v>712543000</v>
      </c>
      <c r="G10" s="12">
        <f t="array" ref="G10">INDEX(SGAA,MATCH(1,($B$2=TickerSymbol)*(G6=Years),0))</f>
        <v>722798000</v>
      </c>
    </row>
    <row r="11" spans="1:7" ht="15">
      <c r="B11" s="63" t="s">
        <v>749</v>
      </c>
      <c r="C11" s="63"/>
      <c r="D11" s="12">
        <f t="array" ref="D11">INDEX(OOI,MATCH(1,($B$2=TickerSymbol)*(D6=Years),0))</f>
        <v>30239000</v>
      </c>
      <c r="E11" s="12">
        <f t="array" ref="E11">INDEX(OOI,MATCH(1,($B$2=TickerSymbol)*(E6=Years),0))</f>
        <v>35710000</v>
      </c>
      <c r="F11" s="12">
        <f t="array" ref="F11">INDEX(OOI,MATCH(1,($B$2=TickerSymbol)*(F6=Years),0))</f>
        <v>51459000</v>
      </c>
      <c r="G11" s="12">
        <f t="array" ref="G11">INDEX(OOI,MATCH(1,($B$2=TickerSymbol)*(G6=Years),0))</f>
        <v>60790000</v>
      </c>
    </row>
    <row r="12" spans="1:7" ht="15">
      <c r="B12" s="68" t="s">
        <v>750</v>
      </c>
      <c r="C12" s="68"/>
      <c r="D12" s="13">
        <f t="array" ref="D12">INDEX(RandD,MATCH(1,($B$2=TickerSymbol)*(D6=Years),0))</f>
        <v>58827000</v>
      </c>
      <c r="E12" s="13">
        <f t="array" ref="E12">INDEX(RandD,MATCH(1,($B$2=TickerSymbol)*(E6=Years),0))</f>
        <v>66259000</v>
      </c>
      <c r="F12" s="13">
        <f t="array" ref="F12">INDEX(RandD,MATCH(1,($B$2=TickerSymbol)*(F6=Years),0))</f>
        <v>69589000</v>
      </c>
      <c r="G12" s="13">
        <f t="array" ref="G12">INDEX(RandD,MATCH(1,($B$2=TickerSymbol)*(G6=Years),0))</f>
        <v>65411000</v>
      </c>
    </row>
    <row r="13" spans="1:7" ht="15">
      <c r="B13" s="63" t="s">
        <v>751</v>
      </c>
      <c r="C13" s="63"/>
      <c r="D13" s="12">
        <f t="array" ref="D13">INDEX(Total_Operating_Expenses,MATCH(1,($B$2=TickerSymbol)*(D6=Years),0))</f>
        <v>699801000</v>
      </c>
      <c r="E13" s="12">
        <f t="array" ref="E13">INDEX(Total_Operating_Expenses,MATCH(1,($B$2=TickerSymbol)*(E6=Years),0))</f>
        <v>785084000</v>
      </c>
      <c r="F13" s="12">
        <f t="array" ref="F13">INDEX(Total_Operating_Expenses,MATCH(1,($B$2=TickerSymbol)*(F6=Years),0))</f>
        <v>833591000</v>
      </c>
      <c r="G13" s="12">
        <f t="array" ref="G13">INDEX(Total_Operating_Expenses,MATCH(1,($B$2=TickerSymbol)*(G6=Years),0))</f>
        <v>848999000</v>
      </c>
    </row>
    <row r="14" spans="1:7" ht="15.6">
      <c r="B14" s="64" t="s">
        <v>752</v>
      </c>
      <c r="C14" s="64"/>
      <c r="D14" s="16">
        <f>D9-D13</f>
        <v>327007000</v>
      </c>
      <c r="E14" s="16">
        <f>E9-E13</f>
        <v>306486000</v>
      </c>
      <c r="F14" s="16">
        <f>F9-F13</f>
        <v>236671000</v>
      </c>
      <c r="G14" s="16">
        <f>G9-G13</f>
        <v>324080000</v>
      </c>
    </row>
  </sheetData>
  <mergeCells count="8">
    <mergeCell ref="B13:C13"/>
    <mergeCell ref="B14:C14"/>
    <mergeCell ref="B4:G4"/>
    <mergeCell ref="D5:G5"/>
    <mergeCell ref="B9:C9"/>
    <mergeCell ref="B10:C10"/>
    <mergeCell ref="B11:C11"/>
    <mergeCell ref="B12:C12"/>
  </mergeCells>
  <dataValidations count="1">
    <dataValidation type="list" allowBlank="1" showInputMessage="1" showErrorMessage="1" sqref="B2" xr:uid="{00000000-0002-0000-0200-000000000000}">
      <formula1>Ticker_Symbol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39997558519241921"/>
  </sheetPr>
  <dimension ref="A2:K40"/>
  <sheetViews>
    <sheetView tabSelected="1" zoomScale="65" workbookViewId="0">
      <selection activeCell="F24" sqref="F24"/>
    </sheetView>
  </sheetViews>
  <sheetFormatPr defaultColWidth="11.5546875" defaultRowHeight="15"/>
  <cols>
    <col min="1" max="1" width="15.77734375" style="26" customWidth="1"/>
    <col min="2" max="2" width="20.77734375" style="26" customWidth="1"/>
    <col min="3" max="3" width="11.5546875" style="26"/>
    <col min="4" max="9" width="20.77734375" style="26" customWidth="1"/>
    <col min="10" max="10" width="11.5546875" style="26"/>
    <col min="11" max="11" width="34.77734375" style="26" customWidth="1"/>
    <col min="12" max="16384" width="11.5546875" style="26"/>
  </cols>
  <sheetData>
    <row r="2" spans="1:9" ht="31.2">
      <c r="A2" s="23" t="s">
        <v>753</v>
      </c>
      <c r="B2" s="24" t="s">
        <v>195</v>
      </c>
      <c r="C2" s="25"/>
      <c r="D2" s="25"/>
      <c r="E2" s="25"/>
      <c r="F2" s="25"/>
      <c r="G2" s="25"/>
      <c r="H2" s="25"/>
      <c r="I2" s="25"/>
    </row>
    <row r="3" spans="1:9" ht="15.6">
      <c r="A3" s="25"/>
      <c r="B3" s="25"/>
      <c r="C3" s="25"/>
      <c r="D3" s="25"/>
      <c r="E3" s="25"/>
      <c r="F3" s="25"/>
      <c r="G3" s="25"/>
      <c r="H3" s="25"/>
      <c r="I3" s="25"/>
    </row>
    <row r="4" spans="1:9" ht="15.6">
      <c r="A4" s="25"/>
      <c r="B4" s="69" t="s">
        <v>744</v>
      </c>
      <c r="C4" s="69"/>
      <c r="D4" s="69"/>
      <c r="E4" s="69"/>
      <c r="F4" s="69"/>
      <c r="G4" s="69"/>
      <c r="H4" s="69"/>
      <c r="I4" s="69"/>
    </row>
    <row r="5" spans="1:9" ht="16.2" thickBot="1">
      <c r="A5" s="25"/>
      <c r="B5" s="17"/>
      <c r="C5" s="17"/>
      <c r="D5" s="73" t="s">
        <v>745</v>
      </c>
      <c r="E5" s="73"/>
      <c r="F5" s="73"/>
      <c r="G5" s="73"/>
      <c r="H5" s="72" t="s">
        <v>767</v>
      </c>
      <c r="I5" s="72"/>
    </row>
    <row r="6" spans="1:9" ht="16.8" thickTop="1" thickBot="1">
      <c r="A6" s="25"/>
      <c r="B6" s="17"/>
      <c r="C6" s="17"/>
      <c r="D6" s="27" t="s">
        <v>11</v>
      </c>
      <c r="E6" s="27" t="s">
        <v>16</v>
      </c>
      <c r="F6" s="27" t="s">
        <v>18</v>
      </c>
      <c r="G6" s="27" t="s">
        <v>20</v>
      </c>
      <c r="H6" s="28" t="s">
        <v>768</v>
      </c>
      <c r="I6" s="28" t="s">
        <v>769</v>
      </c>
    </row>
    <row r="7" spans="1:9" ht="16.2" thickTop="1">
      <c r="A7" s="25"/>
      <c r="B7" s="18" t="s">
        <v>746</v>
      </c>
      <c r="C7" s="19"/>
      <c r="D7" s="29">
        <f t="array" ref="D7">INDEX(Total_Revenue,MATCH(1,($B$2=TickerSymbol)*(D6=Years),0))</f>
        <v>2910748000</v>
      </c>
      <c r="E7" s="29">
        <f t="array" ref="E7">INDEX(Total_Revenue,MATCH(1,($B$2=TickerSymbol)*(E6=Years),0))</f>
        <v>3402703000</v>
      </c>
      <c r="F7" s="29">
        <f t="array" ref="F7">INDEX(Total_Revenue,MATCH(1,($B$2=TickerSymbol)*(F6=Years),0))</f>
        <v>4425267000</v>
      </c>
      <c r="G7" s="29">
        <f t="array" ref="G7">INDEX(Total_Revenue,MATCH(1,($B$2=TickerSymbol)*(G6=Years),0))</f>
        <v>4796473000</v>
      </c>
      <c r="H7" s="30">
        <f ca="1">G7*(1+H19)</f>
        <v>5441457546.6810007</v>
      </c>
      <c r="I7" s="30">
        <f ca="1">H7*(1+I19)</f>
        <v>5901100667.5460358</v>
      </c>
    </row>
    <row r="8" spans="1:9" ht="15.6">
      <c r="A8" s="25"/>
      <c r="B8" s="19" t="s">
        <v>747</v>
      </c>
      <c r="C8" s="19"/>
      <c r="D8" s="29">
        <f t="array" ref="D8">INDEX(COGS,MATCH(1,($B$2=TickerSymbol)*(D6=Years),0))</f>
        <v>514722000</v>
      </c>
      <c r="E8" s="29">
        <f t="array" ref="E8">INDEX(COGS,MATCH(1,($B$2=TickerSymbol)*(E6=Years),0))</f>
        <v>604377000</v>
      </c>
      <c r="F8" s="29">
        <f t="array" ref="F8">INDEX(COGS,MATCH(1,($B$2=TickerSymbol)*(F6=Years),0))</f>
        <v>750781000</v>
      </c>
      <c r="G8" s="29">
        <f t="array" ref="G8">INDEX(COGS,MATCH(1,($B$2=TickerSymbol)*(G6=Years),0))</f>
        <v>779116000</v>
      </c>
      <c r="H8" s="25"/>
      <c r="I8" s="25"/>
    </row>
    <row r="9" spans="1:9" ht="15.6">
      <c r="A9" s="25"/>
      <c r="B9" s="74" t="s">
        <v>748</v>
      </c>
      <c r="C9" s="74"/>
      <c r="D9" s="29">
        <f t="array" ref="D9">INDEX(Gross_Profit,MATCH(1,($B$2=TickerSymbol)*(D6=Years),0))</f>
        <v>2396026000</v>
      </c>
      <c r="E9" s="29">
        <f t="array" ref="E9">INDEX(Gross_Profit,MATCH(1,($B$2=TickerSymbol)*(E6=Years),0))</f>
        <v>2798326000</v>
      </c>
      <c r="F9" s="29">
        <f t="array" ref="F9">INDEX(Gross_Profit,MATCH(1,($B$2=TickerSymbol)*(F6=Years),0))</f>
        <v>3674486000</v>
      </c>
      <c r="G9" s="29">
        <f t="array" ref="G9">INDEX(Gross_Profit,MATCH(1,($B$2=TickerSymbol)*(G6=Years),0))</f>
        <v>4017357000</v>
      </c>
      <c r="H9" s="30">
        <f ca="1">H7*(1+H20)</f>
        <v>6904047128.4184132</v>
      </c>
      <c r="I9" s="30">
        <f ca="1">I7*(1+I20)</f>
        <v>6897125985.1244221</v>
      </c>
    </row>
    <row r="10" spans="1:9" ht="15.6">
      <c r="A10" s="25"/>
      <c r="B10" s="70" t="s">
        <v>766</v>
      </c>
      <c r="C10" s="70"/>
      <c r="D10" s="29">
        <f t="array" ref="D10">INDEX(SGAA,MATCH(1,($B$2=TickerSymbol)*(D6=Years),0))</f>
        <v>1468434000</v>
      </c>
      <c r="E10" s="29">
        <f t="array" ref="E10">INDEX(SGAA,MATCH(1,($B$2=TickerSymbol)*(E6=Years),0))</f>
        <v>1628961000</v>
      </c>
      <c r="F10" s="29">
        <f t="array" ref="F10">INDEX(SGAA,MATCH(1,($B$2=TickerSymbol)*(F6=Years),0))</f>
        <v>2262024000</v>
      </c>
      <c r="G10" s="29">
        <f t="array" ref="G10">INDEX(SGAA,MATCH(1,($B$2=TickerSymbol)*(G6=Years),0))</f>
        <v>2464380000</v>
      </c>
      <c r="H10" s="25"/>
      <c r="I10" s="25"/>
    </row>
    <row r="11" spans="1:9" ht="15.6">
      <c r="A11" s="25"/>
      <c r="B11" s="70" t="s">
        <v>749</v>
      </c>
      <c r="C11" s="70"/>
      <c r="D11" s="29">
        <f t="array" ref="D11">INDEX(OOI,MATCH(1,($B$2=TickerSymbol)*(D6=Years),0))</f>
        <v>12794000</v>
      </c>
      <c r="E11" s="29">
        <f t="array" ref="E11">INDEX(OOI,MATCH(1,($B$2=TickerSymbol)*(E6=Years),0))</f>
        <v>13476000</v>
      </c>
      <c r="F11" s="29">
        <f t="array" ref="F11">INDEX(OOI,MATCH(1,($B$2=TickerSymbol)*(F6=Years),0))</f>
        <v>91527000</v>
      </c>
      <c r="G11" s="29">
        <f t="array" ref="G11">INDEX(OOI,MATCH(1,($B$2=TickerSymbol)*(G6=Years),0))</f>
        <v>90546000</v>
      </c>
      <c r="H11" s="25"/>
      <c r="I11" s="25"/>
    </row>
    <row r="12" spans="1:9" ht="15.6">
      <c r="A12" s="25"/>
      <c r="B12" s="75" t="s">
        <v>750</v>
      </c>
      <c r="C12" s="75"/>
      <c r="D12" s="31">
        <f t="array" ref="D12">INDEX(RandD,MATCH(1,($B$2=TickerSymbol)*(D6=Years),0))</f>
        <v>338786000</v>
      </c>
      <c r="E12" s="31">
        <f t="array" ref="E12">INDEX(RandD,MATCH(1,($B$2=TickerSymbol)*(E6=Years),0))</f>
        <v>392805000</v>
      </c>
      <c r="F12" s="31">
        <f t="array" ref="F12">INDEX(RandD,MATCH(1,($B$2=TickerSymbol)*(F6=Years),0))</f>
        <v>539799000</v>
      </c>
      <c r="G12" s="31">
        <f t="array" ref="G12">INDEX(RandD,MATCH(1,($B$2=TickerSymbol)*(G6=Years),0))</f>
        <v>551418000</v>
      </c>
      <c r="H12" s="25"/>
      <c r="I12" s="25"/>
    </row>
    <row r="13" spans="1:9" ht="15.6">
      <c r="A13" s="25"/>
      <c r="B13" s="70" t="s">
        <v>751</v>
      </c>
      <c r="C13" s="70"/>
      <c r="D13" s="29">
        <f t="array" ref="D13">INDEX(Total_Operating_Expenses,MATCH(1,($B$2=TickerSymbol)*(D6=Years),0))</f>
        <v>1820014000</v>
      </c>
      <c r="E13" s="29">
        <f t="array" ref="E13">INDEX(Total_Operating_Expenses,MATCH(1,($B$2=TickerSymbol)*(E6=Years),0))</f>
        <v>2035242000</v>
      </c>
      <c r="F13" s="29">
        <f t="array" ref="F13">INDEX(Total_Operating_Expenses,MATCH(1,($B$2=TickerSymbol)*(F6=Years),0))</f>
        <v>2893350000</v>
      </c>
      <c r="G13" s="29">
        <f t="array" ref="G13">INDEX(Total_Operating_Expenses,MATCH(1,($B$2=TickerSymbol)*(G6=Years),0))</f>
        <v>3106344000</v>
      </c>
      <c r="H13" s="25"/>
      <c r="I13" s="25"/>
    </row>
    <row r="14" spans="1:9" ht="15.6">
      <c r="A14" s="25"/>
      <c r="B14" s="71" t="s">
        <v>752</v>
      </c>
      <c r="C14" s="71"/>
      <c r="D14" s="32">
        <f>D9-D13</f>
        <v>576012000</v>
      </c>
      <c r="E14" s="32">
        <f>E9-E13</f>
        <v>763084000</v>
      </c>
      <c r="F14" s="32">
        <f>F9-F13</f>
        <v>781136000</v>
      </c>
      <c r="G14" s="32">
        <f>G9-G13</f>
        <v>911013000</v>
      </c>
      <c r="H14" s="33">
        <f ca="1">H7*H21</f>
        <v>691882390.93102098</v>
      </c>
      <c r="I14" s="33">
        <f ca="1">I7*I21</f>
        <v>337249056.88655752</v>
      </c>
    </row>
    <row r="15" spans="1:9" ht="15.6">
      <c r="A15" s="25"/>
      <c r="B15" s="25"/>
      <c r="C15" s="25"/>
      <c r="D15" s="25"/>
      <c r="E15" s="25"/>
      <c r="F15" s="25"/>
      <c r="G15" s="25"/>
      <c r="H15" s="25"/>
      <c r="I15" s="25"/>
    </row>
    <row r="16" spans="1:9" ht="15.6">
      <c r="A16" s="25"/>
      <c r="B16" s="25"/>
      <c r="C16" s="25"/>
      <c r="D16" s="25"/>
      <c r="E16" s="25"/>
      <c r="F16" s="25"/>
      <c r="G16" s="25"/>
      <c r="H16" s="25"/>
      <c r="I16" s="25"/>
    </row>
    <row r="17" spans="1:11" ht="30">
      <c r="A17" s="25"/>
      <c r="B17" s="69" t="s">
        <v>770</v>
      </c>
      <c r="C17" s="69"/>
      <c r="D17" s="69"/>
      <c r="E17" s="69"/>
      <c r="F17" s="69"/>
      <c r="G17" s="69"/>
      <c r="H17" s="69"/>
      <c r="I17" s="69"/>
      <c r="K17" s="34" t="s">
        <v>780</v>
      </c>
    </row>
    <row r="18" spans="1:11" ht="16.2" thickBot="1">
      <c r="A18" s="25"/>
      <c r="B18" s="17"/>
      <c r="C18" s="17"/>
      <c r="D18" s="73" t="s">
        <v>745</v>
      </c>
      <c r="E18" s="73"/>
      <c r="F18" s="73"/>
      <c r="G18" s="73"/>
      <c r="H18" s="73" t="s">
        <v>767</v>
      </c>
      <c r="I18" s="73"/>
    </row>
    <row r="19" spans="1:11" ht="16.2" thickTop="1">
      <c r="A19" s="25"/>
      <c r="B19" s="17" t="s">
        <v>771</v>
      </c>
      <c r="C19" s="25"/>
      <c r="D19" s="25"/>
      <c r="E19" s="35">
        <f>(E7-D7)/D7</f>
        <v>0.16901325707343953</v>
      </c>
      <c r="F19" s="35">
        <f>(F7-E7)/E7</f>
        <v>0.30051520805665377</v>
      </c>
      <c r="G19" s="35">
        <f>(G7-F7)/F7</f>
        <v>8.3883300148894974E-2</v>
      </c>
      <c r="H19" s="35">
        <f ca="1">OFFSET(H27,MATCH($C$23,$B$28:$B$30,0),0)</f>
        <v>0.13447058842632942</v>
      </c>
      <c r="I19" s="35">
        <f ca="1">OFFSET(I27,MATCH($C$23,$B$28:$B$30,0),0)</f>
        <v>8.4470588426329415E-2</v>
      </c>
    </row>
    <row r="20" spans="1:11" ht="15.6">
      <c r="A20" s="25"/>
      <c r="B20" s="17" t="s">
        <v>772</v>
      </c>
      <c r="C20" s="25"/>
      <c r="D20" s="35">
        <f>1-(D13/D7)</f>
        <v>0.37472635899775586</v>
      </c>
      <c r="E20" s="35">
        <f>1-(E13/E7)</f>
        <v>0.40187492120235002</v>
      </c>
      <c r="F20" s="35">
        <f>1-(F13/F7)</f>
        <v>0.34617504435325597</v>
      </c>
      <c r="G20" s="35">
        <f>1-(G13/G7)</f>
        <v>0.35236912623087835</v>
      </c>
      <c r="H20" s="35">
        <f ca="1">OFFSET(H32,MATCH($C$23,$B$33:$B$35,0),0)</f>
        <v>0.26878636269606004</v>
      </c>
      <c r="I20" s="35">
        <f ca="1">OFFSET(I32,MATCH($C$23,$B$33:$B$35,0),0)</f>
        <v>0.16878636269606004</v>
      </c>
    </row>
    <row r="21" spans="1:11" ht="15.6">
      <c r="A21" s="25"/>
      <c r="B21" s="17" t="s">
        <v>773</v>
      </c>
      <c r="C21" s="25"/>
      <c r="D21" s="35">
        <f>(D9-D13)/D7</f>
        <v>0.19789140111064235</v>
      </c>
      <c r="E21" s="35">
        <f>(E9-E13)/E7</f>
        <v>0.22425818533089723</v>
      </c>
      <c r="F21" s="35">
        <f>(F9-F13)/F7</f>
        <v>0.17651725873263693</v>
      </c>
      <c r="G21" s="35">
        <f>(G9-G13)/G7</f>
        <v>0.18993393687403223</v>
      </c>
      <c r="H21" s="35">
        <f ca="1">OFFSET(H37,MATCH($C$23,$B$38:$B$40,0),0)</f>
        <v>0.12715019551205217</v>
      </c>
      <c r="I21" s="35">
        <f ca="1">OFFSET(I37,MATCH($C$23,$B$38:$B$40,0),0)</f>
        <v>5.7150195512052165E-2</v>
      </c>
    </row>
    <row r="22" spans="1:11" ht="15.6">
      <c r="A22" s="25"/>
      <c r="B22" s="17"/>
      <c r="C22" s="25"/>
      <c r="D22" s="25"/>
      <c r="E22" s="25"/>
      <c r="F22" s="25"/>
      <c r="G22" s="25"/>
      <c r="H22" s="25"/>
      <c r="I22" s="25"/>
    </row>
    <row r="23" spans="1:11" ht="31.2">
      <c r="A23" s="25"/>
      <c r="B23" s="20" t="s">
        <v>774</v>
      </c>
      <c r="C23" s="24" t="s">
        <v>777</v>
      </c>
      <c r="D23" s="25"/>
      <c r="E23" s="25"/>
      <c r="F23" s="25"/>
      <c r="G23" s="25"/>
      <c r="H23" s="25"/>
      <c r="I23" s="25"/>
    </row>
    <row r="24" spans="1:11" ht="15.6">
      <c r="A24" s="25"/>
      <c r="B24" s="25"/>
      <c r="C24" s="25"/>
      <c r="D24" s="25"/>
      <c r="E24" s="25"/>
      <c r="F24" s="25"/>
      <c r="G24" s="25"/>
      <c r="H24" s="25"/>
      <c r="I24" s="25"/>
    </row>
    <row r="25" spans="1:11" ht="15.6">
      <c r="A25" s="25"/>
      <c r="B25" s="69" t="s">
        <v>778</v>
      </c>
      <c r="C25" s="69"/>
      <c r="D25" s="69"/>
      <c r="E25" s="69"/>
      <c r="F25" s="69"/>
      <c r="G25" s="69"/>
      <c r="H25" s="69"/>
      <c r="I25" s="69"/>
    </row>
    <row r="26" spans="1:11" ht="15.6">
      <c r="A26" s="25"/>
      <c r="B26" s="17"/>
      <c r="C26" s="17"/>
      <c r="D26" s="17"/>
      <c r="E26" s="17"/>
      <c r="F26" s="17"/>
      <c r="G26" s="17"/>
      <c r="H26" s="17"/>
      <c r="I26" s="17"/>
    </row>
    <row r="27" spans="1:11" ht="16.2" thickBot="1">
      <c r="A27" s="25"/>
      <c r="B27" s="21" t="s">
        <v>771</v>
      </c>
      <c r="C27" s="21"/>
      <c r="D27" s="21"/>
      <c r="E27" s="21"/>
      <c r="F27" s="21"/>
      <c r="G27" s="21"/>
      <c r="H27" s="21" t="s">
        <v>768</v>
      </c>
      <c r="I27" s="21" t="s">
        <v>769</v>
      </c>
    </row>
    <row r="28" spans="1:11" ht="16.2" thickTop="1">
      <c r="A28" s="25"/>
      <c r="B28" s="17" t="s">
        <v>775</v>
      </c>
      <c r="C28" s="25"/>
      <c r="D28" s="25"/>
      <c r="E28" s="25"/>
      <c r="F28" s="25"/>
      <c r="G28" s="25"/>
      <c r="H28" s="35">
        <f>H29+5%</f>
        <v>0.23447058842632945</v>
      </c>
      <c r="I28" s="35">
        <f>H28+5%</f>
        <v>0.28447058842632944</v>
      </c>
    </row>
    <row r="29" spans="1:11" ht="15.6">
      <c r="A29" s="25"/>
      <c r="B29" s="17" t="s">
        <v>776</v>
      </c>
      <c r="C29" s="25"/>
      <c r="D29" s="25"/>
      <c r="E29" s="25"/>
      <c r="F29" s="25"/>
      <c r="G29" s="25"/>
      <c r="H29" s="35">
        <f>AVERAGE(E19:G19)</f>
        <v>0.18447058842632943</v>
      </c>
      <c r="I29" s="35">
        <f>H29+2%</f>
        <v>0.20447058842632942</v>
      </c>
    </row>
    <row r="30" spans="1:11" ht="15.6">
      <c r="A30" s="25"/>
      <c r="B30" s="17" t="s">
        <v>777</v>
      </c>
      <c r="C30" s="25"/>
      <c r="D30" s="25"/>
      <c r="E30" s="25"/>
      <c r="F30" s="25"/>
      <c r="G30" s="25"/>
      <c r="H30" s="35">
        <f>H29-5%</f>
        <v>0.13447058842632942</v>
      </c>
      <c r="I30" s="35">
        <f>H30-5%</f>
        <v>8.4470588426329415E-2</v>
      </c>
    </row>
    <row r="31" spans="1:11" ht="15.6">
      <c r="A31" s="25"/>
      <c r="B31" s="22"/>
      <c r="C31" s="25"/>
      <c r="D31" s="25"/>
      <c r="E31" s="25"/>
      <c r="F31" s="25"/>
      <c r="G31" s="25"/>
      <c r="H31" s="25"/>
      <c r="I31" s="25"/>
    </row>
    <row r="32" spans="1:11" ht="16.2" thickBot="1">
      <c r="A32" s="25"/>
      <c r="B32" s="21" t="s">
        <v>764</v>
      </c>
      <c r="C32" s="21"/>
      <c r="D32" s="21"/>
      <c r="E32" s="21"/>
      <c r="F32" s="21"/>
      <c r="G32" s="21"/>
      <c r="H32" s="21" t="s">
        <v>768</v>
      </c>
      <c r="I32" s="21" t="s">
        <v>779</v>
      </c>
    </row>
    <row r="33" spans="1:9" ht="16.2" thickTop="1">
      <c r="A33" s="25"/>
      <c r="B33" s="17" t="s">
        <v>775</v>
      </c>
      <c r="C33" s="25"/>
      <c r="D33" s="25"/>
      <c r="E33" s="25"/>
      <c r="F33" s="25"/>
      <c r="G33" s="25"/>
      <c r="H33" s="35">
        <f>H34+10%</f>
        <v>0.46878636269606011</v>
      </c>
      <c r="I33" s="35">
        <f>H33+10%</f>
        <v>0.56878636269606009</v>
      </c>
    </row>
    <row r="34" spans="1:9" ht="15.6">
      <c r="A34" s="25"/>
      <c r="B34" s="17" t="s">
        <v>776</v>
      </c>
      <c r="C34" s="25"/>
      <c r="D34" s="25"/>
      <c r="E34" s="25"/>
      <c r="F34" s="25"/>
      <c r="G34" s="25"/>
      <c r="H34" s="35">
        <f>AVERAGE(D20:G20)</f>
        <v>0.36878636269606008</v>
      </c>
      <c r="I34" s="35">
        <f>H34+2%</f>
        <v>0.38878636269606009</v>
      </c>
    </row>
    <row r="35" spans="1:9" ht="15.6">
      <c r="A35" s="25"/>
      <c r="B35" s="17" t="s">
        <v>777</v>
      </c>
      <c r="C35" s="25"/>
      <c r="D35" s="25"/>
      <c r="E35" s="25"/>
      <c r="F35" s="25"/>
      <c r="G35" s="25"/>
      <c r="H35" s="35">
        <f>H34-10%</f>
        <v>0.26878636269606004</v>
      </c>
      <c r="I35" s="35">
        <f>H35-10%</f>
        <v>0.16878636269606004</v>
      </c>
    </row>
    <row r="36" spans="1:9" ht="15.6">
      <c r="A36" s="25"/>
      <c r="B36" s="22"/>
      <c r="C36" s="25"/>
      <c r="D36" s="25"/>
      <c r="E36" s="25"/>
      <c r="F36" s="25"/>
      <c r="G36" s="25"/>
      <c r="H36" s="25"/>
      <c r="I36" s="25"/>
    </row>
    <row r="37" spans="1:9" ht="16.2" thickBot="1">
      <c r="A37" s="25"/>
      <c r="B37" s="21" t="s">
        <v>765</v>
      </c>
      <c r="C37" s="21"/>
      <c r="D37" s="21"/>
      <c r="E37" s="21"/>
      <c r="F37" s="21"/>
      <c r="G37" s="21"/>
      <c r="H37" s="21" t="s">
        <v>768</v>
      </c>
      <c r="I37" s="21" t="s">
        <v>769</v>
      </c>
    </row>
    <row r="38" spans="1:9" ht="16.2" thickTop="1">
      <c r="A38" s="25"/>
      <c r="B38" s="17" t="s">
        <v>775</v>
      </c>
      <c r="C38" s="25"/>
      <c r="D38" s="25"/>
      <c r="E38" s="25"/>
      <c r="F38" s="25"/>
      <c r="G38" s="25"/>
      <c r="H38" s="35">
        <f>H39+7%</f>
        <v>0.26715019551205221</v>
      </c>
      <c r="I38" s="35">
        <f>H38+7%</f>
        <v>0.33715019551205222</v>
      </c>
    </row>
    <row r="39" spans="1:9" ht="15.6">
      <c r="A39" s="25"/>
      <c r="B39" s="17" t="s">
        <v>776</v>
      </c>
      <c r="C39" s="25"/>
      <c r="D39" s="25"/>
      <c r="E39" s="25"/>
      <c r="F39" s="25"/>
      <c r="G39" s="25"/>
      <c r="H39" s="35">
        <f>AVERAGE(D21:G21)</f>
        <v>0.19715019551205218</v>
      </c>
      <c r="I39" s="35">
        <f>H39+2%</f>
        <v>0.21715019551205217</v>
      </c>
    </row>
    <row r="40" spans="1:9" ht="15.6">
      <c r="A40" s="25"/>
      <c r="B40" s="17" t="s">
        <v>777</v>
      </c>
      <c r="C40" s="25"/>
      <c r="D40" s="25"/>
      <c r="E40" s="25"/>
      <c r="F40" s="25"/>
      <c r="G40" s="25"/>
      <c r="H40" s="35">
        <f>H39-7%</f>
        <v>0.12715019551205217</v>
      </c>
      <c r="I40" s="35">
        <f>H40-7%</f>
        <v>5.7150195512052165E-2</v>
      </c>
    </row>
  </sheetData>
  <mergeCells count="13">
    <mergeCell ref="B4:I4"/>
    <mergeCell ref="B25:I25"/>
    <mergeCell ref="B13:C13"/>
    <mergeCell ref="B14:C14"/>
    <mergeCell ref="H5:I5"/>
    <mergeCell ref="B17:I17"/>
    <mergeCell ref="D18:G18"/>
    <mergeCell ref="H18:I18"/>
    <mergeCell ref="D5:G5"/>
    <mergeCell ref="B9:C9"/>
    <mergeCell ref="B10:C10"/>
    <mergeCell ref="B11:C11"/>
    <mergeCell ref="B12:C12"/>
  </mergeCells>
  <dataValidations count="1">
    <dataValidation type="list" allowBlank="1" showInputMessage="1" showErrorMessage="1" sqref="C23" xr:uid="{00000000-0002-0000-0300-000000000000}">
      <formula1>Senario_list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D435"/>
  <sheetViews>
    <sheetView workbookViewId="0">
      <selection activeCell="D1" sqref="D1"/>
    </sheetView>
  </sheetViews>
  <sheetFormatPr defaultColWidth="11.5546875" defaultRowHeight="13.2"/>
  <cols>
    <col min="1" max="1" width="8.44140625" bestFit="1" customWidth="1"/>
  </cols>
  <sheetData>
    <row r="1" spans="1:4">
      <c r="D1" s="7" t="s">
        <v>526</v>
      </c>
    </row>
    <row r="2" spans="1:4">
      <c r="D2" s="8" t="s">
        <v>504</v>
      </c>
    </row>
    <row r="3" spans="1:4" ht="26.4">
      <c r="A3" s="6" t="s">
        <v>754</v>
      </c>
      <c r="D3" s="8" t="s">
        <v>551</v>
      </c>
    </row>
    <row r="4" spans="1:4">
      <c r="A4" s="7" t="s">
        <v>526</v>
      </c>
      <c r="D4" s="8" t="s">
        <v>10</v>
      </c>
    </row>
    <row r="5" spans="1:4">
      <c r="A5" s="8" t="s">
        <v>504</v>
      </c>
      <c r="D5" s="8" t="s">
        <v>22</v>
      </c>
    </row>
    <row r="6" spans="1:4">
      <c r="A6" s="8" t="s">
        <v>551</v>
      </c>
      <c r="D6" s="8" t="s">
        <v>29</v>
      </c>
    </row>
    <row r="7" spans="1:4">
      <c r="A7" s="8" t="s">
        <v>10</v>
      </c>
      <c r="D7" s="8" t="s">
        <v>36</v>
      </c>
    </row>
    <row r="8" spans="1:4">
      <c r="A8" s="8" t="s">
        <v>22</v>
      </c>
      <c r="D8" s="8" t="s">
        <v>39</v>
      </c>
    </row>
    <row r="9" spans="1:4">
      <c r="A9" s="8" t="s">
        <v>29</v>
      </c>
      <c r="D9" s="8" t="s">
        <v>45</v>
      </c>
    </row>
    <row r="10" spans="1:4">
      <c r="A10" s="8" t="s">
        <v>36</v>
      </c>
      <c r="D10" s="8" t="s">
        <v>47</v>
      </c>
    </row>
    <row r="11" spans="1:4">
      <c r="A11" s="8" t="s">
        <v>39</v>
      </c>
      <c r="D11" s="8" t="s">
        <v>53</v>
      </c>
    </row>
    <row r="12" spans="1:4">
      <c r="A12" s="8" t="s">
        <v>45</v>
      </c>
      <c r="D12" s="8" t="s">
        <v>59</v>
      </c>
    </row>
    <row r="13" spans="1:4">
      <c r="A13" s="8" t="s">
        <v>47</v>
      </c>
      <c r="D13" s="8" t="s">
        <v>62</v>
      </c>
    </row>
    <row r="14" spans="1:4">
      <c r="A14" s="8" t="s">
        <v>53</v>
      </c>
      <c r="D14" s="8" t="s">
        <v>64</v>
      </c>
    </row>
    <row r="15" spans="1:4">
      <c r="A15" s="8" t="s">
        <v>59</v>
      </c>
      <c r="D15" s="8" t="s">
        <v>69</v>
      </c>
    </row>
    <row r="16" spans="1:4">
      <c r="A16" s="8" t="s">
        <v>62</v>
      </c>
      <c r="D16" s="8" t="s">
        <v>72</v>
      </c>
    </row>
    <row r="17" spans="1:4">
      <c r="A17" s="8" t="s">
        <v>64</v>
      </c>
      <c r="D17" s="8" t="s">
        <v>74</v>
      </c>
    </row>
    <row r="18" spans="1:4">
      <c r="A18" s="8" t="s">
        <v>69</v>
      </c>
      <c r="D18" s="8" t="s">
        <v>77</v>
      </c>
    </row>
    <row r="19" spans="1:4">
      <c r="A19" s="8" t="s">
        <v>72</v>
      </c>
      <c r="D19" s="8" t="s">
        <v>79</v>
      </c>
    </row>
    <row r="20" spans="1:4">
      <c r="A20" s="8" t="s">
        <v>74</v>
      </c>
      <c r="D20" s="8" t="s">
        <v>82</v>
      </c>
    </row>
    <row r="21" spans="1:4">
      <c r="A21" s="8" t="s">
        <v>77</v>
      </c>
      <c r="D21" s="8" t="s">
        <v>85</v>
      </c>
    </row>
    <row r="22" spans="1:4">
      <c r="A22" s="8" t="s">
        <v>79</v>
      </c>
      <c r="D22" s="8" t="s">
        <v>87</v>
      </c>
    </row>
    <row r="23" spans="1:4">
      <c r="A23" s="8" t="s">
        <v>82</v>
      </c>
      <c r="D23" s="8" t="s">
        <v>90</v>
      </c>
    </row>
    <row r="24" spans="1:4">
      <c r="A24" s="8" t="s">
        <v>85</v>
      </c>
      <c r="D24" s="8" t="s">
        <v>91</v>
      </c>
    </row>
    <row r="25" spans="1:4">
      <c r="A25" s="8" t="s">
        <v>87</v>
      </c>
      <c r="D25" s="8" t="s">
        <v>92</v>
      </c>
    </row>
    <row r="26" spans="1:4">
      <c r="A26" s="8" t="s">
        <v>90</v>
      </c>
      <c r="D26" s="8" t="s">
        <v>94</v>
      </c>
    </row>
    <row r="27" spans="1:4">
      <c r="A27" s="8" t="s">
        <v>91</v>
      </c>
      <c r="D27" s="8" t="s">
        <v>96</v>
      </c>
    </row>
    <row r="28" spans="1:4">
      <c r="A28" s="8" t="s">
        <v>92</v>
      </c>
      <c r="D28" s="8" t="s">
        <v>102</v>
      </c>
    </row>
    <row r="29" spans="1:4">
      <c r="A29" s="8" t="s">
        <v>94</v>
      </c>
      <c r="D29" s="8" t="s">
        <v>104</v>
      </c>
    </row>
    <row r="30" spans="1:4">
      <c r="A30" s="8" t="s">
        <v>96</v>
      </c>
      <c r="D30" s="8" t="s">
        <v>105</v>
      </c>
    </row>
    <row r="31" spans="1:4">
      <c r="A31" s="8" t="s">
        <v>102</v>
      </c>
      <c r="D31" s="8" t="s">
        <v>107</v>
      </c>
    </row>
    <row r="32" spans="1:4">
      <c r="A32" s="8" t="s">
        <v>104</v>
      </c>
      <c r="D32" s="8" t="s">
        <v>109</v>
      </c>
    </row>
    <row r="33" spans="1:4">
      <c r="A33" s="8" t="s">
        <v>105</v>
      </c>
      <c r="D33" s="8" t="s">
        <v>111</v>
      </c>
    </row>
    <row r="34" spans="1:4">
      <c r="A34" s="8" t="s">
        <v>107</v>
      </c>
      <c r="D34" s="8" t="s">
        <v>113</v>
      </c>
    </row>
    <row r="35" spans="1:4">
      <c r="A35" s="8" t="s">
        <v>109</v>
      </c>
      <c r="D35" s="8" t="s">
        <v>115</v>
      </c>
    </row>
    <row r="36" spans="1:4">
      <c r="A36" s="8" t="s">
        <v>111</v>
      </c>
      <c r="D36" s="8" t="s">
        <v>118</v>
      </c>
    </row>
    <row r="37" spans="1:4">
      <c r="A37" s="8" t="s">
        <v>113</v>
      </c>
      <c r="D37" s="8" t="s">
        <v>119</v>
      </c>
    </row>
    <row r="38" spans="1:4">
      <c r="A38" s="8" t="s">
        <v>115</v>
      </c>
      <c r="D38" s="8" t="s">
        <v>121</v>
      </c>
    </row>
    <row r="39" spans="1:4">
      <c r="A39" s="8" t="s">
        <v>118</v>
      </c>
      <c r="D39" s="8" t="s">
        <v>123</v>
      </c>
    </row>
    <row r="40" spans="1:4">
      <c r="A40" s="8" t="s">
        <v>119</v>
      </c>
      <c r="D40" s="8" t="s">
        <v>125</v>
      </c>
    </row>
    <row r="41" spans="1:4">
      <c r="A41" s="8" t="s">
        <v>121</v>
      </c>
      <c r="D41" s="8" t="s">
        <v>127</v>
      </c>
    </row>
    <row r="42" spans="1:4">
      <c r="A42" s="8" t="s">
        <v>123</v>
      </c>
      <c r="D42" s="8" t="s">
        <v>129</v>
      </c>
    </row>
    <row r="43" spans="1:4">
      <c r="A43" s="8" t="s">
        <v>125</v>
      </c>
      <c r="D43" s="8" t="s">
        <v>131</v>
      </c>
    </row>
    <row r="44" spans="1:4">
      <c r="A44" s="8" t="s">
        <v>127</v>
      </c>
      <c r="D44" s="8" t="s">
        <v>133</v>
      </c>
    </row>
    <row r="45" spans="1:4">
      <c r="A45" s="8" t="s">
        <v>129</v>
      </c>
      <c r="D45" s="8" t="s">
        <v>135</v>
      </c>
    </row>
    <row r="46" spans="1:4">
      <c r="A46" s="8" t="s">
        <v>131</v>
      </c>
      <c r="D46" s="8" t="s">
        <v>140</v>
      </c>
    </row>
    <row r="47" spans="1:4">
      <c r="A47" s="8" t="s">
        <v>133</v>
      </c>
      <c r="D47" s="8" t="s">
        <v>144</v>
      </c>
    </row>
    <row r="48" spans="1:4">
      <c r="A48" s="8" t="s">
        <v>135</v>
      </c>
      <c r="D48" s="8" t="s">
        <v>145</v>
      </c>
    </row>
    <row r="49" spans="1:4">
      <c r="A49" s="8" t="s">
        <v>140</v>
      </c>
      <c r="D49" s="8" t="s">
        <v>147</v>
      </c>
    </row>
    <row r="50" spans="1:4">
      <c r="A50" s="8" t="s">
        <v>144</v>
      </c>
      <c r="D50" s="8" t="s">
        <v>148</v>
      </c>
    </row>
    <row r="51" spans="1:4">
      <c r="A51" s="8" t="s">
        <v>145</v>
      </c>
      <c r="D51" s="8" t="s">
        <v>153</v>
      </c>
    </row>
    <row r="52" spans="1:4">
      <c r="A52" s="8" t="s">
        <v>147</v>
      </c>
      <c r="D52" s="8" t="s">
        <v>154</v>
      </c>
    </row>
    <row r="53" spans="1:4">
      <c r="A53" s="8" t="s">
        <v>148</v>
      </c>
      <c r="D53" s="8" t="s">
        <v>159</v>
      </c>
    </row>
    <row r="54" spans="1:4">
      <c r="A54" s="8" t="s">
        <v>153</v>
      </c>
      <c r="D54" s="8" t="s">
        <v>160</v>
      </c>
    </row>
    <row r="55" spans="1:4">
      <c r="A55" s="8" t="s">
        <v>154</v>
      </c>
      <c r="D55" s="8" t="s">
        <v>161</v>
      </c>
    </row>
    <row r="56" spans="1:4">
      <c r="A56" s="8" t="s">
        <v>159</v>
      </c>
      <c r="D56" s="8" t="s">
        <v>163</v>
      </c>
    </row>
    <row r="57" spans="1:4">
      <c r="A57" s="8" t="s">
        <v>160</v>
      </c>
      <c r="D57" s="8" t="s">
        <v>164</v>
      </c>
    </row>
    <row r="58" spans="1:4">
      <c r="A58" s="8" t="s">
        <v>161</v>
      </c>
      <c r="D58" s="8" t="s">
        <v>166</v>
      </c>
    </row>
    <row r="59" spans="1:4">
      <c r="A59" s="8" t="s">
        <v>163</v>
      </c>
      <c r="D59" s="8" t="s">
        <v>167</v>
      </c>
    </row>
    <row r="60" spans="1:4">
      <c r="A60" s="8" t="s">
        <v>164</v>
      </c>
      <c r="D60" s="8" t="s">
        <v>168</v>
      </c>
    </row>
    <row r="61" spans="1:4">
      <c r="A61" s="8" t="s">
        <v>166</v>
      </c>
      <c r="D61" s="8" t="s">
        <v>170</v>
      </c>
    </row>
    <row r="62" spans="1:4">
      <c r="A62" s="8" t="s">
        <v>167</v>
      </c>
      <c r="D62" s="8" t="s">
        <v>171</v>
      </c>
    </row>
    <row r="63" spans="1:4">
      <c r="A63" s="8" t="s">
        <v>168</v>
      </c>
      <c r="D63" s="8" t="s">
        <v>177</v>
      </c>
    </row>
    <row r="64" spans="1:4">
      <c r="A64" s="8" t="s">
        <v>170</v>
      </c>
      <c r="D64" s="8" t="s">
        <v>182</v>
      </c>
    </row>
    <row r="65" spans="1:4">
      <c r="A65" s="8" t="s">
        <v>171</v>
      </c>
      <c r="D65" s="8" t="s">
        <v>184</v>
      </c>
    </row>
    <row r="66" spans="1:4">
      <c r="A66" s="8" t="s">
        <v>177</v>
      </c>
      <c r="D66" s="8" t="s">
        <v>185</v>
      </c>
    </row>
    <row r="67" spans="1:4">
      <c r="A67" s="8" t="s">
        <v>182</v>
      </c>
      <c r="D67" s="8" t="s">
        <v>187</v>
      </c>
    </row>
    <row r="68" spans="1:4">
      <c r="A68" s="8" t="s">
        <v>184</v>
      </c>
      <c r="D68" s="8" t="s">
        <v>188</v>
      </c>
    </row>
    <row r="69" spans="1:4">
      <c r="A69" s="8" t="s">
        <v>185</v>
      </c>
      <c r="D69" s="8" t="s">
        <v>194</v>
      </c>
    </row>
    <row r="70" spans="1:4">
      <c r="A70" s="8" t="s">
        <v>187</v>
      </c>
      <c r="D70" s="8" t="s">
        <v>195</v>
      </c>
    </row>
    <row r="71" spans="1:4">
      <c r="A71" s="8" t="s">
        <v>188</v>
      </c>
      <c r="D71" s="8" t="s">
        <v>197</v>
      </c>
    </row>
    <row r="72" spans="1:4">
      <c r="A72" s="8" t="s">
        <v>194</v>
      </c>
      <c r="D72" s="8" t="s">
        <v>199</v>
      </c>
    </row>
    <row r="73" spans="1:4">
      <c r="A73" s="8" t="s">
        <v>195</v>
      </c>
      <c r="D73" s="8" t="s">
        <v>201</v>
      </c>
    </row>
    <row r="74" spans="1:4">
      <c r="A74" s="8" t="s">
        <v>197</v>
      </c>
      <c r="D74" s="8" t="s">
        <v>203</v>
      </c>
    </row>
    <row r="75" spans="1:4">
      <c r="A75" s="8" t="s">
        <v>199</v>
      </c>
      <c r="D75" s="8" t="s">
        <v>205</v>
      </c>
    </row>
    <row r="76" spans="1:4">
      <c r="A76" s="8" t="s">
        <v>201</v>
      </c>
      <c r="D76" s="8" t="s">
        <v>207</v>
      </c>
    </row>
    <row r="77" spans="1:4">
      <c r="A77" s="8" t="s">
        <v>203</v>
      </c>
      <c r="D77" s="8" t="s">
        <v>209</v>
      </c>
    </row>
    <row r="78" spans="1:4">
      <c r="A78" s="8" t="s">
        <v>205</v>
      </c>
      <c r="D78" s="8" t="s">
        <v>210</v>
      </c>
    </row>
    <row r="79" spans="1:4">
      <c r="A79" s="8" t="s">
        <v>207</v>
      </c>
      <c r="D79" s="8" t="s">
        <v>211</v>
      </c>
    </row>
    <row r="80" spans="1:4">
      <c r="A80" s="8" t="s">
        <v>209</v>
      </c>
      <c r="D80" s="8" t="s">
        <v>212</v>
      </c>
    </row>
    <row r="81" spans="1:4">
      <c r="A81" s="8" t="s">
        <v>210</v>
      </c>
      <c r="D81" s="8" t="s">
        <v>213</v>
      </c>
    </row>
    <row r="82" spans="1:4">
      <c r="A82" s="8" t="s">
        <v>211</v>
      </c>
      <c r="D82" s="8" t="s">
        <v>214</v>
      </c>
    </row>
    <row r="83" spans="1:4">
      <c r="A83" s="8" t="s">
        <v>212</v>
      </c>
      <c r="D83" s="8" t="s">
        <v>216</v>
      </c>
    </row>
    <row r="84" spans="1:4">
      <c r="A84" s="8" t="s">
        <v>213</v>
      </c>
      <c r="D84" s="8" t="s">
        <v>218</v>
      </c>
    </row>
    <row r="85" spans="1:4">
      <c r="A85" s="8" t="s">
        <v>214</v>
      </c>
      <c r="D85" s="8" t="s">
        <v>219</v>
      </c>
    </row>
    <row r="86" spans="1:4">
      <c r="A86" s="8" t="s">
        <v>216</v>
      </c>
      <c r="D86" s="8" t="s">
        <v>220</v>
      </c>
    </row>
    <row r="87" spans="1:4">
      <c r="A87" s="8" t="s">
        <v>218</v>
      </c>
      <c r="D87" s="8" t="s">
        <v>221</v>
      </c>
    </row>
    <row r="88" spans="1:4">
      <c r="A88" s="8" t="s">
        <v>219</v>
      </c>
      <c r="D88" s="8" t="s">
        <v>222</v>
      </c>
    </row>
    <row r="89" spans="1:4">
      <c r="A89" s="8" t="s">
        <v>220</v>
      </c>
      <c r="D89" s="8" t="s">
        <v>223</v>
      </c>
    </row>
    <row r="90" spans="1:4">
      <c r="A90" s="8" t="s">
        <v>221</v>
      </c>
      <c r="D90" s="8" t="s">
        <v>225</v>
      </c>
    </row>
    <row r="91" spans="1:4">
      <c r="A91" s="8" t="s">
        <v>222</v>
      </c>
      <c r="D91" s="8" t="s">
        <v>230</v>
      </c>
    </row>
    <row r="92" spans="1:4">
      <c r="A92" s="8" t="s">
        <v>223</v>
      </c>
      <c r="D92" s="8" t="s">
        <v>235</v>
      </c>
    </row>
    <row r="93" spans="1:4">
      <c r="A93" s="8" t="s">
        <v>225</v>
      </c>
      <c r="D93" s="8" t="s">
        <v>241</v>
      </c>
    </row>
    <row r="94" spans="1:4">
      <c r="A94" s="8" t="s">
        <v>230</v>
      </c>
      <c r="D94" s="8" t="s">
        <v>246</v>
      </c>
    </row>
    <row r="95" spans="1:4">
      <c r="A95" s="8" t="s">
        <v>235</v>
      </c>
      <c r="D95" s="8" t="s">
        <v>247</v>
      </c>
    </row>
    <row r="96" spans="1:4">
      <c r="A96" s="8" t="s">
        <v>241</v>
      </c>
      <c r="D96" s="8" t="s">
        <v>253</v>
      </c>
    </row>
    <row r="97" spans="1:4">
      <c r="A97" s="8" t="s">
        <v>246</v>
      </c>
      <c r="D97" s="8" t="s">
        <v>257</v>
      </c>
    </row>
    <row r="98" spans="1:4">
      <c r="A98" s="8" t="s">
        <v>247</v>
      </c>
      <c r="D98" s="8" t="s">
        <v>262</v>
      </c>
    </row>
    <row r="99" spans="1:4">
      <c r="A99" s="8" t="s">
        <v>253</v>
      </c>
      <c r="D99" s="8" t="s">
        <v>267</v>
      </c>
    </row>
    <row r="100" spans="1:4">
      <c r="A100" s="8" t="s">
        <v>257</v>
      </c>
      <c r="D100" s="8" t="s">
        <v>270</v>
      </c>
    </row>
    <row r="101" spans="1:4">
      <c r="A101" s="8" t="s">
        <v>262</v>
      </c>
      <c r="D101" s="8" t="s">
        <v>271</v>
      </c>
    </row>
    <row r="102" spans="1:4">
      <c r="A102" s="8" t="s">
        <v>267</v>
      </c>
      <c r="D102" s="8" t="s">
        <v>272</v>
      </c>
    </row>
    <row r="103" spans="1:4">
      <c r="A103" s="8" t="s">
        <v>270</v>
      </c>
      <c r="D103" s="8" t="s">
        <v>274</v>
      </c>
    </row>
    <row r="104" spans="1:4">
      <c r="A104" s="8" t="s">
        <v>271</v>
      </c>
      <c r="D104" s="8" t="s">
        <v>275</v>
      </c>
    </row>
    <row r="105" spans="1:4">
      <c r="A105" s="8" t="s">
        <v>272</v>
      </c>
      <c r="D105" s="8" t="s">
        <v>276</v>
      </c>
    </row>
    <row r="106" spans="1:4">
      <c r="A106" s="8" t="s">
        <v>274</v>
      </c>
      <c r="D106" s="8" t="s">
        <v>277</v>
      </c>
    </row>
    <row r="107" spans="1:4">
      <c r="A107" s="8" t="s">
        <v>275</v>
      </c>
      <c r="D107" s="8" t="s">
        <v>278</v>
      </c>
    </row>
    <row r="108" spans="1:4">
      <c r="A108" s="8" t="s">
        <v>276</v>
      </c>
      <c r="D108" s="8" t="s">
        <v>280</v>
      </c>
    </row>
    <row r="109" spans="1:4">
      <c r="A109" s="8" t="s">
        <v>277</v>
      </c>
      <c r="D109" s="8" t="s">
        <v>281</v>
      </c>
    </row>
    <row r="110" spans="1:4">
      <c r="A110" s="8" t="s">
        <v>278</v>
      </c>
      <c r="D110" s="8" t="s">
        <v>283</v>
      </c>
    </row>
    <row r="111" spans="1:4">
      <c r="A111" s="8" t="s">
        <v>280</v>
      </c>
      <c r="D111" s="8" t="s">
        <v>288</v>
      </c>
    </row>
    <row r="112" spans="1:4">
      <c r="A112" s="8" t="s">
        <v>281</v>
      </c>
      <c r="D112" s="8" t="s">
        <v>290</v>
      </c>
    </row>
    <row r="113" spans="1:4">
      <c r="A113" s="8" t="s">
        <v>283</v>
      </c>
      <c r="D113" s="8" t="s">
        <v>292</v>
      </c>
    </row>
    <row r="114" spans="1:4">
      <c r="A114" s="8" t="s">
        <v>288</v>
      </c>
      <c r="D114" s="8" t="s">
        <v>293</v>
      </c>
    </row>
    <row r="115" spans="1:4">
      <c r="A115" s="8" t="s">
        <v>290</v>
      </c>
      <c r="D115" s="8" t="s">
        <v>297</v>
      </c>
    </row>
    <row r="116" spans="1:4">
      <c r="A116" s="8" t="s">
        <v>292</v>
      </c>
      <c r="D116" s="8" t="s">
        <v>298</v>
      </c>
    </row>
    <row r="117" spans="1:4">
      <c r="A117" s="8" t="s">
        <v>293</v>
      </c>
      <c r="D117" s="8" t="s">
        <v>299</v>
      </c>
    </row>
    <row r="118" spans="1:4">
      <c r="A118" s="8" t="s">
        <v>297</v>
      </c>
      <c r="D118" s="8" t="s">
        <v>300</v>
      </c>
    </row>
    <row r="119" spans="1:4">
      <c r="A119" s="8" t="s">
        <v>298</v>
      </c>
      <c r="D119" s="8" t="s">
        <v>301</v>
      </c>
    </row>
    <row r="120" spans="1:4">
      <c r="A120" s="8" t="s">
        <v>299</v>
      </c>
      <c r="D120" s="8" t="s">
        <v>303</v>
      </c>
    </row>
    <row r="121" spans="1:4">
      <c r="A121" s="8" t="s">
        <v>300</v>
      </c>
      <c r="D121" s="8" t="s">
        <v>305</v>
      </c>
    </row>
    <row r="122" spans="1:4">
      <c r="A122" s="8" t="s">
        <v>301</v>
      </c>
      <c r="D122" s="8" t="s">
        <v>306</v>
      </c>
    </row>
    <row r="123" spans="1:4">
      <c r="A123" s="8" t="s">
        <v>303</v>
      </c>
      <c r="D123" s="8" t="s">
        <v>308</v>
      </c>
    </row>
    <row r="124" spans="1:4">
      <c r="A124" s="8" t="s">
        <v>305</v>
      </c>
      <c r="D124" s="8" t="s">
        <v>309</v>
      </c>
    </row>
    <row r="125" spans="1:4">
      <c r="A125" s="8" t="s">
        <v>306</v>
      </c>
      <c r="D125" s="8" t="s">
        <v>310</v>
      </c>
    </row>
    <row r="126" spans="1:4">
      <c r="A126" s="8" t="s">
        <v>308</v>
      </c>
      <c r="D126" s="8" t="s">
        <v>311</v>
      </c>
    </row>
    <row r="127" spans="1:4">
      <c r="A127" s="8" t="s">
        <v>309</v>
      </c>
      <c r="D127" s="8" t="s">
        <v>312</v>
      </c>
    </row>
    <row r="128" spans="1:4">
      <c r="A128" s="8" t="s">
        <v>310</v>
      </c>
      <c r="D128" s="8" t="s">
        <v>317</v>
      </c>
    </row>
    <row r="129" spans="1:4">
      <c r="A129" s="8" t="s">
        <v>311</v>
      </c>
      <c r="D129" s="8" t="s">
        <v>318</v>
      </c>
    </row>
    <row r="130" spans="1:4">
      <c r="A130" s="8" t="s">
        <v>312</v>
      </c>
      <c r="D130" s="8" t="s">
        <v>319</v>
      </c>
    </row>
    <row r="131" spans="1:4">
      <c r="A131" s="8" t="s">
        <v>317</v>
      </c>
      <c r="D131" s="8" t="s">
        <v>320</v>
      </c>
    </row>
    <row r="132" spans="1:4">
      <c r="A132" s="8" t="s">
        <v>318</v>
      </c>
      <c r="D132" s="8" t="s">
        <v>321</v>
      </c>
    </row>
    <row r="133" spans="1:4">
      <c r="A133" s="8" t="s">
        <v>319</v>
      </c>
      <c r="D133" s="8" t="s">
        <v>322</v>
      </c>
    </row>
    <row r="134" spans="1:4">
      <c r="A134" s="8" t="s">
        <v>320</v>
      </c>
      <c r="D134" s="8" t="s">
        <v>323</v>
      </c>
    </row>
    <row r="135" spans="1:4">
      <c r="A135" s="8" t="s">
        <v>321</v>
      </c>
      <c r="D135" s="8" t="s">
        <v>324</v>
      </c>
    </row>
    <row r="136" spans="1:4">
      <c r="A136" s="8" t="s">
        <v>322</v>
      </c>
      <c r="D136" s="8" t="s">
        <v>325</v>
      </c>
    </row>
    <row r="137" spans="1:4">
      <c r="A137" s="8" t="s">
        <v>323</v>
      </c>
      <c r="D137" s="8" t="s">
        <v>326</v>
      </c>
    </row>
    <row r="138" spans="1:4">
      <c r="A138" s="8" t="s">
        <v>324</v>
      </c>
      <c r="D138" s="8" t="s">
        <v>327</v>
      </c>
    </row>
    <row r="139" spans="1:4">
      <c r="A139" s="8" t="s">
        <v>325</v>
      </c>
      <c r="D139" s="8" t="s">
        <v>328</v>
      </c>
    </row>
    <row r="140" spans="1:4">
      <c r="A140" s="8" t="s">
        <v>326</v>
      </c>
      <c r="D140" s="8" t="s">
        <v>329</v>
      </c>
    </row>
    <row r="141" spans="1:4">
      <c r="A141" s="8" t="s">
        <v>327</v>
      </c>
      <c r="D141" s="8" t="s">
        <v>330</v>
      </c>
    </row>
    <row r="142" spans="1:4">
      <c r="A142" s="8" t="s">
        <v>328</v>
      </c>
      <c r="D142" s="8" t="s">
        <v>332</v>
      </c>
    </row>
    <row r="143" spans="1:4">
      <c r="A143" s="8" t="s">
        <v>329</v>
      </c>
      <c r="D143" s="8" t="s">
        <v>334</v>
      </c>
    </row>
    <row r="144" spans="1:4">
      <c r="A144" s="8" t="s">
        <v>330</v>
      </c>
      <c r="D144" s="8" t="s">
        <v>335</v>
      </c>
    </row>
    <row r="145" spans="1:4">
      <c r="A145" s="8" t="s">
        <v>332</v>
      </c>
      <c r="D145" s="8" t="s">
        <v>336</v>
      </c>
    </row>
    <row r="146" spans="1:4">
      <c r="A146" s="8" t="s">
        <v>334</v>
      </c>
      <c r="D146" s="8" t="s">
        <v>337</v>
      </c>
    </row>
    <row r="147" spans="1:4">
      <c r="A147" s="8" t="s">
        <v>335</v>
      </c>
      <c r="D147" s="8" t="s">
        <v>338</v>
      </c>
    </row>
    <row r="148" spans="1:4">
      <c r="A148" s="8" t="s">
        <v>336</v>
      </c>
      <c r="D148" s="8" t="s">
        <v>339</v>
      </c>
    </row>
    <row r="149" spans="1:4">
      <c r="A149" s="8" t="s">
        <v>337</v>
      </c>
      <c r="D149" s="8" t="s">
        <v>340</v>
      </c>
    </row>
    <row r="150" spans="1:4">
      <c r="A150" s="8" t="s">
        <v>338</v>
      </c>
      <c r="D150" s="8" t="s">
        <v>341</v>
      </c>
    </row>
    <row r="151" spans="1:4">
      <c r="A151" s="8" t="s">
        <v>339</v>
      </c>
      <c r="D151" s="8" t="s">
        <v>343</v>
      </c>
    </row>
    <row r="152" spans="1:4">
      <c r="A152" s="8" t="s">
        <v>340</v>
      </c>
      <c r="D152" s="8" t="s">
        <v>344</v>
      </c>
    </row>
    <row r="153" spans="1:4">
      <c r="A153" s="8" t="s">
        <v>341</v>
      </c>
      <c r="D153" s="8" t="s">
        <v>345</v>
      </c>
    </row>
    <row r="154" spans="1:4">
      <c r="A154" s="8" t="s">
        <v>343</v>
      </c>
      <c r="D154" s="8" t="s">
        <v>346</v>
      </c>
    </row>
    <row r="155" spans="1:4">
      <c r="A155" s="8" t="s">
        <v>344</v>
      </c>
      <c r="D155" s="8" t="s">
        <v>348</v>
      </c>
    </row>
    <row r="156" spans="1:4">
      <c r="A156" s="8" t="s">
        <v>345</v>
      </c>
      <c r="D156" s="8" t="s">
        <v>349</v>
      </c>
    </row>
    <row r="157" spans="1:4">
      <c r="A157" s="8" t="s">
        <v>346</v>
      </c>
      <c r="D157" s="8" t="s">
        <v>350</v>
      </c>
    </row>
    <row r="158" spans="1:4">
      <c r="A158" s="8" t="s">
        <v>348</v>
      </c>
      <c r="D158" s="8" t="s">
        <v>351</v>
      </c>
    </row>
    <row r="159" spans="1:4">
      <c r="A159" s="8" t="s">
        <v>349</v>
      </c>
      <c r="D159" s="8" t="s">
        <v>352</v>
      </c>
    </row>
    <row r="160" spans="1:4">
      <c r="A160" s="8" t="s">
        <v>350</v>
      </c>
      <c r="D160" s="8" t="s">
        <v>353</v>
      </c>
    </row>
    <row r="161" spans="1:4">
      <c r="A161" s="8" t="s">
        <v>351</v>
      </c>
      <c r="D161" s="8" t="s">
        <v>355</v>
      </c>
    </row>
    <row r="162" spans="1:4">
      <c r="A162" s="8" t="s">
        <v>352</v>
      </c>
      <c r="D162" s="8" t="s">
        <v>357</v>
      </c>
    </row>
    <row r="163" spans="1:4">
      <c r="A163" s="8" t="s">
        <v>353</v>
      </c>
      <c r="D163" s="8" t="s">
        <v>359</v>
      </c>
    </row>
    <row r="164" spans="1:4">
      <c r="A164" s="8" t="s">
        <v>355</v>
      </c>
      <c r="D164" s="8" t="s">
        <v>360</v>
      </c>
    </row>
    <row r="165" spans="1:4">
      <c r="A165" s="8" t="s">
        <v>357</v>
      </c>
      <c r="D165" s="8" t="s">
        <v>361</v>
      </c>
    </row>
    <row r="166" spans="1:4">
      <c r="A166" s="8" t="s">
        <v>359</v>
      </c>
      <c r="D166" s="8" t="s">
        <v>363</v>
      </c>
    </row>
    <row r="167" spans="1:4">
      <c r="A167" s="8" t="s">
        <v>360</v>
      </c>
      <c r="D167" s="8" t="s">
        <v>364</v>
      </c>
    </row>
    <row r="168" spans="1:4">
      <c r="A168" s="8" t="s">
        <v>361</v>
      </c>
      <c r="D168" s="8" t="s">
        <v>365</v>
      </c>
    </row>
    <row r="169" spans="1:4">
      <c r="A169" s="8" t="s">
        <v>363</v>
      </c>
      <c r="D169" s="8" t="s">
        <v>366</v>
      </c>
    </row>
    <row r="170" spans="1:4">
      <c r="A170" s="8" t="s">
        <v>364</v>
      </c>
      <c r="D170" s="8" t="s">
        <v>367</v>
      </c>
    </row>
    <row r="171" spans="1:4">
      <c r="A171" s="8" t="s">
        <v>365</v>
      </c>
      <c r="D171" s="8" t="s">
        <v>368</v>
      </c>
    </row>
    <row r="172" spans="1:4">
      <c r="A172" s="8" t="s">
        <v>366</v>
      </c>
      <c r="D172" s="8" t="s">
        <v>369</v>
      </c>
    </row>
    <row r="173" spans="1:4">
      <c r="A173" s="8" t="s">
        <v>367</v>
      </c>
      <c r="D173" s="8" t="s">
        <v>370</v>
      </c>
    </row>
    <row r="174" spans="1:4">
      <c r="A174" s="8" t="s">
        <v>368</v>
      </c>
      <c r="D174" s="8" t="s">
        <v>371</v>
      </c>
    </row>
    <row r="175" spans="1:4">
      <c r="A175" s="8" t="s">
        <v>369</v>
      </c>
      <c r="D175" s="8" t="s">
        <v>372</v>
      </c>
    </row>
    <row r="176" spans="1:4">
      <c r="A176" s="8" t="s">
        <v>370</v>
      </c>
      <c r="D176" s="8" t="s">
        <v>373</v>
      </c>
    </row>
    <row r="177" spans="1:4">
      <c r="A177" s="8" t="s">
        <v>371</v>
      </c>
      <c r="D177" s="8" t="s">
        <v>374</v>
      </c>
    </row>
    <row r="178" spans="1:4">
      <c r="A178" s="8" t="s">
        <v>372</v>
      </c>
      <c r="D178" s="8" t="s">
        <v>378</v>
      </c>
    </row>
    <row r="179" spans="1:4">
      <c r="A179" s="8" t="s">
        <v>373</v>
      </c>
      <c r="D179" s="8" t="s">
        <v>380</v>
      </c>
    </row>
    <row r="180" spans="1:4">
      <c r="A180" s="8" t="s">
        <v>374</v>
      </c>
      <c r="D180" s="8" t="s">
        <v>382</v>
      </c>
    </row>
    <row r="181" spans="1:4">
      <c r="A181" s="8" t="s">
        <v>378</v>
      </c>
      <c r="D181" s="8" t="s">
        <v>383</v>
      </c>
    </row>
    <row r="182" spans="1:4">
      <c r="A182" s="8" t="s">
        <v>380</v>
      </c>
      <c r="D182" s="8" t="s">
        <v>384</v>
      </c>
    </row>
    <row r="183" spans="1:4">
      <c r="A183" s="8" t="s">
        <v>382</v>
      </c>
      <c r="D183" s="8" t="s">
        <v>389</v>
      </c>
    </row>
    <row r="184" spans="1:4">
      <c r="A184" s="8" t="s">
        <v>383</v>
      </c>
      <c r="D184" s="8" t="s">
        <v>390</v>
      </c>
    </row>
    <row r="185" spans="1:4">
      <c r="A185" s="8" t="s">
        <v>384</v>
      </c>
      <c r="D185" s="8" t="s">
        <v>392</v>
      </c>
    </row>
    <row r="186" spans="1:4">
      <c r="A186" s="8" t="s">
        <v>389</v>
      </c>
      <c r="D186" s="8" t="s">
        <v>393</v>
      </c>
    </row>
    <row r="187" spans="1:4">
      <c r="A187" s="8" t="s">
        <v>390</v>
      </c>
      <c r="D187" s="8" t="s">
        <v>394</v>
      </c>
    </row>
    <row r="188" spans="1:4">
      <c r="A188" s="8" t="s">
        <v>392</v>
      </c>
      <c r="D188" s="8" t="s">
        <v>395</v>
      </c>
    </row>
    <row r="189" spans="1:4">
      <c r="A189" s="8" t="s">
        <v>393</v>
      </c>
      <c r="D189" s="8" t="s">
        <v>400</v>
      </c>
    </row>
    <row r="190" spans="1:4">
      <c r="A190" s="8" t="s">
        <v>394</v>
      </c>
      <c r="D190" s="8" t="s">
        <v>401</v>
      </c>
    </row>
    <row r="191" spans="1:4">
      <c r="A191" s="8" t="s">
        <v>395</v>
      </c>
      <c r="D191" s="8" t="s">
        <v>402</v>
      </c>
    </row>
    <row r="192" spans="1:4">
      <c r="A192" s="8" t="s">
        <v>400</v>
      </c>
      <c r="D192" s="8" t="s">
        <v>404</v>
      </c>
    </row>
    <row r="193" spans="1:4">
      <c r="A193" s="8" t="s">
        <v>401</v>
      </c>
      <c r="D193" s="8" t="s">
        <v>405</v>
      </c>
    </row>
    <row r="194" spans="1:4">
      <c r="A194" s="8" t="s">
        <v>402</v>
      </c>
      <c r="D194" s="8" t="s">
        <v>406</v>
      </c>
    </row>
    <row r="195" spans="1:4">
      <c r="A195" s="8" t="s">
        <v>404</v>
      </c>
      <c r="D195" s="8" t="s">
        <v>408</v>
      </c>
    </row>
    <row r="196" spans="1:4">
      <c r="A196" s="8" t="s">
        <v>405</v>
      </c>
      <c r="D196" s="8" t="s">
        <v>410</v>
      </c>
    </row>
    <row r="197" spans="1:4">
      <c r="A197" s="8" t="s">
        <v>406</v>
      </c>
      <c r="D197" s="8" t="s">
        <v>411</v>
      </c>
    </row>
    <row r="198" spans="1:4">
      <c r="A198" s="8" t="s">
        <v>408</v>
      </c>
      <c r="D198" s="8" t="s">
        <v>416</v>
      </c>
    </row>
    <row r="199" spans="1:4">
      <c r="A199" s="8" t="s">
        <v>410</v>
      </c>
      <c r="D199" s="8" t="s">
        <v>417</v>
      </c>
    </row>
    <row r="200" spans="1:4">
      <c r="A200" s="8" t="s">
        <v>411</v>
      </c>
      <c r="D200" s="8" t="s">
        <v>423</v>
      </c>
    </row>
    <row r="201" spans="1:4">
      <c r="A201" s="8" t="s">
        <v>416</v>
      </c>
      <c r="D201" s="8" t="s">
        <v>424</v>
      </c>
    </row>
    <row r="202" spans="1:4">
      <c r="A202" s="8" t="s">
        <v>417</v>
      </c>
      <c r="D202" s="8" t="s">
        <v>425</v>
      </c>
    </row>
    <row r="203" spans="1:4">
      <c r="A203" s="8" t="s">
        <v>423</v>
      </c>
      <c r="D203" s="8" t="s">
        <v>426</v>
      </c>
    </row>
    <row r="204" spans="1:4">
      <c r="A204" s="8" t="s">
        <v>424</v>
      </c>
      <c r="D204" s="8" t="s">
        <v>427</v>
      </c>
    </row>
    <row r="205" spans="1:4">
      <c r="A205" s="8" t="s">
        <v>425</v>
      </c>
      <c r="D205" s="8" t="s">
        <v>428</v>
      </c>
    </row>
    <row r="206" spans="1:4">
      <c r="A206" s="8" t="s">
        <v>426</v>
      </c>
      <c r="D206" s="8" t="s">
        <v>429</v>
      </c>
    </row>
    <row r="207" spans="1:4">
      <c r="A207" s="8" t="s">
        <v>427</v>
      </c>
      <c r="D207" s="8" t="s">
        <v>430</v>
      </c>
    </row>
    <row r="208" spans="1:4">
      <c r="A208" s="8" t="s">
        <v>428</v>
      </c>
      <c r="D208" s="8" t="s">
        <v>434</v>
      </c>
    </row>
    <row r="209" spans="1:4">
      <c r="A209" s="8" t="s">
        <v>429</v>
      </c>
      <c r="D209" s="8" t="s">
        <v>435</v>
      </c>
    </row>
    <row r="210" spans="1:4">
      <c r="A210" s="8" t="s">
        <v>430</v>
      </c>
      <c r="D210" s="8" t="s">
        <v>439</v>
      </c>
    </row>
    <row r="211" spans="1:4">
      <c r="A211" s="8" t="s">
        <v>434</v>
      </c>
      <c r="D211" s="8" t="s">
        <v>440</v>
      </c>
    </row>
    <row r="212" spans="1:4">
      <c r="A212" s="8" t="s">
        <v>435</v>
      </c>
      <c r="D212" s="8" t="s">
        <v>442</v>
      </c>
    </row>
    <row r="213" spans="1:4">
      <c r="A213" s="8" t="s">
        <v>439</v>
      </c>
      <c r="D213" s="8" t="s">
        <v>443</v>
      </c>
    </row>
    <row r="214" spans="1:4">
      <c r="A214" s="8" t="s">
        <v>440</v>
      </c>
      <c r="D214" s="8" t="s">
        <v>444</v>
      </c>
    </row>
    <row r="215" spans="1:4">
      <c r="A215" s="8" t="s">
        <v>442</v>
      </c>
      <c r="D215" s="8" t="s">
        <v>445</v>
      </c>
    </row>
    <row r="216" spans="1:4">
      <c r="A216" s="8" t="s">
        <v>443</v>
      </c>
      <c r="D216" s="8" t="s">
        <v>446</v>
      </c>
    </row>
    <row r="217" spans="1:4">
      <c r="A217" s="8" t="s">
        <v>444</v>
      </c>
      <c r="D217" s="8" t="s">
        <v>448</v>
      </c>
    </row>
    <row r="218" spans="1:4">
      <c r="A218" s="8" t="s">
        <v>445</v>
      </c>
      <c r="D218" s="8" t="s">
        <v>452</v>
      </c>
    </row>
    <row r="219" spans="1:4">
      <c r="A219" s="8" t="s">
        <v>446</v>
      </c>
      <c r="D219" s="8" t="s">
        <v>453</v>
      </c>
    </row>
    <row r="220" spans="1:4">
      <c r="A220" s="8" t="s">
        <v>448</v>
      </c>
      <c r="D220" s="8" t="s">
        <v>454</v>
      </c>
    </row>
    <row r="221" spans="1:4">
      <c r="A221" s="8" t="s">
        <v>452</v>
      </c>
      <c r="D221" s="8" t="s">
        <v>456</v>
      </c>
    </row>
    <row r="222" spans="1:4">
      <c r="A222" s="8" t="s">
        <v>453</v>
      </c>
      <c r="D222" s="8" t="s">
        <v>457</v>
      </c>
    </row>
    <row r="223" spans="1:4">
      <c r="A223" s="8" t="s">
        <v>454</v>
      </c>
      <c r="D223" s="8" t="s">
        <v>458</v>
      </c>
    </row>
    <row r="224" spans="1:4">
      <c r="A224" s="8" t="s">
        <v>456</v>
      </c>
      <c r="D224" s="8" t="s">
        <v>459</v>
      </c>
    </row>
    <row r="225" spans="1:4">
      <c r="A225" s="8" t="s">
        <v>457</v>
      </c>
      <c r="D225" s="8" t="s">
        <v>460</v>
      </c>
    </row>
    <row r="226" spans="1:4">
      <c r="A226" s="8" t="s">
        <v>458</v>
      </c>
      <c r="D226" s="8" t="s">
        <v>461</v>
      </c>
    </row>
    <row r="227" spans="1:4">
      <c r="A227" s="8" t="s">
        <v>459</v>
      </c>
      <c r="D227" s="8" t="s">
        <v>463</v>
      </c>
    </row>
    <row r="228" spans="1:4">
      <c r="A228" s="8" t="s">
        <v>460</v>
      </c>
      <c r="D228" s="8" t="s">
        <v>467</v>
      </c>
    </row>
    <row r="229" spans="1:4">
      <c r="A229" s="8" t="s">
        <v>461</v>
      </c>
      <c r="D229" s="8" t="s">
        <v>468</v>
      </c>
    </row>
    <row r="230" spans="1:4">
      <c r="A230" s="8" t="s">
        <v>463</v>
      </c>
      <c r="D230" s="8" t="s">
        <v>473</v>
      </c>
    </row>
    <row r="231" spans="1:4">
      <c r="A231" s="8" t="s">
        <v>467</v>
      </c>
      <c r="D231" s="8" t="s">
        <v>475</v>
      </c>
    </row>
    <row r="232" spans="1:4">
      <c r="A232" s="8" t="s">
        <v>468</v>
      </c>
      <c r="D232" s="8" t="s">
        <v>476</v>
      </c>
    </row>
    <row r="233" spans="1:4">
      <c r="A233" s="8" t="s">
        <v>473</v>
      </c>
      <c r="D233" s="8" t="s">
        <v>477</v>
      </c>
    </row>
    <row r="234" spans="1:4">
      <c r="A234" s="8" t="s">
        <v>475</v>
      </c>
      <c r="D234" s="8" t="s">
        <v>478</v>
      </c>
    </row>
    <row r="235" spans="1:4">
      <c r="A235" s="8" t="s">
        <v>476</v>
      </c>
      <c r="D235" s="8" t="s">
        <v>479</v>
      </c>
    </row>
    <row r="236" spans="1:4">
      <c r="A236" s="8" t="s">
        <v>477</v>
      </c>
      <c r="D236" s="8" t="s">
        <v>480</v>
      </c>
    </row>
    <row r="237" spans="1:4">
      <c r="A237" s="8" t="s">
        <v>478</v>
      </c>
      <c r="D237" s="8" t="s">
        <v>481</v>
      </c>
    </row>
    <row r="238" spans="1:4">
      <c r="A238" s="8" t="s">
        <v>479</v>
      </c>
      <c r="D238" s="8" t="s">
        <v>483</v>
      </c>
    </row>
    <row r="239" spans="1:4">
      <c r="A239" s="8" t="s">
        <v>480</v>
      </c>
      <c r="D239" s="8" t="s">
        <v>484</v>
      </c>
    </row>
    <row r="240" spans="1:4">
      <c r="A240" s="8" t="s">
        <v>481</v>
      </c>
      <c r="D240" s="8" t="s">
        <v>488</v>
      </c>
    </row>
    <row r="241" spans="1:4">
      <c r="A241" s="8" t="s">
        <v>483</v>
      </c>
      <c r="D241" s="8" t="s">
        <v>489</v>
      </c>
    </row>
    <row r="242" spans="1:4">
      <c r="A242" s="8" t="s">
        <v>484</v>
      </c>
      <c r="D242" s="8" t="s">
        <v>490</v>
      </c>
    </row>
    <row r="243" spans="1:4">
      <c r="A243" s="8" t="s">
        <v>488</v>
      </c>
      <c r="D243" s="8" t="s">
        <v>491</v>
      </c>
    </row>
    <row r="244" spans="1:4">
      <c r="A244" s="8" t="s">
        <v>489</v>
      </c>
      <c r="D244" s="8" t="s">
        <v>492</v>
      </c>
    </row>
    <row r="245" spans="1:4">
      <c r="A245" s="8" t="s">
        <v>490</v>
      </c>
      <c r="D245" s="8" t="s">
        <v>494</v>
      </c>
    </row>
    <row r="246" spans="1:4">
      <c r="A246" s="8" t="s">
        <v>491</v>
      </c>
      <c r="D246" s="8" t="s">
        <v>496</v>
      </c>
    </row>
    <row r="247" spans="1:4">
      <c r="A247" s="8" t="s">
        <v>492</v>
      </c>
      <c r="D247" s="8" t="s">
        <v>497</v>
      </c>
    </row>
    <row r="248" spans="1:4">
      <c r="A248" s="8" t="s">
        <v>494</v>
      </c>
      <c r="D248" s="8" t="s">
        <v>499</v>
      </c>
    </row>
    <row r="249" spans="1:4">
      <c r="A249" s="8" t="s">
        <v>496</v>
      </c>
      <c r="D249" s="8" t="s">
        <v>500</v>
      </c>
    </row>
    <row r="250" spans="1:4">
      <c r="A250" s="8" t="s">
        <v>497</v>
      </c>
      <c r="D250" s="8" t="s">
        <v>501</v>
      </c>
    </row>
    <row r="251" spans="1:4">
      <c r="A251" s="8" t="s">
        <v>499</v>
      </c>
      <c r="D251" s="8" t="s">
        <v>502</v>
      </c>
    </row>
    <row r="252" spans="1:4">
      <c r="A252" s="8" t="s">
        <v>500</v>
      </c>
      <c r="D252" s="8" t="s">
        <v>503</v>
      </c>
    </row>
    <row r="253" spans="1:4">
      <c r="A253" s="8" t="s">
        <v>501</v>
      </c>
      <c r="D253" s="8" t="s">
        <v>505</v>
      </c>
    </row>
    <row r="254" spans="1:4">
      <c r="A254" s="8" t="s">
        <v>502</v>
      </c>
      <c r="D254" s="8" t="s">
        <v>506</v>
      </c>
    </row>
    <row r="255" spans="1:4">
      <c r="A255" s="8" t="s">
        <v>503</v>
      </c>
      <c r="D255" s="8" t="s">
        <v>507</v>
      </c>
    </row>
    <row r="256" spans="1:4">
      <c r="A256" s="8" t="s">
        <v>505</v>
      </c>
      <c r="D256" s="8" t="s">
        <v>508</v>
      </c>
    </row>
    <row r="257" spans="1:4">
      <c r="A257" s="8" t="s">
        <v>506</v>
      </c>
      <c r="D257" s="8" t="s">
        <v>509</v>
      </c>
    </row>
    <row r="258" spans="1:4">
      <c r="A258" s="8" t="s">
        <v>507</v>
      </c>
      <c r="D258" s="8" t="s">
        <v>510</v>
      </c>
    </row>
    <row r="259" spans="1:4">
      <c r="A259" s="8" t="s">
        <v>508</v>
      </c>
      <c r="D259" s="8" t="s">
        <v>512</v>
      </c>
    </row>
    <row r="260" spans="1:4">
      <c r="A260" s="8" t="s">
        <v>509</v>
      </c>
      <c r="D260" s="8" t="s">
        <v>513</v>
      </c>
    </row>
    <row r="261" spans="1:4">
      <c r="A261" s="8" t="s">
        <v>510</v>
      </c>
      <c r="D261" s="8" t="s">
        <v>514</v>
      </c>
    </row>
    <row r="262" spans="1:4">
      <c r="A262" s="8" t="s">
        <v>512</v>
      </c>
      <c r="D262" s="8" t="s">
        <v>516</v>
      </c>
    </row>
    <row r="263" spans="1:4">
      <c r="A263" s="8" t="s">
        <v>513</v>
      </c>
      <c r="D263" s="8" t="s">
        <v>517</v>
      </c>
    </row>
    <row r="264" spans="1:4">
      <c r="A264" s="8" t="s">
        <v>514</v>
      </c>
      <c r="D264" s="8" t="s">
        <v>518</v>
      </c>
    </row>
    <row r="265" spans="1:4">
      <c r="A265" s="8" t="s">
        <v>516</v>
      </c>
      <c r="D265" s="8" t="s">
        <v>520</v>
      </c>
    </row>
    <row r="266" spans="1:4">
      <c r="A266" s="8" t="s">
        <v>517</v>
      </c>
      <c r="D266" s="8" t="s">
        <v>522</v>
      </c>
    </row>
    <row r="267" spans="1:4">
      <c r="A267" s="8" t="s">
        <v>518</v>
      </c>
      <c r="D267" s="8" t="s">
        <v>523</v>
      </c>
    </row>
    <row r="268" spans="1:4">
      <c r="A268" s="8" t="s">
        <v>520</v>
      </c>
      <c r="D268" s="8" t="s">
        <v>524</v>
      </c>
    </row>
    <row r="269" spans="1:4">
      <c r="A269" s="8" t="s">
        <v>522</v>
      </c>
      <c r="D269" s="8" t="s">
        <v>527</v>
      </c>
    </row>
    <row r="270" spans="1:4">
      <c r="A270" s="8" t="s">
        <v>523</v>
      </c>
      <c r="D270" s="8" t="s">
        <v>528</v>
      </c>
    </row>
    <row r="271" spans="1:4">
      <c r="A271" s="8" t="s">
        <v>524</v>
      </c>
      <c r="D271" s="8" t="s">
        <v>529</v>
      </c>
    </row>
    <row r="272" spans="1:4">
      <c r="A272" s="8" t="s">
        <v>527</v>
      </c>
      <c r="D272" s="8" t="s">
        <v>530</v>
      </c>
    </row>
    <row r="273" spans="1:4">
      <c r="A273" s="8" t="s">
        <v>528</v>
      </c>
      <c r="D273" s="8" t="s">
        <v>531</v>
      </c>
    </row>
    <row r="274" spans="1:4">
      <c r="A274" s="8" t="s">
        <v>529</v>
      </c>
      <c r="D274" s="8" t="s">
        <v>533</v>
      </c>
    </row>
    <row r="275" spans="1:4">
      <c r="A275" s="8" t="s">
        <v>530</v>
      </c>
      <c r="D275" s="8" t="s">
        <v>534</v>
      </c>
    </row>
    <row r="276" spans="1:4">
      <c r="A276" s="8" t="s">
        <v>531</v>
      </c>
      <c r="D276" s="8" t="s">
        <v>535</v>
      </c>
    </row>
    <row r="277" spans="1:4">
      <c r="A277" s="8" t="s">
        <v>533</v>
      </c>
      <c r="D277" s="8" t="s">
        <v>540</v>
      </c>
    </row>
    <row r="278" spans="1:4">
      <c r="A278" s="8" t="s">
        <v>534</v>
      </c>
      <c r="D278" s="8" t="s">
        <v>541</v>
      </c>
    </row>
    <row r="279" spans="1:4">
      <c r="A279" s="8" t="s">
        <v>535</v>
      </c>
      <c r="D279" s="8" t="s">
        <v>542</v>
      </c>
    </row>
    <row r="280" spans="1:4">
      <c r="A280" s="8" t="s">
        <v>540</v>
      </c>
      <c r="D280" s="8" t="s">
        <v>543</v>
      </c>
    </row>
    <row r="281" spans="1:4">
      <c r="A281" s="8" t="s">
        <v>541</v>
      </c>
      <c r="D281" s="8" t="s">
        <v>544</v>
      </c>
    </row>
    <row r="282" spans="1:4">
      <c r="A282" s="8" t="s">
        <v>542</v>
      </c>
      <c r="D282" s="8" t="s">
        <v>545</v>
      </c>
    </row>
    <row r="283" spans="1:4">
      <c r="A283" s="8" t="s">
        <v>543</v>
      </c>
      <c r="D283" s="8" t="s">
        <v>547</v>
      </c>
    </row>
    <row r="284" spans="1:4">
      <c r="A284" s="8" t="s">
        <v>544</v>
      </c>
      <c r="D284" s="8" t="s">
        <v>548</v>
      </c>
    </row>
    <row r="285" spans="1:4">
      <c r="A285" s="8" t="s">
        <v>545</v>
      </c>
      <c r="D285" s="8" t="s">
        <v>549</v>
      </c>
    </row>
    <row r="286" spans="1:4">
      <c r="A286" s="8" t="s">
        <v>547</v>
      </c>
      <c r="D286" s="8" t="s">
        <v>550</v>
      </c>
    </row>
    <row r="287" spans="1:4">
      <c r="A287" s="8" t="s">
        <v>548</v>
      </c>
      <c r="D287" s="8" t="s">
        <v>552</v>
      </c>
    </row>
    <row r="288" spans="1:4">
      <c r="A288" s="8" t="s">
        <v>549</v>
      </c>
      <c r="D288" s="8" t="s">
        <v>553</v>
      </c>
    </row>
    <row r="289" spans="1:4">
      <c r="A289" s="8" t="s">
        <v>550</v>
      </c>
      <c r="D289" s="8" t="s">
        <v>558</v>
      </c>
    </row>
    <row r="290" spans="1:4">
      <c r="A290" s="8" t="s">
        <v>552</v>
      </c>
      <c r="D290" s="8" t="s">
        <v>560</v>
      </c>
    </row>
    <row r="291" spans="1:4">
      <c r="A291" s="8" t="s">
        <v>553</v>
      </c>
      <c r="D291" s="8" t="s">
        <v>564</v>
      </c>
    </row>
    <row r="292" spans="1:4">
      <c r="A292" s="8" t="s">
        <v>558</v>
      </c>
      <c r="D292" s="8" t="s">
        <v>566</v>
      </c>
    </row>
    <row r="293" spans="1:4">
      <c r="A293" s="8" t="s">
        <v>560</v>
      </c>
      <c r="D293" s="8" t="s">
        <v>567</v>
      </c>
    </row>
    <row r="294" spans="1:4">
      <c r="A294" s="8" t="s">
        <v>564</v>
      </c>
      <c r="D294" s="8" t="s">
        <v>568</v>
      </c>
    </row>
    <row r="295" spans="1:4">
      <c r="A295" s="8" t="s">
        <v>566</v>
      </c>
      <c r="D295" s="8" t="s">
        <v>569</v>
      </c>
    </row>
    <row r="296" spans="1:4">
      <c r="A296" s="8" t="s">
        <v>567</v>
      </c>
      <c r="D296" s="8" t="s">
        <v>570</v>
      </c>
    </row>
    <row r="297" spans="1:4">
      <c r="A297" s="8" t="s">
        <v>568</v>
      </c>
      <c r="D297" s="8" t="s">
        <v>571</v>
      </c>
    </row>
    <row r="298" spans="1:4">
      <c r="A298" s="8" t="s">
        <v>569</v>
      </c>
      <c r="D298" s="8" t="s">
        <v>573</v>
      </c>
    </row>
    <row r="299" spans="1:4">
      <c r="A299" s="8" t="s">
        <v>570</v>
      </c>
      <c r="D299" s="8" t="s">
        <v>575</v>
      </c>
    </row>
    <row r="300" spans="1:4">
      <c r="A300" s="8" t="s">
        <v>571</v>
      </c>
      <c r="D300" s="8" t="s">
        <v>576</v>
      </c>
    </row>
    <row r="301" spans="1:4">
      <c r="A301" s="8" t="s">
        <v>573</v>
      </c>
      <c r="D301" s="8" t="s">
        <v>577</v>
      </c>
    </row>
    <row r="302" spans="1:4">
      <c r="A302" s="8" t="s">
        <v>575</v>
      </c>
      <c r="D302" s="8" t="s">
        <v>578</v>
      </c>
    </row>
    <row r="303" spans="1:4">
      <c r="A303" s="8" t="s">
        <v>576</v>
      </c>
      <c r="D303" s="8" t="s">
        <v>582</v>
      </c>
    </row>
    <row r="304" spans="1:4">
      <c r="A304" s="8" t="s">
        <v>577</v>
      </c>
      <c r="D304" s="8" t="s">
        <v>583</v>
      </c>
    </row>
    <row r="305" spans="1:4">
      <c r="A305" s="8" t="s">
        <v>578</v>
      </c>
      <c r="D305" s="8" t="s">
        <v>584</v>
      </c>
    </row>
    <row r="306" spans="1:4">
      <c r="A306" s="8" t="s">
        <v>582</v>
      </c>
      <c r="D306" s="8" t="s">
        <v>585</v>
      </c>
    </row>
    <row r="307" spans="1:4">
      <c r="A307" s="8" t="s">
        <v>583</v>
      </c>
      <c r="D307" s="8" t="s">
        <v>586</v>
      </c>
    </row>
    <row r="308" spans="1:4">
      <c r="A308" s="8" t="s">
        <v>584</v>
      </c>
      <c r="D308" s="8" t="s">
        <v>587</v>
      </c>
    </row>
    <row r="309" spans="1:4">
      <c r="A309" s="8" t="s">
        <v>585</v>
      </c>
      <c r="D309" s="8" t="s">
        <v>588</v>
      </c>
    </row>
    <row r="310" spans="1:4">
      <c r="A310" s="8" t="s">
        <v>586</v>
      </c>
      <c r="D310" s="8" t="s">
        <v>589</v>
      </c>
    </row>
    <row r="311" spans="1:4">
      <c r="A311" s="8" t="s">
        <v>587</v>
      </c>
      <c r="D311" s="8" t="s">
        <v>590</v>
      </c>
    </row>
    <row r="312" spans="1:4">
      <c r="A312" s="8" t="s">
        <v>588</v>
      </c>
      <c r="D312" s="8" t="s">
        <v>592</v>
      </c>
    </row>
    <row r="313" spans="1:4">
      <c r="A313" s="8" t="s">
        <v>589</v>
      </c>
      <c r="D313" s="8" t="s">
        <v>593</v>
      </c>
    </row>
    <row r="314" spans="1:4">
      <c r="A314" s="8" t="s">
        <v>590</v>
      </c>
      <c r="D314" s="8" t="s">
        <v>594</v>
      </c>
    </row>
    <row r="315" spans="1:4">
      <c r="A315" s="8" t="s">
        <v>592</v>
      </c>
      <c r="D315" s="8" t="s">
        <v>595</v>
      </c>
    </row>
    <row r="316" spans="1:4">
      <c r="A316" s="8" t="s">
        <v>593</v>
      </c>
      <c r="D316" s="8" t="s">
        <v>596</v>
      </c>
    </row>
    <row r="317" spans="1:4">
      <c r="A317" s="8" t="s">
        <v>594</v>
      </c>
      <c r="D317" s="8" t="s">
        <v>597</v>
      </c>
    </row>
    <row r="318" spans="1:4">
      <c r="A318" s="8" t="s">
        <v>595</v>
      </c>
      <c r="D318" s="8" t="s">
        <v>598</v>
      </c>
    </row>
    <row r="319" spans="1:4">
      <c r="A319" s="8" t="s">
        <v>596</v>
      </c>
      <c r="D319" s="8" t="s">
        <v>599</v>
      </c>
    </row>
    <row r="320" spans="1:4">
      <c r="A320" s="8" t="s">
        <v>597</v>
      </c>
      <c r="D320" s="8" t="s">
        <v>600</v>
      </c>
    </row>
    <row r="321" spans="1:4">
      <c r="A321" s="8" t="s">
        <v>598</v>
      </c>
      <c r="D321" s="8" t="s">
        <v>601</v>
      </c>
    </row>
    <row r="322" spans="1:4">
      <c r="A322" s="8" t="s">
        <v>599</v>
      </c>
      <c r="D322" s="8" t="s">
        <v>602</v>
      </c>
    </row>
    <row r="323" spans="1:4">
      <c r="A323" s="8" t="s">
        <v>600</v>
      </c>
      <c r="D323" s="8" t="s">
        <v>603</v>
      </c>
    </row>
    <row r="324" spans="1:4">
      <c r="A324" s="8" t="s">
        <v>601</v>
      </c>
      <c r="D324" s="8" t="s">
        <v>608</v>
      </c>
    </row>
    <row r="325" spans="1:4">
      <c r="A325" s="8" t="s">
        <v>602</v>
      </c>
      <c r="D325" s="8" t="s">
        <v>609</v>
      </c>
    </row>
    <row r="326" spans="1:4">
      <c r="A326" s="8" t="s">
        <v>603</v>
      </c>
      <c r="D326" s="8" t="s">
        <v>610</v>
      </c>
    </row>
    <row r="327" spans="1:4">
      <c r="A327" s="8" t="s">
        <v>608</v>
      </c>
      <c r="D327" s="8" t="s">
        <v>611</v>
      </c>
    </row>
    <row r="328" spans="1:4">
      <c r="A328" s="8" t="s">
        <v>609</v>
      </c>
      <c r="D328" s="8" t="s">
        <v>612</v>
      </c>
    </row>
    <row r="329" spans="1:4">
      <c r="A329" s="8" t="s">
        <v>610</v>
      </c>
      <c r="D329" s="8" t="s">
        <v>614</v>
      </c>
    </row>
    <row r="330" spans="1:4">
      <c r="A330" s="8" t="s">
        <v>611</v>
      </c>
      <c r="D330" s="8" t="s">
        <v>615</v>
      </c>
    </row>
    <row r="331" spans="1:4">
      <c r="A331" s="8" t="s">
        <v>612</v>
      </c>
      <c r="D331" s="8" t="s">
        <v>616</v>
      </c>
    </row>
    <row r="332" spans="1:4">
      <c r="A332" s="8" t="s">
        <v>614</v>
      </c>
      <c r="D332" s="8" t="s">
        <v>617</v>
      </c>
    </row>
    <row r="333" spans="1:4">
      <c r="A333" s="8" t="s">
        <v>615</v>
      </c>
      <c r="D333" s="8" t="s">
        <v>618</v>
      </c>
    </row>
    <row r="334" spans="1:4">
      <c r="A334" s="8" t="s">
        <v>616</v>
      </c>
      <c r="D334" s="8" t="s">
        <v>619</v>
      </c>
    </row>
    <row r="335" spans="1:4">
      <c r="A335" s="8" t="s">
        <v>617</v>
      </c>
      <c r="D335" s="8" t="s">
        <v>620</v>
      </c>
    </row>
    <row r="336" spans="1:4">
      <c r="A336" s="8" t="s">
        <v>618</v>
      </c>
      <c r="D336" s="8" t="s">
        <v>621</v>
      </c>
    </row>
    <row r="337" spans="1:4">
      <c r="A337" s="8" t="s">
        <v>619</v>
      </c>
      <c r="D337" s="8" t="s">
        <v>623</v>
      </c>
    </row>
    <row r="338" spans="1:4">
      <c r="A338" s="8" t="s">
        <v>620</v>
      </c>
      <c r="D338" s="8" t="s">
        <v>624</v>
      </c>
    </row>
    <row r="339" spans="1:4">
      <c r="A339" s="8" t="s">
        <v>621</v>
      </c>
      <c r="D339" s="8" t="s">
        <v>625</v>
      </c>
    </row>
    <row r="340" spans="1:4">
      <c r="A340" s="8" t="s">
        <v>623</v>
      </c>
      <c r="D340" s="8" t="s">
        <v>626</v>
      </c>
    </row>
    <row r="341" spans="1:4">
      <c r="A341" s="8" t="s">
        <v>624</v>
      </c>
      <c r="D341" s="8" t="s">
        <v>627</v>
      </c>
    </row>
    <row r="342" spans="1:4">
      <c r="A342" s="8" t="s">
        <v>625</v>
      </c>
      <c r="D342" s="8" t="s">
        <v>629</v>
      </c>
    </row>
    <row r="343" spans="1:4">
      <c r="A343" s="8" t="s">
        <v>626</v>
      </c>
      <c r="D343" s="8" t="s">
        <v>630</v>
      </c>
    </row>
    <row r="344" spans="1:4">
      <c r="A344" s="8" t="s">
        <v>627</v>
      </c>
      <c r="D344" s="8" t="s">
        <v>632</v>
      </c>
    </row>
    <row r="345" spans="1:4">
      <c r="A345" s="8" t="s">
        <v>629</v>
      </c>
      <c r="D345" s="8" t="s">
        <v>634</v>
      </c>
    </row>
    <row r="346" spans="1:4">
      <c r="A346" s="8" t="s">
        <v>630</v>
      </c>
      <c r="D346" s="8" t="s">
        <v>635</v>
      </c>
    </row>
    <row r="347" spans="1:4">
      <c r="A347" s="8" t="s">
        <v>632</v>
      </c>
      <c r="D347" s="8" t="s">
        <v>636</v>
      </c>
    </row>
    <row r="348" spans="1:4">
      <c r="A348" s="8" t="s">
        <v>634</v>
      </c>
      <c r="D348" s="8" t="s">
        <v>637</v>
      </c>
    </row>
    <row r="349" spans="1:4">
      <c r="A349" s="8" t="s">
        <v>635</v>
      </c>
      <c r="D349" s="8" t="s">
        <v>638</v>
      </c>
    </row>
    <row r="350" spans="1:4">
      <c r="A350" s="8" t="s">
        <v>636</v>
      </c>
      <c r="D350" s="8" t="s">
        <v>639</v>
      </c>
    </row>
    <row r="351" spans="1:4">
      <c r="A351" s="8" t="s">
        <v>637</v>
      </c>
      <c r="D351" s="8" t="s">
        <v>640</v>
      </c>
    </row>
    <row r="352" spans="1:4">
      <c r="A352" s="8" t="s">
        <v>638</v>
      </c>
      <c r="D352" s="8" t="s">
        <v>641</v>
      </c>
    </row>
    <row r="353" spans="1:4">
      <c r="A353" s="8" t="s">
        <v>639</v>
      </c>
      <c r="D353" s="8" t="s">
        <v>643</v>
      </c>
    </row>
    <row r="354" spans="1:4">
      <c r="A354" s="8" t="s">
        <v>640</v>
      </c>
      <c r="D354" s="8" t="s">
        <v>645</v>
      </c>
    </row>
    <row r="355" spans="1:4">
      <c r="A355" s="8" t="s">
        <v>641</v>
      </c>
      <c r="D355" s="8" t="s">
        <v>646</v>
      </c>
    </row>
    <row r="356" spans="1:4">
      <c r="A356" s="8" t="s">
        <v>643</v>
      </c>
      <c r="D356" s="8" t="s">
        <v>648</v>
      </c>
    </row>
    <row r="357" spans="1:4">
      <c r="A357" s="8" t="s">
        <v>645</v>
      </c>
      <c r="D357" s="8" t="s">
        <v>649</v>
      </c>
    </row>
    <row r="358" spans="1:4">
      <c r="A358" s="8" t="s">
        <v>646</v>
      </c>
      <c r="D358" s="8" t="s">
        <v>650</v>
      </c>
    </row>
    <row r="359" spans="1:4">
      <c r="A359" s="8" t="s">
        <v>648</v>
      </c>
      <c r="D359" s="8" t="s">
        <v>651</v>
      </c>
    </row>
    <row r="360" spans="1:4">
      <c r="A360" s="8" t="s">
        <v>649</v>
      </c>
      <c r="D360" s="8" t="s">
        <v>654</v>
      </c>
    </row>
    <row r="361" spans="1:4">
      <c r="A361" s="8" t="s">
        <v>650</v>
      </c>
      <c r="D361" s="8" t="s">
        <v>660</v>
      </c>
    </row>
    <row r="362" spans="1:4">
      <c r="A362" s="8" t="s">
        <v>651</v>
      </c>
      <c r="D362" s="8" t="s">
        <v>661</v>
      </c>
    </row>
    <row r="363" spans="1:4">
      <c r="A363" s="8" t="s">
        <v>654</v>
      </c>
      <c r="D363" s="8" t="s">
        <v>663</v>
      </c>
    </row>
    <row r="364" spans="1:4">
      <c r="A364" s="8" t="s">
        <v>660</v>
      </c>
      <c r="D364" s="8" t="s">
        <v>664</v>
      </c>
    </row>
    <row r="365" spans="1:4">
      <c r="A365" s="8" t="s">
        <v>661</v>
      </c>
      <c r="D365" s="8" t="s">
        <v>665</v>
      </c>
    </row>
    <row r="366" spans="1:4">
      <c r="A366" s="8" t="s">
        <v>663</v>
      </c>
      <c r="D366" s="8" t="s">
        <v>668</v>
      </c>
    </row>
    <row r="367" spans="1:4">
      <c r="A367" s="8" t="s">
        <v>664</v>
      </c>
      <c r="D367" s="8" t="s">
        <v>670</v>
      </c>
    </row>
    <row r="368" spans="1:4">
      <c r="A368" s="8" t="s">
        <v>665</v>
      </c>
      <c r="D368" s="8" t="s">
        <v>671</v>
      </c>
    </row>
    <row r="369" spans="1:4">
      <c r="A369" s="8" t="s">
        <v>668</v>
      </c>
      <c r="D369" s="8" t="s">
        <v>672</v>
      </c>
    </row>
    <row r="370" spans="1:4">
      <c r="A370" s="8" t="s">
        <v>670</v>
      </c>
      <c r="D370" s="8" t="s">
        <v>673</v>
      </c>
    </row>
    <row r="371" spans="1:4">
      <c r="A371" s="8" t="s">
        <v>671</v>
      </c>
      <c r="D371" s="8" t="s">
        <v>674</v>
      </c>
    </row>
    <row r="372" spans="1:4">
      <c r="A372" s="8" t="s">
        <v>672</v>
      </c>
      <c r="D372" s="8" t="s">
        <v>675</v>
      </c>
    </row>
    <row r="373" spans="1:4">
      <c r="A373" s="8" t="s">
        <v>673</v>
      </c>
      <c r="D373" s="8" t="s">
        <v>676</v>
      </c>
    </row>
    <row r="374" spans="1:4">
      <c r="A374" s="8" t="s">
        <v>674</v>
      </c>
      <c r="D374" s="8" t="s">
        <v>677</v>
      </c>
    </row>
    <row r="375" spans="1:4">
      <c r="A375" s="8" t="s">
        <v>675</v>
      </c>
      <c r="D375" s="8" t="s">
        <v>679</v>
      </c>
    </row>
    <row r="376" spans="1:4">
      <c r="A376" s="8" t="s">
        <v>676</v>
      </c>
      <c r="D376" s="8" t="s">
        <v>681</v>
      </c>
    </row>
    <row r="377" spans="1:4">
      <c r="A377" s="8" t="s">
        <v>677</v>
      </c>
      <c r="D377" s="8" t="s">
        <v>682</v>
      </c>
    </row>
    <row r="378" spans="1:4">
      <c r="A378" s="8" t="s">
        <v>679</v>
      </c>
      <c r="D378" s="8" t="s">
        <v>683</v>
      </c>
    </row>
    <row r="379" spans="1:4">
      <c r="A379" s="8" t="s">
        <v>681</v>
      </c>
      <c r="D379" s="8" t="s">
        <v>684</v>
      </c>
    </row>
    <row r="380" spans="1:4">
      <c r="A380" s="8" t="s">
        <v>682</v>
      </c>
      <c r="D380" s="8" t="s">
        <v>685</v>
      </c>
    </row>
    <row r="381" spans="1:4">
      <c r="A381" s="8" t="s">
        <v>683</v>
      </c>
      <c r="D381" s="8" t="s">
        <v>686</v>
      </c>
    </row>
    <row r="382" spans="1:4">
      <c r="A382" s="8" t="s">
        <v>684</v>
      </c>
      <c r="D382" s="8" t="s">
        <v>687</v>
      </c>
    </row>
    <row r="383" spans="1:4">
      <c r="A383" s="8" t="s">
        <v>685</v>
      </c>
      <c r="D383" s="8" t="s">
        <v>688</v>
      </c>
    </row>
    <row r="384" spans="1:4">
      <c r="A384" s="8" t="s">
        <v>686</v>
      </c>
      <c r="D384" s="8" t="s">
        <v>689</v>
      </c>
    </row>
    <row r="385" spans="1:4">
      <c r="A385" s="8" t="s">
        <v>687</v>
      </c>
      <c r="D385" s="8" t="s">
        <v>690</v>
      </c>
    </row>
    <row r="386" spans="1:4">
      <c r="A386" s="8" t="s">
        <v>688</v>
      </c>
      <c r="D386" s="8" t="s">
        <v>691</v>
      </c>
    </row>
    <row r="387" spans="1:4">
      <c r="A387" s="8" t="s">
        <v>689</v>
      </c>
      <c r="D387" s="8" t="s">
        <v>692</v>
      </c>
    </row>
    <row r="388" spans="1:4">
      <c r="A388" s="8" t="s">
        <v>690</v>
      </c>
      <c r="D388" s="8" t="s">
        <v>693</v>
      </c>
    </row>
    <row r="389" spans="1:4">
      <c r="A389" s="8" t="s">
        <v>691</v>
      </c>
      <c r="D389" s="8" t="s">
        <v>694</v>
      </c>
    </row>
    <row r="390" spans="1:4">
      <c r="A390" s="8" t="s">
        <v>692</v>
      </c>
      <c r="D390" s="8" t="s">
        <v>695</v>
      </c>
    </row>
    <row r="391" spans="1:4">
      <c r="A391" s="8" t="s">
        <v>693</v>
      </c>
      <c r="D391" s="8" t="s">
        <v>696</v>
      </c>
    </row>
    <row r="392" spans="1:4">
      <c r="A392" s="8" t="s">
        <v>694</v>
      </c>
      <c r="D392" s="8" t="s">
        <v>697</v>
      </c>
    </row>
    <row r="393" spans="1:4">
      <c r="A393" s="8" t="s">
        <v>695</v>
      </c>
      <c r="D393" s="8" t="s">
        <v>698</v>
      </c>
    </row>
    <row r="394" spans="1:4">
      <c r="A394" s="8" t="s">
        <v>696</v>
      </c>
      <c r="D394" s="8" t="s">
        <v>699</v>
      </c>
    </row>
    <row r="395" spans="1:4">
      <c r="A395" s="8" t="s">
        <v>697</v>
      </c>
      <c r="D395" s="8" t="s">
        <v>700</v>
      </c>
    </row>
    <row r="396" spans="1:4">
      <c r="A396" s="8" t="s">
        <v>698</v>
      </c>
      <c r="D396" s="8" t="s">
        <v>701</v>
      </c>
    </row>
    <row r="397" spans="1:4">
      <c r="A397" s="8" t="s">
        <v>699</v>
      </c>
      <c r="D397" s="8" t="s">
        <v>702</v>
      </c>
    </row>
    <row r="398" spans="1:4">
      <c r="A398" s="8" t="s">
        <v>700</v>
      </c>
      <c r="D398" s="8" t="s">
        <v>703</v>
      </c>
    </row>
    <row r="399" spans="1:4">
      <c r="A399" s="8" t="s">
        <v>701</v>
      </c>
      <c r="D399" s="8" t="s">
        <v>704</v>
      </c>
    </row>
    <row r="400" spans="1:4">
      <c r="A400" s="8" t="s">
        <v>702</v>
      </c>
      <c r="D400" s="8" t="s">
        <v>705</v>
      </c>
    </row>
    <row r="401" spans="1:4">
      <c r="A401" s="8" t="s">
        <v>703</v>
      </c>
      <c r="D401" s="8" t="s">
        <v>706</v>
      </c>
    </row>
    <row r="402" spans="1:4">
      <c r="A402" s="8" t="s">
        <v>704</v>
      </c>
      <c r="D402" s="8" t="s">
        <v>707</v>
      </c>
    </row>
    <row r="403" spans="1:4">
      <c r="A403" s="8" t="s">
        <v>705</v>
      </c>
      <c r="D403" s="8" t="s">
        <v>708</v>
      </c>
    </row>
    <row r="404" spans="1:4">
      <c r="A404" s="8" t="s">
        <v>706</v>
      </c>
      <c r="D404" s="8" t="s">
        <v>709</v>
      </c>
    </row>
    <row r="405" spans="1:4">
      <c r="A405" s="8" t="s">
        <v>707</v>
      </c>
      <c r="D405" s="8" t="s">
        <v>710</v>
      </c>
    </row>
    <row r="406" spans="1:4">
      <c r="A406" s="8" t="s">
        <v>708</v>
      </c>
      <c r="D406" s="8" t="s">
        <v>711</v>
      </c>
    </row>
    <row r="407" spans="1:4">
      <c r="A407" s="8" t="s">
        <v>709</v>
      </c>
      <c r="D407" s="8" t="s">
        <v>712</v>
      </c>
    </row>
    <row r="408" spans="1:4">
      <c r="A408" s="8" t="s">
        <v>710</v>
      </c>
      <c r="D408" s="8" t="s">
        <v>713</v>
      </c>
    </row>
    <row r="409" spans="1:4">
      <c r="A409" s="8" t="s">
        <v>711</v>
      </c>
      <c r="D409" s="8" t="s">
        <v>714</v>
      </c>
    </row>
    <row r="410" spans="1:4">
      <c r="A410" s="8" t="s">
        <v>712</v>
      </c>
      <c r="D410" s="8" t="s">
        <v>715</v>
      </c>
    </row>
    <row r="411" spans="1:4">
      <c r="A411" s="8" t="s">
        <v>713</v>
      </c>
      <c r="D411" s="8" t="s">
        <v>717</v>
      </c>
    </row>
    <row r="412" spans="1:4">
      <c r="A412" s="8" t="s">
        <v>714</v>
      </c>
      <c r="D412" s="8" t="s">
        <v>718</v>
      </c>
    </row>
    <row r="413" spans="1:4">
      <c r="A413" s="8" t="s">
        <v>715</v>
      </c>
      <c r="D413" s="8" t="s">
        <v>719</v>
      </c>
    </row>
    <row r="414" spans="1:4">
      <c r="A414" s="8" t="s">
        <v>717</v>
      </c>
      <c r="D414" s="8" t="s">
        <v>720</v>
      </c>
    </row>
    <row r="415" spans="1:4">
      <c r="A415" s="8" t="s">
        <v>718</v>
      </c>
      <c r="D415" s="8" t="s">
        <v>721</v>
      </c>
    </row>
    <row r="416" spans="1:4">
      <c r="A416" s="8" t="s">
        <v>719</v>
      </c>
      <c r="D416" s="8" t="s">
        <v>722</v>
      </c>
    </row>
    <row r="417" spans="1:4">
      <c r="A417" s="8" t="s">
        <v>720</v>
      </c>
      <c r="D417" s="8" t="s">
        <v>723</v>
      </c>
    </row>
    <row r="418" spans="1:4">
      <c r="A418" s="8" t="s">
        <v>721</v>
      </c>
      <c r="D418" s="8" t="s">
        <v>725</v>
      </c>
    </row>
    <row r="419" spans="1:4">
      <c r="A419" s="8" t="s">
        <v>722</v>
      </c>
      <c r="D419" s="8" t="s">
        <v>726</v>
      </c>
    </row>
    <row r="420" spans="1:4">
      <c r="A420" s="8" t="s">
        <v>723</v>
      </c>
      <c r="D420" s="8" t="s">
        <v>727</v>
      </c>
    </row>
    <row r="421" spans="1:4">
      <c r="A421" s="8" t="s">
        <v>725</v>
      </c>
      <c r="D421" s="8" t="s">
        <v>728</v>
      </c>
    </row>
    <row r="422" spans="1:4">
      <c r="A422" s="8" t="s">
        <v>726</v>
      </c>
      <c r="D422" s="8" t="s">
        <v>729</v>
      </c>
    </row>
    <row r="423" spans="1:4">
      <c r="A423" s="8" t="s">
        <v>727</v>
      </c>
      <c r="D423" s="8" t="s">
        <v>730</v>
      </c>
    </row>
    <row r="424" spans="1:4">
      <c r="A424" s="8" t="s">
        <v>728</v>
      </c>
      <c r="D424" s="8" t="s">
        <v>731</v>
      </c>
    </row>
    <row r="425" spans="1:4">
      <c r="A425" s="8" t="s">
        <v>729</v>
      </c>
      <c r="D425" s="8" t="s">
        <v>732</v>
      </c>
    </row>
    <row r="426" spans="1:4">
      <c r="A426" s="8" t="s">
        <v>730</v>
      </c>
      <c r="D426" s="8" t="s">
        <v>733</v>
      </c>
    </row>
    <row r="427" spans="1:4">
      <c r="A427" s="8" t="s">
        <v>731</v>
      </c>
      <c r="D427" s="8" t="s">
        <v>734</v>
      </c>
    </row>
    <row r="428" spans="1:4">
      <c r="A428" s="8" t="s">
        <v>732</v>
      </c>
      <c r="D428" s="8" t="s">
        <v>735</v>
      </c>
    </row>
    <row r="429" spans="1:4">
      <c r="A429" s="8" t="s">
        <v>733</v>
      </c>
      <c r="D429" s="8" t="s">
        <v>736</v>
      </c>
    </row>
    <row r="430" spans="1:4">
      <c r="A430" s="8" t="s">
        <v>734</v>
      </c>
      <c r="D430" s="8" t="s">
        <v>737</v>
      </c>
    </row>
    <row r="431" spans="1:4">
      <c r="A431" s="8" t="s">
        <v>735</v>
      </c>
    </row>
    <row r="432" spans="1:4">
      <c r="A432" s="8" t="s">
        <v>736</v>
      </c>
    </row>
    <row r="433" spans="1:1">
      <c r="A433" s="8" t="s">
        <v>737</v>
      </c>
    </row>
    <row r="434" spans="1:1">
      <c r="A434" s="8" t="s">
        <v>755</v>
      </c>
    </row>
    <row r="435" spans="1:1" ht="26.4">
      <c r="A435" s="9" t="s">
        <v>756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-0.249977111117893"/>
  </sheetPr>
  <dimension ref="A1:A3"/>
  <sheetViews>
    <sheetView workbookViewId="0">
      <selection activeCell="A3" sqref="A3"/>
    </sheetView>
  </sheetViews>
  <sheetFormatPr defaultColWidth="11.5546875" defaultRowHeight="13.2"/>
  <sheetData>
    <row r="1" spans="1:1">
      <c r="A1" s="14" t="s">
        <v>775</v>
      </c>
    </row>
    <row r="2" spans="1:1">
      <c r="A2" s="14" t="s">
        <v>776</v>
      </c>
    </row>
    <row r="3" spans="1:1">
      <c r="A3" s="14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13</vt:i4>
      </vt:variant>
    </vt:vector>
  </HeadingPairs>
  <TitlesOfParts>
    <vt:vector size="19" baseType="lpstr">
      <vt:lpstr>TheData</vt:lpstr>
      <vt:lpstr>Task 1</vt:lpstr>
      <vt:lpstr>Income StatementI</vt:lpstr>
      <vt:lpstr>Task 2&amp;3</vt:lpstr>
      <vt:lpstr>Ticker Symbol list</vt:lpstr>
      <vt:lpstr>Senario list</vt:lpstr>
      <vt:lpstr>COGS</vt:lpstr>
      <vt:lpstr>Gross_Profit</vt:lpstr>
      <vt:lpstr>OOI</vt:lpstr>
      <vt:lpstr>Operating_Profit</vt:lpstr>
      <vt:lpstr>RandD</vt:lpstr>
      <vt:lpstr>Sector</vt:lpstr>
      <vt:lpstr>Senario_list</vt:lpstr>
      <vt:lpstr>SGAA</vt:lpstr>
      <vt:lpstr>Ticker_Symbol</vt:lpstr>
      <vt:lpstr>TickerSymbol</vt:lpstr>
      <vt:lpstr>Total_Operating_Expenses</vt:lpstr>
      <vt:lpstr>Total_Revenue</vt:lpstr>
      <vt:lpstr>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Saleh</dc:creator>
  <cp:lastModifiedBy>HP</cp:lastModifiedBy>
  <dcterms:created xsi:type="dcterms:W3CDTF">2020-05-12T19:42:02Z</dcterms:created>
  <dcterms:modified xsi:type="dcterms:W3CDTF">2021-07-14T06:25:18Z</dcterms:modified>
</cp:coreProperties>
</file>